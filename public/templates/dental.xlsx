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765"/>
  </bookViews>
  <sheets>
    <sheet name="أسنان " sheetId="1" r:id="rId1"/>
    <sheet name="إلإجمالي" sheetId="2" r:id="rId2"/>
  </sheets>
  <definedNames>
    <definedName name="_xlnm.Print_Titles" localSheetId="0">'أسنان '!$1:$1</definedName>
  </definedNames>
  <calcPr calcId="152511"/>
</workbook>
</file>

<file path=xl/calcChain.xml><?xml version="1.0" encoding="utf-8"?>
<calcChain xmlns="http://schemas.openxmlformats.org/spreadsheetml/2006/main">
  <c r="EM313" i="1" l="1"/>
  <c r="ED312" i="1"/>
  <c r="EM306" i="1"/>
  <c r="EM297" i="1"/>
  <c r="EM287" i="1"/>
  <c r="ED286" i="1"/>
  <c r="EM280" i="1"/>
  <c r="EM271" i="1"/>
  <c r="EM261" i="1"/>
  <c r="ED260" i="1"/>
  <c r="EM254" i="1"/>
  <c r="EM245" i="1"/>
  <c r="EM235" i="1"/>
  <c r="ED234" i="1"/>
  <c r="EM228" i="1"/>
  <c r="EM219" i="1"/>
  <c r="EM209" i="1"/>
  <c r="ED208" i="1"/>
  <c r="EM202" i="1"/>
  <c r="EM193" i="1"/>
  <c r="EM183" i="1"/>
  <c r="ED182" i="1"/>
  <c r="EM176" i="1"/>
  <c r="EM167" i="1"/>
  <c r="EM157" i="1"/>
  <c r="ED156" i="1"/>
  <c r="EM150" i="1"/>
  <c r="EM141" i="1"/>
  <c r="EM131" i="1"/>
  <c r="ED130" i="1"/>
  <c r="EM124" i="1"/>
  <c r="EM115" i="1"/>
  <c r="EM105" i="1"/>
  <c r="ED104" i="1"/>
  <c r="EM98" i="1"/>
  <c r="EM89" i="1"/>
  <c r="EM79" i="1"/>
  <c r="ED78" i="1"/>
  <c r="EM72" i="1"/>
  <c r="EM63" i="1"/>
  <c r="EM53" i="1"/>
  <c r="ED52" i="1"/>
  <c r="EM46" i="1"/>
  <c r="EM37" i="1"/>
  <c r="EM27" i="1"/>
  <c r="ED26" i="1"/>
  <c r="EM20" i="1"/>
  <c r="EM11" i="1"/>
  <c r="EA313" i="1"/>
  <c r="DR312" i="1"/>
  <c r="EA306" i="1"/>
  <c r="EA297" i="1"/>
  <c r="EA287" i="1"/>
  <c r="DR286" i="1"/>
  <c r="EA280" i="1"/>
  <c r="EA271" i="1"/>
  <c r="EA261" i="1"/>
  <c r="DR260" i="1"/>
  <c r="EA254" i="1"/>
  <c r="EA245" i="1"/>
  <c r="EA235" i="1"/>
  <c r="DR234" i="1"/>
  <c r="EA228" i="1"/>
  <c r="EA219" i="1"/>
  <c r="EA209" i="1"/>
  <c r="DR208" i="1"/>
  <c r="EA202" i="1"/>
  <c r="EA193" i="1"/>
  <c r="EA183" i="1"/>
  <c r="DR182" i="1"/>
  <c r="EA176" i="1"/>
  <c r="EA167" i="1"/>
  <c r="EA157" i="1"/>
  <c r="DR156" i="1"/>
  <c r="EA150" i="1"/>
  <c r="EA141" i="1"/>
  <c r="EA131" i="1"/>
  <c r="DR130" i="1"/>
  <c r="EA124" i="1"/>
  <c r="EA115" i="1"/>
  <c r="EA105" i="1"/>
  <c r="DR104" i="1"/>
  <c r="EA98" i="1"/>
  <c r="EA89" i="1"/>
  <c r="EA79" i="1"/>
  <c r="DR78" i="1"/>
  <c r="EA72" i="1"/>
  <c r="EA63" i="1"/>
  <c r="EA53" i="1"/>
  <c r="DR52" i="1"/>
  <c r="EA46" i="1"/>
  <c r="EA37" i="1"/>
  <c r="EA27" i="1"/>
  <c r="DR26" i="1"/>
  <c r="EA20" i="1"/>
  <c r="EA11" i="1"/>
  <c r="DO313" i="1"/>
  <c r="DF312" i="1"/>
  <c r="DO306" i="1"/>
  <c r="DO297" i="1"/>
  <c r="DO287" i="1"/>
  <c r="DF286" i="1"/>
  <c r="DO280" i="1"/>
  <c r="DO271" i="1"/>
  <c r="DO261" i="1"/>
  <c r="DF260" i="1"/>
  <c r="DO254" i="1"/>
  <c r="DO245" i="1"/>
  <c r="DO235" i="1"/>
  <c r="DF234" i="1"/>
  <c r="DO228" i="1"/>
  <c r="DO219" i="1"/>
  <c r="DO209" i="1"/>
  <c r="DF208" i="1"/>
  <c r="DO202" i="1"/>
  <c r="DO193" i="1"/>
  <c r="DO183" i="1"/>
  <c r="DF182" i="1"/>
  <c r="DO176" i="1"/>
  <c r="DO167" i="1"/>
  <c r="DO157" i="1"/>
  <c r="DF156" i="1"/>
  <c r="DO150" i="1"/>
  <c r="DO141" i="1"/>
  <c r="DO131" i="1"/>
  <c r="DF130" i="1"/>
  <c r="DO124" i="1"/>
  <c r="DO115" i="1"/>
  <c r="DO105" i="1"/>
  <c r="DF104" i="1"/>
  <c r="DO98" i="1"/>
  <c r="DO89" i="1"/>
  <c r="DO79" i="1"/>
  <c r="DF78" i="1"/>
  <c r="DO72" i="1"/>
  <c r="DO63" i="1"/>
  <c r="DO53" i="1"/>
  <c r="DF52" i="1"/>
  <c r="DO46" i="1"/>
  <c r="DO37" i="1"/>
  <c r="DO27" i="1"/>
  <c r="DF26" i="1"/>
  <c r="DO20" i="1"/>
  <c r="DO11" i="1"/>
  <c r="DC313" i="1"/>
  <c r="CT312" i="1"/>
  <c r="DC306" i="1"/>
  <c r="DC297" i="1"/>
  <c r="DC287" i="1"/>
  <c r="CT286" i="1"/>
  <c r="DC280" i="1"/>
  <c r="DC271" i="1"/>
  <c r="DC261" i="1"/>
  <c r="CT260" i="1"/>
  <c r="DC254" i="1"/>
  <c r="DC245" i="1"/>
  <c r="DC235" i="1"/>
  <c r="CT234" i="1"/>
  <c r="DC228" i="1"/>
  <c r="DC219" i="1"/>
  <c r="DC209" i="1"/>
  <c r="CT208" i="1"/>
  <c r="DC202" i="1"/>
  <c r="DC193" i="1"/>
  <c r="DC183" i="1"/>
  <c r="CT182" i="1"/>
  <c r="DC176" i="1"/>
  <c r="DC167" i="1"/>
  <c r="DC157" i="1"/>
  <c r="CT156" i="1"/>
  <c r="DC150" i="1"/>
  <c r="DC141" i="1"/>
  <c r="DC131" i="1"/>
  <c r="CT130" i="1"/>
  <c r="DC124" i="1"/>
  <c r="DC115" i="1"/>
  <c r="DC105" i="1"/>
  <c r="CT104" i="1"/>
  <c r="DC98" i="1"/>
  <c r="DC89" i="1"/>
  <c r="DC79" i="1"/>
  <c r="CT78" i="1"/>
  <c r="DC72" i="1"/>
  <c r="DC63" i="1"/>
  <c r="DC53" i="1"/>
  <c r="CT52" i="1"/>
  <c r="DC46" i="1"/>
  <c r="DC37" i="1"/>
  <c r="DC27" i="1"/>
  <c r="CT26" i="1"/>
  <c r="DC20" i="1"/>
  <c r="DC11" i="1"/>
  <c r="CQ313" i="1"/>
  <c r="CH312" i="1"/>
  <c r="CQ306" i="1"/>
  <c r="CQ297" i="1"/>
  <c r="CQ287" i="1"/>
  <c r="CH286" i="1"/>
  <c r="CQ280" i="1"/>
  <c r="CQ271" i="1"/>
  <c r="CQ261" i="1"/>
  <c r="CH260" i="1"/>
  <c r="CQ254" i="1"/>
  <c r="CQ245" i="1"/>
  <c r="CQ235" i="1"/>
  <c r="CH234" i="1"/>
  <c r="CQ228" i="1"/>
  <c r="CQ219" i="1"/>
  <c r="CQ209" i="1"/>
  <c r="CH208" i="1"/>
  <c r="CQ202" i="1"/>
  <c r="CQ193" i="1"/>
  <c r="CQ183" i="1"/>
  <c r="CH182" i="1"/>
  <c r="CQ176" i="1"/>
  <c r="CQ167" i="1"/>
  <c r="CQ157" i="1"/>
  <c r="CH156" i="1"/>
  <c r="CQ150" i="1"/>
  <c r="CQ141" i="1"/>
  <c r="CQ131" i="1"/>
  <c r="CH130" i="1"/>
  <c r="CQ124" i="1"/>
  <c r="CQ115" i="1"/>
  <c r="CQ105" i="1"/>
  <c r="CH104" i="1"/>
  <c r="CQ98" i="1"/>
  <c r="CQ89" i="1"/>
  <c r="CQ79" i="1"/>
  <c r="CH78" i="1"/>
  <c r="CQ72" i="1"/>
  <c r="CQ63" i="1"/>
  <c r="CQ53" i="1"/>
  <c r="CH52" i="1"/>
  <c r="CQ46" i="1"/>
  <c r="CQ37" i="1"/>
  <c r="CQ27" i="1"/>
  <c r="CH26" i="1"/>
  <c r="CQ20" i="1"/>
  <c r="CQ11" i="1"/>
  <c r="CE313" i="1"/>
  <c r="BV312" i="1"/>
  <c r="CE306" i="1"/>
  <c r="CE297" i="1"/>
  <c r="CE287" i="1"/>
  <c r="BV286" i="1"/>
  <c r="CE280" i="1"/>
  <c r="CE271" i="1"/>
  <c r="CE261" i="1"/>
  <c r="BV260" i="1"/>
  <c r="CE254" i="1"/>
  <c r="CE245" i="1"/>
  <c r="CE235" i="1"/>
  <c r="BV234" i="1"/>
  <c r="CE228" i="1"/>
  <c r="CE219" i="1"/>
  <c r="CE209" i="1"/>
  <c r="BV208" i="1"/>
  <c r="CE202" i="1"/>
  <c r="CE193" i="1"/>
  <c r="CE183" i="1"/>
  <c r="BV182" i="1"/>
  <c r="CE176" i="1"/>
  <c r="CE167" i="1"/>
  <c r="CE157" i="1"/>
  <c r="BV156" i="1"/>
  <c r="CE150" i="1"/>
  <c r="CE141" i="1"/>
  <c r="CE131" i="1"/>
  <c r="BV130" i="1"/>
  <c r="CE124" i="1"/>
  <c r="CE115" i="1"/>
  <c r="CE105" i="1"/>
  <c r="BV104" i="1"/>
  <c r="CE98" i="1"/>
  <c r="CE89" i="1"/>
  <c r="CE79" i="1"/>
  <c r="BV78" i="1"/>
  <c r="CE72" i="1"/>
  <c r="CE63" i="1"/>
  <c r="CE53" i="1"/>
  <c r="BV52" i="1"/>
  <c r="CE46" i="1"/>
  <c r="CE37" i="1"/>
  <c r="CE27" i="1"/>
  <c r="BV26" i="1"/>
  <c r="CE20" i="1"/>
  <c r="CE11" i="1"/>
  <c r="BS313" i="1"/>
  <c r="BJ312" i="1"/>
  <c r="BS306" i="1"/>
  <c r="BS297" i="1"/>
  <c r="BS287" i="1"/>
  <c r="BJ286" i="1"/>
  <c r="BS280" i="1"/>
  <c r="BS271" i="1"/>
  <c r="BS261" i="1"/>
  <c r="BJ260" i="1"/>
  <c r="BS254" i="1"/>
  <c r="BS245" i="1"/>
  <c r="BS235" i="1"/>
  <c r="BJ234" i="1"/>
  <c r="BS228" i="1"/>
  <c r="BS219" i="1"/>
  <c r="BS209" i="1"/>
  <c r="BJ208" i="1"/>
  <c r="BS202" i="1"/>
  <c r="BS193" i="1"/>
  <c r="BS183" i="1"/>
  <c r="BJ182" i="1"/>
  <c r="BS176" i="1"/>
  <c r="BS167" i="1"/>
  <c r="BS157" i="1"/>
  <c r="BJ156" i="1"/>
  <c r="BS150" i="1"/>
  <c r="BS141" i="1"/>
  <c r="BS131" i="1"/>
  <c r="BJ130" i="1"/>
  <c r="BS124" i="1"/>
  <c r="BS115" i="1"/>
  <c r="BS105" i="1"/>
  <c r="BJ104" i="1"/>
  <c r="BS98" i="1"/>
  <c r="BS89" i="1"/>
  <c r="BS79" i="1"/>
  <c r="BJ78" i="1"/>
  <c r="BS72" i="1"/>
  <c r="BS63" i="1"/>
  <c r="BS53" i="1"/>
  <c r="BJ52" i="1"/>
  <c r="BS46" i="1"/>
  <c r="BS37" i="1"/>
  <c r="BS27" i="1"/>
  <c r="BJ26" i="1"/>
  <c r="BS20" i="1"/>
  <c r="BS11" i="1"/>
  <c r="BG313" i="1"/>
  <c r="AX312" i="1"/>
  <c r="BG306" i="1"/>
  <c r="BG297" i="1"/>
  <c r="BG287" i="1"/>
  <c r="AX286" i="1"/>
  <c r="BG280" i="1"/>
  <c r="BG271" i="1"/>
  <c r="BG261" i="1"/>
  <c r="AX260" i="1"/>
  <c r="BG254" i="1"/>
  <c r="BG245" i="1"/>
  <c r="BG235" i="1"/>
  <c r="AX234" i="1"/>
  <c r="BG228" i="1"/>
  <c r="BG219" i="1"/>
  <c r="BG209" i="1"/>
  <c r="AX208" i="1"/>
  <c r="BG202" i="1"/>
  <c r="BG193" i="1"/>
  <c r="BG183" i="1"/>
  <c r="AX182" i="1"/>
  <c r="BG176" i="1"/>
  <c r="BG167" i="1"/>
  <c r="BG157" i="1"/>
  <c r="AX156" i="1"/>
  <c r="BG150" i="1"/>
  <c r="BG141" i="1"/>
  <c r="BG131" i="1"/>
  <c r="AX130" i="1"/>
  <c r="BG124" i="1"/>
  <c r="BG115" i="1"/>
  <c r="BG105" i="1"/>
  <c r="AX104" i="1"/>
  <c r="BG98" i="1"/>
  <c r="BG89" i="1"/>
  <c r="BG79" i="1"/>
  <c r="AX78" i="1"/>
  <c r="BG72" i="1"/>
  <c r="BG63" i="1"/>
  <c r="BG53" i="1"/>
  <c r="AX52" i="1"/>
  <c r="BG46" i="1"/>
  <c r="BG37" i="1"/>
  <c r="BG27" i="1"/>
  <c r="AX26" i="1"/>
  <c r="BG20" i="1"/>
  <c r="BG11" i="1"/>
  <c r="AU313" i="1"/>
  <c r="AL312" i="1"/>
  <c r="AU306" i="1"/>
  <c r="AU297" i="1"/>
  <c r="AU287" i="1"/>
  <c r="AL286" i="1"/>
  <c r="AU280" i="1"/>
  <c r="AU271" i="1"/>
  <c r="AU261" i="1"/>
  <c r="AL260" i="1"/>
  <c r="AU254" i="1"/>
  <c r="AU245" i="1"/>
  <c r="AU235" i="1"/>
  <c r="AL234" i="1"/>
  <c r="AU228" i="1"/>
  <c r="AU219" i="1"/>
  <c r="AU209" i="1"/>
  <c r="AL208" i="1"/>
  <c r="AU202" i="1"/>
  <c r="AU193" i="1"/>
  <c r="AU183" i="1"/>
  <c r="AL182" i="1"/>
  <c r="AU176" i="1"/>
  <c r="AU167" i="1"/>
  <c r="AU157" i="1"/>
  <c r="AL156" i="1"/>
  <c r="AU150" i="1"/>
  <c r="AU141" i="1"/>
  <c r="AU131" i="1"/>
  <c r="AL130" i="1"/>
  <c r="AU124" i="1"/>
  <c r="AU115" i="1"/>
  <c r="AU105" i="1"/>
  <c r="AL104" i="1"/>
  <c r="AU89" i="1"/>
  <c r="AU79" i="1"/>
  <c r="AL78" i="1"/>
  <c r="AU72" i="1"/>
  <c r="AU63" i="1"/>
  <c r="AU53" i="1"/>
  <c r="AL52" i="1"/>
  <c r="AU46" i="1"/>
  <c r="AU37" i="1"/>
  <c r="AU27" i="1"/>
  <c r="AL26" i="1"/>
  <c r="AU20" i="1"/>
  <c r="AU11" i="1"/>
  <c r="AI313" i="1"/>
  <c r="Z312" i="1"/>
  <c r="AI306" i="1"/>
  <c r="AI297" i="1"/>
  <c r="AI287" i="1"/>
  <c r="Z286" i="1"/>
  <c r="AI280" i="1"/>
  <c r="AI271" i="1"/>
  <c r="AI261" i="1"/>
  <c r="Z260" i="1"/>
  <c r="AI254" i="1"/>
  <c r="AI245" i="1"/>
  <c r="AI235" i="1"/>
  <c r="Z234" i="1"/>
  <c r="AI228" i="1"/>
  <c r="AI219" i="1"/>
  <c r="AI209" i="1"/>
  <c r="Z208" i="1"/>
  <c r="AI202" i="1"/>
  <c r="AI193" i="1"/>
  <c r="AI183" i="1"/>
  <c r="Z182" i="1"/>
  <c r="AI176" i="1"/>
  <c r="AI167" i="1"/>
  <c r="AI157" i="1"/>
  <c r="Z156" i="1"/>
  <c r="AI150" i="1"/>
  <c r="AI141" i="1"/>
  <c r="AI131" i="1"/>
  <c r="Z130" i="1"/>
  <c r="AI124" i="1"/>
  <c r="AI115" i="1"/>
  <c r="AI105" i="1"/>
  <c r="Z104" i="1"/>
  <c r="AI98" i="1"/>
  <c r="AI89" i="1"/>
  <c r="AI79" i="1"/>
  <c r="Z78" i="1"/>
  <c r="AI72" i="1"/>
  <c r="AI63" i="1"/>
  <c r="AI53" i="1"/>
  <c r="Z52" i="1"/>
  <c r="AI46" i="1"/>
  <c r="AI37" i="1"/>
  <c r="AI27" i="1"/>
  <c r="Z26" i="1"/>
  <c r="AI20" i="1"/>
  <c r="AI11" i="1"/>
  <c r="W313" i="1"/>
  <c r="N312" i="1"/>
  <c r="W306" i="1"/>
  <c r="W297" i="1"/>
  <c r="W287" i="1"/>
  <c r="N286" i="1"/>
  <c r="W280" i="1"/>
  <c r="W271" i="1"/>
  <c r="W261" i="1"/>
  <c r="N260" i="1"/>
  <c r="W254" i="1"/>
  <c r="W245" i="1"/>
  <c r="W235" i="1"/>
  <c r="N234" i="1"/>
  <c r="W228" i="1"/>
  <c r="W219" i="1"/>
  <c r="W209" i="1"/>
  <c r="N208" i="1"/>
  <c r="W193" i="1"/>
  <c r="W183" i="1"/>
  <c r="N182" i="1"/>
  <c r="W176" i="1"/>
  <c r="W167" i="1"/>
  <c r="W157" i="1"/>
  <c r="N156" i="1"/>
  <c r="W141" i="1"/>
  <c r="W131" i="1"/>
  <c r="N130" i="1"/>
  <c r="W124" i="1"/>
  <c r="W115" i="1"/>
  <c r="W105" i="1"/>
  <c r="N104" i="1"/>
  <c r="W98" i="1"/>
  <c r="W89" i="1"/>
  <c r="W79" i="1"/>
  <c r="N78" i="1"/>
  <c r="W72" i="1"/>
  <c r="W63" i="1"/>
  <c r="W53" i="1"/>
  <c r="N52" i="1"/>
  <c r="W46" i="1"/>
  <c r="W37" i="1"/>
  <c r="W27" i="1"/>
  <c r="N26" i="1"/>
  <c r="W20" i="1"/>
  <c r="W11" i="1"/>
  <c r="EJ339" i="1" l="1"/>
  <c r="EI339" i="1"/>
  <c r="EH339" i="1"/>
  <c r="EG339" i="1"/>
  <c r="EF339" i="1"/>
  <c r="EE339" i="1"/>
  <c r="ED339" i="1"/>
  <c r="ED338" i="1"/>
  <c r="EH337" i="1"/>
  <c r="EM336" i="1"/>
  <c r="EH336" i="1"/>
  <c r="EH335" i="1"/>
  <c r="EH334" i="1"/>
  <c r="EM333" i="1"/>
  <c r="EM339" i="1" s="1"/>
  <c r="EH333" i="1"/>
  <c r="EH332" i="1"/>
  <c r="EH331" i="1"/>
  <c r="EH330" i="1"/>
  <c r="EM329" i="1"/>
  <c r="EH329" i="1"/>
  <c r="EH328" i="1"/>
  <c r="EH327" i="1"/>
  <c r="EM326" i="1"/>
  <c r="EM332" i="1" s="1"/>
  <c r="EH326" i="1"/>
  <c r="EH325" i="1"/>
  <c r="EH324" i="1"/>
  <c r="EH323" i="1"/>
  <c r="EH322" i="1"/>
  <c r="EM321" i="1"/>
  <c r="EH321" i="1"/>
  <c r="EH320" i="1"/>
  <c r="EM319" i="1"/>
  <c r="EH319" i="1"/>
  <c r="EH318" i="1"/>
  <c r="EM317" i="1"/>
  <c r="EH317" i="1"/>
  <c r="EH316" i="1"/>
  <c r="EM315" i="1"/>
  <c r="EM314" i="1"/>
  <c r="EL314" i="1"/>
  <c r="DX339" i="1"/>
  <c r="DW339" i="1"/>
  <c r="DV339" i="1"/>
  <c r="DU339" i="1"/>
  <c r="DT339" i="1"/>
  <c r="DS339" i="1"/>
  <c r="DR339" i="1"/>
  <c r="DR338" i="1"/>
  <c r="DV337" i="1"/>
  <c r="EA336" i="1"/>
  <c r="DV336" i="1"/>
  <c r="DV335" i="1"/>
  <c r="DV334" i="1"/>
  <c r="EA333" i="1"/>
  <c r="EA339" i="1" s="1"/>
  <c r="DV333" i="1"/>
  <c r="DV332" i="1"/>
  <c r="DV331" i="1"/>
  <c r="DV330" i="1"/>
  <c r="EA329" i="1"/>
  <c r="DV329" i="1"/>
  <c r="DV328" i="1"/>
  <c r="DV327" i="1"/>
  <c r="EA326" i="1"/>
  <c r="EA332" i="1" s="1"/>
  <c r="DV326" i="1"/>
  <c r="DV325" i="1"/>
  <c r="DV324" i="1"/>
  <c r="DV323" i="1"/>
  <c r="DV322" i="1"/>
  <c r="EA321" i="1"/>
  <c r="DV321" i="1"/>
  <c r="DV320" i="1"/>
  <c r="EA319" i="1"/>
  <c r="DV319" i="1"/>
  <c r="DV318" i="1"/>
  <c r="EA317" i="1"/>
  <c r="DV317" i="1"/>
  <c r="DV316" i="1"/>
  <c r="EA315" i="1"/>
  <c r="EA314" i="1"/>
  <c r="DZ314" i="1"/>
  <c r="DL339" i="1"/>
  <c r="DK339" i="1"/>
  <c r="DJ339" i="1"/>
  <c r="DI339" i="1"/>
  <c r="DH339" i="1"/>
  <c r="DG339" i="1"/>
  <c r="DF339" i="1"/>
  <c r="DF338" i="1"/>
  <c r="DJ337" i="1"/>
  <c r="DO336" i="1"/>
  <c r="DJ336" i="1"/>
  <c r="DJ335" i="1"/>
  <c r="DJ334" i="1"/>
  <c r="DO333" i="1"/>
  <c r="DO339" i="1" s="1"/>
  <c r="DJ333" i="1"/>
  <c r="DJ332" i="1"/>
  <c r="DJ331" i="1"/>
  <c r="DJ330" i="1"/>
  <c r="DO329" i="1"/>
  <c r="DJ329" i="1"/>
  <c r="DJ328" i="1"/>
  <c r="DJ327" i="1"/>
  <c r="DO326" i="1"/>
  <c r="DO332" i="1" s="1"/>
  <c r="DJ326" i="1"/>
  <c r="DJ325" i="1"/>
  <c r="DJ324" i="1"/>
  <c r="DJ323" i="1"/>
  <c r="DJ322" i="1"/>
  <c r="DO321" i="1"/>
  <c r="DJ321" i="1"/>
  <c r="DJ320" i="1"/>
  <c r="DO319" i="1"/>
  <c r="DJ319" i="1"/>
  <c r="DJ318" i="1"/>
  <c r="DO317" i="1"/>
  <c r="DJ317" i="1"/>
  <c r="DJ316" i="1"/>
  <c r="DO315" i="1"/>
  <c r="DO314" i="1"/>
  <c r="DN314" i="1"/>
  <c r="CZ339" i="1"/>
  <c r="CY339" i="1"/>
  <c r="CX339" i="1"/>
  <c r="CW339" i="1"/>
  <c r="CV339" i="1"/>
  <c r="CU339" i="1"/>
  <c r="CT339" i="1"/>
  <c r="CT338" i="1"/>
  <c r="CX337" i="1"/>
  <c r="DC336" i="1"/>
  <c r="CX336" i="1"/>
  <c r="CX335" i="1"/>
  <c r="CX334" i="1"/>
  <c r="DC333" i="1"/>
  <c r="DC339" i="1" s="1"/>
  <c r="CX333" i="1"/>
  <c r="CX332" i="1"/>
  <c r="CX331" i="1"/>
  <c r="CX330" i="1"/>
  <c r="DC329" i="1"/>
  <c r="CX329" i="1"/>
  <c r="CX328" i="1"/>
  <c r="CX327" i="1"/>
  <c r="DC326" i="1"/>
  <c r="DC332" i="1" s="1"/>
  <c r="CX326" i="1"/>
  <c r="CX325" i="1"/>
  <c r="CX324" i="1"/>
  <c r="CX323" i="1"/>
  <c r="CX322" i="1"/>
  <c r="DC321" i="1"/>
  <c r="CX321" i="1"/>
  <c r="CX320" i="1"/>
  <c r="DC319" i="1"/>
  <c r="CX319" i="1"/>
  <c r="CX318" i="1"/>
  <c r="DC317" i="1"/>
  <c r="CX317" i="1"/>
  <c r="CX316" i="1"/>
  <c r="DC315" i="1"/>
  <c r="DC314" i="1"/>
  <c r="DB314" i="1"/>
  <c r="CN339" i="1"/>
  <c r="CM339" i="1"/>
  <c r="CL339" i="1"/>
  <c r="CK339" i="1"/>
  <c r="CJ339" i="1"/>
  <c r="CI339" i="1"/>
  <c r="CH339" i="1"/>
  <c r="CH338" i="1"/>
  <c r="CL337" i="1"/>
  <c r="CQ336" i="1"/>
  <c r="CL336" i="1"/>
  <c r="CL335" i="1"/>
  <c r="CL334" i="1"/>
  <c r="CQ333" i="1"/>
  <c r="CQ339" i="1" s="1"/>
  <c r="CL333" i="1"/>
  <c r="CL332" i="1"/>
  <c r="CL331" i="1"/>
  <c r="CL330" i="1"/>
  <c r="CQ329" i="1"/>
  <c r="CL329" i="1"/>
  <c r="CL328" i="1"/>
  <c r="CL327" i="1"/>
  <c r="CQ326" i="1"/>
  <c r="CQ332" i="1" s="1"/>
  <c r="CL326" i="1"/>
  <c r="CL325" i="1"/>
  <c r="CL324" i="1"/>
  <c r="CL323" i="1"/>
  <c r="CL322" i="1"/>
  <c r="CQ321" i="1"/>
  <c r="CL321" i="1"/>
  <c r="CL320" i="1"/>
  <c r="CQ319" i="1"/>
  <c r="CL319" i="1"/>
  <c r="CL318" i="1"/>
  <c r="CQ317" i="1"/>
  <c r="CL317" i="1"/>
  <c r="CL316" i="1"/>
  <c r="CQ315" i="1"/>
  <c r="CQ314" i="1"/>
  <c r="CP314" i="1"/>
  <c r="CB339" i="1"/>
  <c r="CA339" i="1"/>
  <c r="BZ339" i="1"/>
  <c r="BY339" i="1"/>
  <c r="BX339" i="1"/>
  <c r="BW339" i="1"/>
  <c r="BV339" i="1"/>
  <c r="BV338" i="1"/>
  <c r="BZ337" i="1"/>
  <c r="CE336" i="1"/>
  <c r="BZ336" i="1"/>
  <c r="BZ335" i="1"/>
  <c r="BZ334" i="1"/>
  <c r="CE333" i="1"/>
  <c r="BZ333" i="1"/>
  <c r="BZ332" i="1"/>
  <c r="BZ331" i="1"/>
  <c r="BZ330" i="1"/>
  <c r="CE329" i="1"/>
  <c r="BZ329" i="1"/>
  <c r="BZ328" i="1"/>
  <c r="BZ327" i="1"/>
  <c r="CE326" i="1"/>
  <c r="CE332" i="1" s="1"/>
  <c r="BZ326" i="1"/>
  <c r="BZ325" i="1"/>
  <c r="BZ324" i="1"/>
  <c r="BZ323" i="1"/>
  <c r="BZ322" i="1"/>
  <c r="CE321" i="1"/>
  <c r="BZ321" i="1"/>
  <c r="BZ320" i="1"/>
  <c r="CE319" i="1"/>
  <c r="BZ319" i="1"/>
  <c r="BZ318" i="1"/>
  <c r="CE317" i="1"/>
  <c r="BZ317" i="1"/>
  <c r="BZ316" i="1"/>
  <c r="CE315" i="1"/>
  <c r="CE314" i="1"/>
  <c r="CD314" i="1"/>
  <c r="BP339" i="1"/>
  <c r="BO339" i="1"/>
  <c r="BN339" i="1"/>
  <c r="BM339" i="1"/>
  <c r="BL339" i="1"/>
  <c r="BK339" i="1"/>
  <c r="BJ339" i="1"/>
  <c r="BJ338" i="1"/>
  <c r="BN337" i="1"/>
  <c r="BS336" i="1"/>
  <c r="BN336" i="1"/>
  <c r="BN335" i="1"/>
  <c r="BN334" i="1"/>
  <c r="BS333" i="1"/>
  <c r="BN333" i="1"/>
  <c r="BN332" i="1"/>
  <c r="BN331" i="1"/>
  <c r="BN330" i="1"/>
  <c r="BS329" i="1"/>
  <c r="BN329" i="1"/>
  <c r="BN328" i="1"/>
  <c r="BN327" i="1"/>
  <c r="BS326" i="1"/>
  <c r="BS332" i="1" s="1"/>
  <c r="BN326" i="1"/>
  <c r="BN325" i="1"/>
  <c r="BN324" i="1"/>
  <c r="BN323" i="1"/>
  <c r="BN322" i="1"/>
  <c r="BS321" i="1"/>
  <c r="BN321" i="1"/>
  <c r="BN320" i="1"/>
  <c r="BS319" i="1"/>
  <c r="BN319" i="1"/>
  <c r="BN318" i="1"/>
  <c r="BS317" i="1"/>
  <c r="BN317" i="1"/>
  <c r="BN316" i="1"/>
  <c r="BS315" i="1"/>
  <c r="BS314" i="1"/>
  <c r="BR314" i="1"/>
  <c r="BD339" i="1"/>
  <c r="BC339" i="1"/>
  <c r="BB339" i="1"/>
  <c r="BA339" i="1"/>
  <c r="AZ339" i="1"/>
  <c r="AY339" i="1"/>
  <c r="AX339" i="1"/>
  <c r="AX338" i="1"/>
  <c r="BB337" i="1"/>
  <c r="BG336" i="1"/>
  <c r="BB336" i="1"/>
  <c r="BB335" i="1"/>
  <c r="BB334" i="1"/>
  <c r="BG333" i="1"/>
  <c r="BB333" i="1"/>
  <c r="BB332" i="1"/>
  <c r="BB331" i="1"/>
  <c r="BB330" i="1"/>
  <c r="BG329" i="1"/>
  <c r="BB329" i="1"/>
  <c r="BB328" i="1"/>
  <c r="BB327" i="1"/>
  <c r="BG326" i="1"/>
  <c r="BG332" i="1" s="1"/>
  <c r="BB326" i="1"/>
  <c r="BB325" i="1"/>
  <c r="BB324" i="1"/>
  <c r="BB323" i="1"/>
  <c r="BB322" i="1"/>
  <c r="BG321" i="1"/>
  <c r="BB321" i="1"/>
  <c r="BB320" i="1"/>
  <c r="BG319" i="1"/>
  <c r="BB319" i="1"/>
  <c r="BB318" i="1"/>
  <c r="BG317" i="1"/>
  <c r="BB317" i="1"/>
  <c r="BB316" i="1"/>
  <c r="BG315" i="1"/>
  <c r="BG314" i="1"/>
  <c r="BF314" i="1"/>
  <c r="AR339" i="1"/>
  <c r="AQ339" i="1"/>
  <c r="AP339" i="1"/>
  <c r="AO339" i="1"/>
  <c r="AN339" i="1"/>
  <c r="AM339" i="1"/>
  <c r="AL339" i="1"/>
  <c r="AL338" i="1"/>
  <c r="AP337" i="1"/>
  <c r="AU336" i="1"/>
  <c r="AP336" i="1"/>
  <c r="AP335" i="1"/>
  <c r="AP334" i="1"/>
  <c r="AU333" i="1"/>
  <c r="AP333" i="1"/>
  <c r="AP332" i="1"/>
  <c r="AP331" i="1"/>
  <c r="AP330" i="1"/>
  <c r="AU329" i="1"/>
  <c r="AP329" i="1"/>
  <c r="AP328" i="1"/>
  <c r="AP327" i="1"/>
  <c r="AU326" i="1"/>
  <c r="AU332" i="1" s="1"/>
  <c r="AP326" i="1"/>
  <c r="AP325" i="1"/>
  <c r="AP324" i="1"/>
  <c r="AP323" i="1"/>
  <c r="AP322" i="1"/>
  <c r="AU321" i="1"/>
  <c r="AP321" i="1"/>
  <c r="AP320" i="1"/>
  <c r="AU319" i="1"/>
  <c r="AP319" i="1"/>
  <c r="AP318" i="1"/>
  <c r="AU317" i="1"/>
  <c r="AP317" i="1"/>
  <c r="AP316" i="1"/>
  <c r="AU315" i="1"/>
  <c r="AU314" i="1"/>
  <c r="AT314" i="1"/>
  <c r="AF339" i="1"/>
  <c r="AE339" i="1"/>
  <c r="AD339" i="1"/>
  <c r="AC339" i="1"/>
  <c r="AB339" i="1"/>
  <c r="AA339" i="1"/>
  <c r="Z339" i="1"/>
  <c r="Z338" i="1"/>
  <c r="AD337" i="1"/>
  <c r="AI336" i="1"/>
  <c r="AD336" i="1"/>
  <c r="AD335" i="1"/>
  <c r="AD334" i="1"/>
  <c r="AI333" i="1"/>
  <c r="AD333" i="1"/>
  <c r="AD332" i="1"/>
  <c r="AD331" i="1"/>
  <c r="AD330" i="1"/>
  <c r="AI329" i="1"/>
  <c r="AD329" i="1"/>
  <c r="AD328" i="1"/>
  <c r="AD327" i="1"/>
  <c r="AI326" i="1"/>
  <c r="AI332" i="1" s="1"/>
  <c r="AD326" i="1"/>
  <c r="AD325" i="1"/>
  <c r="AD324" i="1"/>
  <c r="AD323" i="1"/>
  <c r="AD322" i="1"/>
  <c r="AI321" i="1"/>
  <c r="AD321" i="1"/>
  <c r="AD320" i="1"/>
  <c r="AI319" i="1"/>
  <c r="AD319" i="1"/>
  <c r="AD318" i="1"/>
  <c r="AI317" i="1"/>
  <c r="AD317" i="1"/>
  <c r="AD316" i="1"/>
  <c r="AI315" i="1"/>
  <c r="AI314" i="1"/>
  <c r="AH314" i="1"/>
  <c r="T339" i="1"/>
  <c r="S339" i="1"/>
  <c r="R339" i="1"/>
  <c r="Q339" i="1"/>
  <c r="P339" i="1"/>
  <c r="O339" i="1"/>
  <c r="N339" i="1"/>
  <c r="N338" i="1"/>
  <c r="R337" i="1"/>
  <c r="W336" i="1"/>
  <c r="R336" i="1"/>
  <c r="R335" i="1"/>
  <c r="R334" i="1"/>
  <c r="W333" i="1"/>
  <c r="R333" i="1"/>
  <c r="R332" i="1"/>
  <c r="R331" i="1"/>
  <c r="R330" i="1"/>
  <c r="W329" i="1"/>
  <c r="R329" i="1"/>
  <c r="R328" i="1"/>
  <c r="R327" i="1"/>
  <c r="W326" i="1"/>
  <c r="W332" i="1" s="1"/>
  <c r="R326" i="1"/>
  <c r="R325" i="1"/>
  <c r="R324" i="1"/>
  <c r="R323" i="1"/>
  <c r="R322" i="1"/>
  <c r="W321" i="1"/>
  <c r="R321" i="1"/>
  <c r="R320" i="1"/>
  <c r="W319" i="1"/>
  <c r="R319" i="1"/>
  <c r="R318" i="1"/>
  <c r="W317" i="1"/>
  <c r="R317" i="1"/>
  <c r="R316" i="1"/>
  <c r="W315" i="1"/>
  <c r="W314" i="1"/>
  <c r="V314" i="1"/>
  <c r="C339" i="1"/>
  <c r="D339" i="1"/>
  <c r="E339" i="1"/>
  <c r="F339" i="1"/>
  <c r="G339" i="1"/>
  <c r="B339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16" i="1"/>
  <c r="K336" i="1"/>
  <c r="K333" i="1"/>
  <c r="K329" i="1"/>
  <c r="K326" i="1"/>
  <c r="K317" i="1"/>
  <c r="K319" i="1"/>
  <c r="K321" i="1"/>
  <c r="K315" i="1"/>
  <c r="K313" i="1"/>
  <c r="B312" i="1"/>
  <c r="K306" i="1"/>
  <c r="K297" i="1"/>
  <c r="K287" i="1"/>
  <c r="B286" i="1"/>
  <c r="K280" i="1"/>
  <c r="K271" i="1"/>
  <c r="K261" i="1"/>
  <c r="B260" i="1"/>
  <c r="K254" i="1"/>
  <c r="K245" i="1"/>
  <c r="K235" i="1"/>
  <c r="B234" i="1"/>
  <c r="K228" i="1"/>
  <c r="K219" i="1"/>
  <c r="K209" i="1"/>
  <c r="B208" i="1"/>
  <c r="K202" i="1"/>
  <c r="K193" i="1"/>
  <c r="K183" i="1"/>
  <c r="B182" i="1"/>
  <c r="K176" i="1"/>
  <c r="K167" i="1"/>
  <c r="K157" i="1"/>
  <c r="B156" i="1"/>
  <c r="K150" i="1"/>
  <c r="K141" i="1"/>
  <c r="K131" i="1"/>
  <c r="B130" i="1"/>
  <c r="K124" i="1"/>
  <c r="K115" i="1"/>
  <c r="K105" i="1"/>
  <c r="B104" i="1"/>
  <c r="K98" i="1"/>
  <c r="K89" i="1"/>
  <c r="K79" i="1"/>
  <c r="B78" i="1"/>
  <c r="K72" i="1"/>
  <c r="K63" i="1"/>
  <c r="K53" i="1"/>
  <c r="B52" i="1"/>
  <c r="K46" i="1"/>
  <c r="K37" i="1"/>
  <c r="CE339" i="1" l="1"/>
  <c r="BS339" i="1"/>
  <c r="BG339" i="1"/>
  <c r="AU339" i="1"/>
  <c r="AI339" i="1"/>
  <c r="W339" i="1"/>
  <c r="W323" i="1"/>
  <c r="AI323" i="1"/>
  <c r="AU323" i="1"/>
  <c r="BG323" i="1"/>
  <c r="BS323" i="1"/>
  <c r="CE323" i="1"/>
  <c r="CQ323" i="1"/>
  <c r="DC323" i="1"/>
  <c r="DO323" i="1"/>
  <c r="EA323" i="1"/>
  <c r="EM323" i="1"/>
  <c r="EQ288" i="1"/>
  <c r="EQ262" i="1"/>
  <c r="EQ236" i="1"/>
  <c r="EQ210" i="1"/>
  <c r="EQ184" i="1"/>
  <c r="EQ158" i="1"/>
  <c r="EQ132" i="1"/>
  <c r="EQ106" i="1"/>
  <c r="EQ80" i="1"/>
  <c r="EQ54" i="1"/>
  <c r="EQ28" i="1"/>
  <c r="EQ2" i="1"/>
  <c r="J314" i="1"/>
  <c r="EP8" i="2" l="1"/>
  <c r="EC8" i="2"/>
  <c r="EM1" i="2"/>
  <c r="EK1" i="2"/>
  <c r="DQ8" i="2"/>
  <c r="EA1" i="2"/>
  <c r="DY1" i="2"/>
  <c r="DE8" i="2"/>
  <c r="DO1" i="2"/>
  <c r="DM1" i="2"/>
  <c r="CS8" i="2"/>
  <c r="DC1" i="2"/>
  <c r="DA1" i="2"/>
  <c r="CG8" i="2"/>
  <c r="CQ1" i="2"/>
  <c r="CO1" i="2"/>
  <c r="BU8" i="2"/>
  <c r="CE1" i="2"/>
  <c r="CC1" i="2"/>
  <c r="BI8" i="2"/>
  <c r="BS1" i="2"/>
  <c r="BQ1" i="2"/>
  <c r="AW8" i="2"/>
  <c r="BG1" i="2"/>
  <c r="BE1" i="2"/>
  <c r="AK8" i="2"/>
  <c r="AU1" i="2"/>
  <c r="AS1" i="2"/>
  <c r="Y8" i="2"/>
  <c r="AI1" i="2"/>
  <c r="AG1" i="2"/>
  <c r="M8" i="2"/>
  <c r="W1" i="2"/>
  <c r="U1" i="2"/>
  <c r="EV339" i="1"/>
  <c r="EP338" i="1"/>
  <c r="EI28" i="2"/>
  <c r="EH28" i="2"/>
  <c r="EG28" i="2"/>
  <c r="EF28" i="2"/>
  <c r="ED28" i="2"/>
  <c r="EM25" i="2"/>
  <c r="EH23" i="2"/>
  <c r="EM16" i="2"/>
  <c r="EM10" i="2"/>
  <c r="EM8" i="2"/>
  <c r="EM6" i="2"/>
  <c r="EM4" i="2"/>
  <c r="EZ1" i="2" l="1"/>
  <c r="EH6" i="2"/>
  <c r="EH9" i="2"/>
  <c r="EH13" i="2"/>
  <c r="EH17" i="2"/>
  <c r="EH21" i="2"/>
  <c r="EH26" i="2"/>
  <c r="EH8" i="2"/>
  <c r="EH12" i="2"/>
  <c r="EH16" i="2"/>
  <c r="EH20" i="2"/>
  <c r="EH25" i="2"/>
  <c r="EH11" i="2"/>
  <c r="EH15" i="2"/>
  <c r="EH19" i="2"/>
  <c r="EH24" i="2"/>
  <c r="EH7" i="2"/>
  <c r="EH10" i="2"/>
  <c r="EH14" i="2"/>
  <c r="EH18" i="2"/>
  <c r="EH22" i="2"/>
  <c r="DV5" i="2"/>
  <c r="DV10" i="2"/>
  <c r="DV13" i="2"/>
  <c r="EA16" i="2"/>
  <c r="DV19" i="2"/>
  <c r="DV23" i="2"/>
  <c r="EA25" i="2"/>
  <c r="DT28" i="2"/>
  <c r="EA4" i="2"/>
  <c r="DV7" i="2"/>
  <c r="DV9" i="2"/>
  <c r="DV12" i="2"/>
  <c r="DV16" i="2"/>
  <c r="EA18" i="2"/>
  <c r="DV22" i="2"/>
  <c r="DV25" i="2"/>
  <c r="DS28" i="2"/>
  <c r="DW28" i="2"/>
  <c r="EA6" i="2"/>
  <c r="EA8" i="2"/>
  <c r="DV11" i="2"/>
  <c r="DV15" i="2"/>
  <c r="DV18" i="2"/>
  <c r="DV21" i="2"/>
  <c r="DV24" i="2"/>
  <c r="DR28" i="2"/>
  <c r="DV28" i="2"/>
  <c r="DV6" i="2"/>
  <c r="DV8" i="2"/>
  <c r="EA10" i="2"/>
  <c r="DV14" i="2"/>
  <c r="DV17" i="2"/>
  <c r="DV20" i="2"/>
  <c r="EA23" i="2"/>
  <c r="DV26" i="2"/>
  <c r="DU28" i="2"/>
  <c r="DJ6" i="2"/>
  <c r="DJ8" i="2"/>
  <c r="DO10" i="2"/>
  <c r="DJ14" i="2"/>
  <c r="DJ17" i="2"/>
  <c r="DJ20" i="2"/>
  <c r="DJ23" i="2"/>
  <c r="DO25" i="2"/>
  <c r="DH28" i="2"/>
  <c r="DJ5" i="2"/>
  <c r="DJ10" i="2"/>
  <c r="DJ13" i="2"/>
  <c r="DO16" i="2"/>
  <c r="DJ19" i="2"/>
  <c r="DJ22" i="2"/>
  <c r="DJ25" i="2"/>
  <c r="DG28" i="2"/>
  <c r="DK28" i="2"/>
  <c r="DO4" i="2"/>
  <c r="DJ7" i="2"/>
  <c r="DJ9" i="2"/>
  <c r="DJ12" i="2"/>
  <c r="DJ16" i="2"/>
  <c r="DO18" i="2"/>
  <c r="DJ21" i="2"/>
  <c r="DJ24" i="2"/>
  <c r="DF28" i="2"/>
  <c r="DJ28" i="2"/>
  <c r="DO6" i="2"/>
  <c r="DO8" i="2"/>
  <c r="DJ11" i="2"/>
  <c r="DJ15" i="2"/>
  <c r="DJ18" i="2"/>
  <c r="DO23" i="2"/>
  <c r="DJ26" i="2"/>
  <c r="DI28" i="2"/>
  <c r="DC6" i="2"/>
  <c r="DC8" i="2"/>
  <c r="CX11" i="2"/>
  <c r="CX15" i="2"/>
  <c r="CX18" i="2"/>
  <c r="CX21" i="2"/>
  <c r="CX24" i="2"/>
  <c r="CT28" i="2"/>
  <c r="CX28" i="2"/>
  <c r="CX6" i="2"/>
  <c r="CX8" i="2"/>
  <c r="DC10" i="2"/>
  <c r="CX14" i="2"/>
  <c r="CX17" i="2"/>
  <c r="CX20" i="2"/>
  <c r="DC23" i="2"/>
  <c r="CX26" i="2"/>
  <c r="CW28" i="2"/>
  <c r="CX5" i="2"/>
  <c r="CX10" i="2"/>
  <c r="CX13" i="2"/>
  <c r="DC16" i="2"/>
  <c r="CX19" i="2"/>
  <c r="CX23" i="2"/>
  <c r="DC25" i="2"/>
  <c r="CV28" i="2"/>
  <c r="DC4" i="2"/>
  <c r="CX7" i="2"/>
  <c r="CX9" i="2"/>
  <c r="CX12" i="2"/>
  <c r="CX16" i="2"/>
  <c r="DC18" i="2"/>
  <c r="CX22" i="2"/>
  <c r="CX25" i="2"/>
  <c r="CU28" i="2"/>
  <c r="CY28" i="2"/>
  <c r="CQ6" i="2"/>
  <c r="CQ8" i="2"/>
  <c r="CL11" i="2"/>
  <c r="CL15" i="2"/>
  <c r="CL18" i="2"/>
  <c r="CL21" i="2"/>
  <c r="CL24" i="2"/>
  <c r="CH28" i="2"/>
  <c r="CL28" i="2"/>
  <c r="CL6" i="2"/>
  <c r="CL8" i="2"/>
  <c r="CQ10" i="2"/>
  <c r="CL14" i="2"/>
  <c r="CL17" i="2"/>
  <c r="CL20" i="2"/>
  <c r="CQ23" i="2"/>
  <c r="CL26" i="2"/>
  <c r="CK28" i="2"/>
  <c r="CL5" i="2"/>
  <c r="CL10" i="2"/>
  <c r="CL13" i="2"/>
  <c r="CQ16" i="2"/>
  <c r="CL19" i="2"/>
  <c r="CL23" i="2"/>
  <c r="CQ25" i="2"/>
  <c r="CJ28" i="2"/>
  <c r="CQ4" i="2"/>
  <c r="CL7" i="2"/>
  <c r="CL9" i="2"/>
  <c r="CL12" i="2"/>
  <c r="CL16" i="2"/>
  <c r="CQ18" i="2"/>
  <c r="CL22" i="2"/>
  <c r="CL25" i="2"/>
  <c r="CI28" i="2"/>
  <c r="CM28" i="2"/>
  <c r="CE4" i="2"/>
  <c r="BZ7" i="2"/>
  <c r="BZ9" i="2"/>
  <c r="BZ12" i="2"/>
  <c r="BZ16" i="2"/>
  <c r="CE18" i="2"/>
  <c r="BZ22" i="2"/>
  <c r="BZ25" i="2"/>
  <c r="BW28" i="2"/>
  <c r="CA28" i="2"/>
  <c r="CE6" i="2"/>
  <c r="CE8" i="2"/>
  <c r="BZ11" i="2"/>
  <c r="BZ15" i="2"/>
  <c r="BZ18" i="2"/>
  <c r="BZ21" i="2"/>
  <c r="BZ24" i="2"/>
  <c r="BV28" i="2"/>
  <c r="BZ28" i="2"/>
  <c r="BZ6" i="2"/>
  <c r="BZ8" i="2"/>
  <c r="CE10" i="2"/>
  <c r="BZ14" i="2"/>
  <c r="BZ17" i="2"/>
  <c r="BZ20" i="2"/>
  <c r="CE23" i="2"/>
  <c r="BZ26" i="2"/>
  <c r="BY28" i="2"/>
  <c r="BZ5" i="2"/>
  <c r="BZ10" i="2"/>
  <c r="BZ13" i="2"/>
  <c r="CE16" i="2"/>
  <c r="BZ19" i="2"/>
  <c r="BZ23" i="2"/>
  <c r="CE25" i="2"/>
  <c r="BX28" i="2"/>
  <c r="BS6" i="2"/>
  <c r="BS8" i="2"/>
  <c r="BN11" i="2"/>
  <c r="BN15" i="2"/>
  <c r="BN18" i="2"/>
  <c r="BN21" i="2"/>
  <c r="BN24" i="2"/>
  <c r="BJ28" i="2"/>
  <c r="BN28" i="2"/>
  <c r="BN6" i="2"/>
  <c r="BN8" i="2"/>
  <c r="BS10" i="2"/>
  <c r="BN14" i="2"/>
  <c r="BN17" i="2"/>
  <c r="BN20" i="2"/>
  <c r="BS23" i="2"/>
  <c r="BN26" i="2"/>
  <c r="BM28" i="2"/>
  <c r="BN5" i="2"/>
  <c r="BN10" i="2"/>
  <c r="BN13" i="2"/>
  <c r="BS16" i="2"/>
  <c r="BN19" i="2"/>
  <c r="BN23" i="2"/>
  <c r="BS25" i="2"/>
  <c r="BL28" i="2"/>
  <c r="BS4" i="2"/>
  <c r="BN7" i="2"/>
  <c r="BN9" i="2"/>
  <c r="BN12" i="2"/>
  <c r="BN16" i="2"/>
  <c r="BS18" i="2"/>
  <c r="BN22" i="2"/>
  <c r="BN25" i="2"/>
  <c r="BK28" i="2"/>
  <c r="BO28" i="2"/>
  <c r="BG6" i="2"/>
  <c r="BG8" i="2"/>
  <c r="BB11" i="2"/>
  <c r="BB15" i="2"/>
  <c r="BB18" i="2"/>
  <c r="BB21" i="2"/>
  <c r="BB24" i="2"/>
  <c r="AX28" i="2"/>
  <c r="BB28" i="2"/>
  <c r="BB6" i="2"/>
  <c r="BB8" i="2"/>
  <c r="BG10" i="2"/>
  <c r="BB14" i="2"/>
  <c r="BB17" i="2"/>
  <c r="BB20" i="2"/>
  <c r="BG23" i="2"/>
  <c r="BB26" i="2"/>
  <c r="BA28" i="2"/>
  <c r="BB5" i="2"/>
  <c r="BB10" i="2"/>
  <c r="BB13" i="2"/>
  <c r="BG16" i="2"/>
  <c r="BB19" i="2"/>
  <c r="BB23" i="2"/>
  <c r="BG25" i="2"/>
  <c r="AZ28" i="2"/>
  <c r="BG4" i="2"/>
  <c r="BB7" i="2"/>
  <c r="BB9" i="2"/>
  <c r="BB12" i="2"/>
  <c r="BB16" i="2"/>
  <c r="BG18" i="2"/>
  <c r="BB22" i="2"/>
  <c r="BB25" i="2"/>
  <c r="AY28" i="2"/>
  <c r="BC28" i="2"/>
  <c r="AU4" i="2"/>
  <c r="AP7" i="2"/>
  <c r="AP9" i="2"/>
  <c r="AP12" i="2"/>
  <c r="AP16" i="2"/>
  <c r="AU18" i="2"/>
  <c r="AP22" i="2"/>
  <c r="AP25" i="2"/>
  <c r="AM28" i="2"/>
  <c r="AQ28" i="2"/>
  <c r="AU6" i="2"/>
  <c r="AU8" i="2"/>
  <c r="AP11" i="2"/>
  <c r="AP15" i="2"/>
  <c r="AP18" i="2"/>
  <c r="AP21" i="2"/>
  <c r="AP24" i="2"/>
  <c r="AL28" i="2"/>
  <c r="AP28" i="2"/>
  <c r="AP6" i="2"/>
  <c r="AP8" i="2"/>
  <c r="AU10" i="2"/>
  <c r="AP14" i="2"/>
  <c r="AP17" i="2"/>
  <c r="AP20" i="2"/>
  <c r="AU23" i="2"/>
  <c r="AP26" i="2"/>
  <c r="AO28" i="2"/>
  <c r="AP5" i="2"/>
  <c r="AP10" i="2"/>
  <c r="AP13" i="2"/>
  <c r="AU16" i="2"/>
  <c r="AP19" i="2"/>
  <c r="AP23" i="2"/>
  <c r="AU25" i="2"/>
  <c r="AN28" i="2"/>
  <c r="AI4" i="2"/>
  <c r="AD7" i="2"/>
  <c r="AD9" i="2"/>
  <c r="AD12" i="2"/>
  <c r="AD16" i="2"/>
  <c r="AI18" i="2"/>
  <c r="AD22" i="2"/>
  <c r="AD25" i="2"/>
  <c r="AA28" i="2"/>
  <c r="AE28" i="2"/>
  <c r="AI6" i="2"/>
  <c r="AI8" i="2"/>
  <c r="AD11" i="2"/>
  <c r="AD15" i="2"/>
  <c r="AD18" i="2"/>
  <c r="AD21" i="2"/>
  <c r="AD24" i="2"/>
  <c r="Z28" i="2"/>
  <c r="AD28" i="2"/>
  <c r="AD6" i="2"/>
  <c r="AD8" i="2"/>
  <c r="AI10" i="2"/>
  <c r="AD14" i="2"/>
  <c r="AD17" i="2"/>
  <c r="AD20" i="2"/>
  <c r="AI23" i="2"/>
  <c r="AD26" i="2"/>
  <c r="AC28" i="2"/>
  <c r="AD5" i="2"/>
  <c r="AD10" i="2"/>
  <c r="AD13" i="2"/>
  <c r="AI16" i="2"/>
  <c r="AD19" i="2"/>
  <c r="AD23" i="2"/>
  <c r="AI25" i="2"/>
  <c r="AB28" i="2"/>
  <c r="W6" i="2"/>
  <c r="W8" i="2"/>
  <c r="R11" i="2"/>
  <c r="R15" i="2"/>
  <c r="R18" i="2"/>
  <c r="R21" i="2"/>
  <c r="R24" i="2"/>
  <c r="N28" i="2"/>
  <c r="R28" i="2"/>
  <c r="R6" i="2"/>
  <c r="R8" i="2"/>
  <c r="W10" i="2"/>
  <c r="R14" i="2"/>
  <c r="R17" i="2"/>
  <c r="R20" i="2"/>
  <c r="W23" i="2"/>
  <c r="R26" i="2"/>
  <c r="Q28" i="2"/>
  <c r="R5" i="2"/>
  <c r="R10" i="2"/>
  <c r="R13" i="2"/>
  <c r="W16" i="2"/>
  <c r="R19" i="2"/>
  <c r="R23" i="2"/>
  <c r="W25" i="2"/>
  <c r="P28" i="2"/>
  <c r="W4" i="2"/>
  <c r="R7" i="2"/>
  <c r="R9" i="2"/>
  <c r="R12" i="2"/>
  <c r="R16" i="2"/>
  <c r="W18" i="2"/>
  <c r="R22" i="2"/>
  <c r="R25" i="2"/>
  <c r="O28" i="2"/>
  <c r="S28" i="2"/>
  <c r="EE28" i="2"/>
  <c r="EM23" i="2"/>
  <c r="EM27" i="2" s="1"/>
  <c r="EM18" i="2"/>
  <c r="EH5" i="2"/>
  <c r="EM12" i="2"/>
  <c r="K25" i="2"/>
  <c r="K23" i="2"/>
  <c r="K16" i="2"/>
  <c r="C28" i="2"/>
  <c r="D28" i="2"/>
  <c r="E28" i="2"/>
  <c r="F28" i="2"/>
  <c r="G28" i="2"/>
  <c r="B28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5" i="2"/>
  <c r="EA20" i="2" l="1"/>
  <c r="EA27" i="2"/>
  <c r="EA12" i="2"/>
  <c r="CQ20" i="2"/>
  <c r="CQ27" i="2"/>
  <c r="CE20" i="2"/>
  <c r="BS27" i="2"/>
  <c r="EM20" i="2"/>
  <c r="DO27" i="2"/>
  <c r="DO12" i="2"/>
  <c r="DC27" i="2"/>
  <c r="DC20" i="2"/>
  <c r="DC12" i="2"/>
  <c r="CQ12" i="2"/>
  <c r="CE27" i="2"/>
  <c r="CE12" i="2"/>
  <c r="BS20" i="2"/>
  <c r="BG27" i="2"/>
  <c r="BG20" i="2"/>
  <c r="AU20" i="2"/>
  <c r="AU27" i="2"/>
  <c r="AI12" i="2"/>
  <c r="AI27" i="2"/>
  <c r="W27" i="2"/>
  <c r="W20" i="2"/>
  <c r="W12" i="2"/>
  <c r="AI20" i="2"/>
  <c r="DO20" i="2"/>
  <c r="BS12" i="2"/>
  <c r="BG12" i="2"/>
  <c r="AU12" i="2"/>
  <c r="EZ16" i="2"/>
  <c r="EZ23" i="2"/>
  <c r="EZ25" i="2"/>
  <c r="EU26" i="2"/>
  <c r="EU25" i="2"/>
  <c r="EU24" i="2"/>
  <c r="EU23" i="2"/>
  <c r="EU22" i="2"/>
  <c r="EU21" i="2"/>
  <c r="EU20" i="2"/>
  <c r="EU19" i="2"/>
  <c r="EU18" i="2"/>
  <c r="EU17" i="2"/>
  <c r="EU16" i="2"/>
  <c r="EU15" i="2"/>
  <c r="EU14" i="2"/>
  <c r="EU13" i="2"/>
  <c r="EU12" i="2"/>
  <c r="EU11" i="2"/>
  <c r="EU10" i="2"/>
  <c r="EU9" i="2"/>
  <c r="EU8" i="2"/>
  <c r="EU7" i="2"/>
  <c r="EU6" i="2"/>
  <c r="EU5" i="2"/>
  <c r="EV28" i="2"/>
  <c r="EU28" i="2"/>
  <c r="ET28" i="2"/>
  <c r="ES28" i="2"/>
  <c r="ER28" i="2"/>
  <c r="EQ28" i="2"/>
  <c r="K4" i="2"/>
  <c r="K6" i="2"/>
  <c r="K8" i="2"/>
  <c r="K10" i="2"/>
  <c r="K18" i="2"/>
  <c r="EZ4" i="2" l="1"/>
  <c r="EZ6" i="2"/>
  <c r="EZ8" i="2"/>
  <c r="EZ10" i="2"/>
  <c r="EZ18" i="2"/>
  <c r="EZ27" i="2"/>
  <c r="K12" i="2"/>
  <c r="EU313" i="1"/>
  <c r="ET313" i="1"/>
  <c r="ES313" i="1"/>
  <c r="ER313" i="1"/>
  <c r="EQ313" i="1"/>
  <c r="EP313" i="1"/>
  <c r="EP312" i="1"/>
  <c r="ET311" i="1"/>
  <c r="EY310" i="1"/>
  <c r="ET310" i="1"/>
  <c r="ET309" i="1"/>
  <c r="ET308" i="1"/>
  <c r="EY307" i="1"/>
  <c r="ET307" i="1"/>
  <c r="ET306" i="1"/>
  <c r="ET305" i="1"/>
  <c r="ET304" i="1"/>
  <c r="EY303" i="1"/>
  <c r="ET303" i="1"/>
  <c r="ET302" i="1"/>
  <c r="ET301" i="1"/>
  <c r="EY300" i="1"/>
  <c r="EY306" i="1" s="1"/>
  <c r="ET300" i="1"/>
  <c r="ET299" i="1"/>
  <c r="ET298" i="1"/>
  <c r="ET297" i="1"/>
  <c r="ET296" i="1"/>
  <c r="EY295" i="1"/>
  <c r="ET295" i="1"/>
  <c r="ET294" i="1"/>
  <c r="EY293" i="1"/>
  <c r="ET293" i="1"/>
  <c r="ET292" i="1"/>
  <c r="EY291" i="1"/>
  <c r="ET291" i="1"/>
  <c r="ET290" i="1"/>
  <c r="EY289" i="1"/>
  <c r="EU287" i="1"/>
  <c r="ET287" i="1"/>
  <c r="ES287" i="1"/>
  <c r="ER287" i="1"/>
  <c r="EQ287" i="1"/>
  <c r="EP287" i="1"/>
  <c r="EP286" i="1"/>
  <c r="ET285" i="1"/>
  <c r="EY284" i="1"/>
  <c r="ET284" i="1"/>
  <c r="ET283" i="1"/>
  <c r="ET282" i="1"/>
  <c r="EY281" i="1"/>
  <c r="ET281" i="1"/>
  <c r="ET280" i="1"/>
  <c r="ET279" i="1"/>
  <c r="ET278" i="1"/>
  <c r="EY277" i="1"/>
  <c r="ET277" i="1"/>
  <c r="ET276" i="1"/>
  <c r="ET275" i="1"/>
  <c r="EY274" i="1"/>
  <c r="EY280" i="1" s="1"/>
  <c r="ET274" i="1"/>
  <c r="ET273" i="1"/>
  <c r="ET272" i="1"/>
  <c r="ET271" i="1"/>
  <c r="ET270" i="1"/>
  <c r="EY269" i="1"/>
  <c r="ET269" i="1"/>
  <c r="ET268" i="1"/>
  <c r="EY267" i="1"/>
  <c r="ET267" i="1"/>
  <c r="ET266" i="1"/>
  <c r="EY265" i="1"/>
  <c r="ET265" i="1"/>
  <c r="ET264" i="1"/>
  <c r="EY263" i="1"/>
  <c r="EU261" i="1"/>
  <c r="ET261" i="1"/>
  <c r="ES261" i="1"/>
  <c r="ER261" i="1"/>
  <c r="EQ261" i="1"/>
  <c r="EP261" i="1"/>
  <c r="EP260" i="1"/>
  <c r="ET259" i="1"/>
  <c r="EY258" i="1"/>
  <c r="ET258" i="1"/>
  <c r="ET257" i="1"/>
  <c r="ET256" i="1"/>
  <c r="EY255" i="1"/>
  <c r="ET255" i="1"/>
  <c r="ET254" i="1"/>
  <c r="ET253" i="1"/>
  <c r="ET252" i="1"/>
  <c r="EY251" i="1"/>
  <c r="ET251" i="1"/>
  <c r="ET250" i="1"/>
  <c r="ET249" i="1"/>
  <c r="EY248" i="1"/>
  <c r="ET248" i="1"/>
  <c r="ET247" i="1"/>
  <c r="ET246" i="1"/>
  <c r="ET245" i="1"/>
  <c r="ET244" i="1"/>
  <c r="EY243" i="1"/>
  <c r="ET243" i="1"/>
  <c r="ET242" i="1"/>
  <c r="EY241" i="1"/>
  <c r="ET241" i="1"/>
  <c r="ET240" i="1"/>
  <c r="EY239" i="1"/>
  <c r="ET239" i="1"/>
  <c r="ET238" i="1"/>
  <c r="EY237" i="1"/>
  <c r="EU235" i="1"/>
  <c r="ET235" i="1"/>
  <c r="ES235" i="1"/>
  <c r="ER235" i="1"/>
  <c r="EQ235" i="1"/>
  <c r="EP235" i="1"/>
  <c r="EP234" i="1"/>
  <c r="ET233" i="1"/>
  <c r="EY232" i="1"/>
  <c r="ET232" i="1"/>
  <c r="ET231" i="1"/>
  <c r="ET230" i="1"/>
  <c r="EY229" i="1"/>
  <c r="ET229" i="1"/>
  <c r="ET228" i="1"/>
  <c r="ET227" i="1"/>
  <c r="ET226" i="1"/>
  <c r="EY225" i="1"/>
  <c r="ET225" i="1"/>
  <c r="ET224" i="1"/>
  <c r="ET223" i="1"/>
  <c r="EY222" i="1"/>
  <c r="EY228" i="1" s="1"/>
  <c r="ET222" i="1"/>
  <c r="ET221" i="1"/>
  <c r="ET220" i="1"/>
  <c r="ET219" i="1"/>
  <c r="ET218" i="1"/>
  <c r="EY217" i="1"/>
  <c r="ET217" i="1"/>
  <c r="ET216" i="1"/>
  <c r="EY215" i="1"/>
  <c r="ET215" i="1"/>
  <c r="ET214" i="1"/>
  <c r="EY213" i="1"/>
  <c r="ET213" i="1"/>
  <c r="ET212" i="1"/>
  <c r="EY211" i="1"/>
  <c r="EU209" i="1"/>
  <c r="ET209" i="1"/>
  <c r="ES209" i="1"/>
  <c r="ER209" i="1"/>
  <c r="EQ209" i="1"/>
  <c r="EP209" i="1"/>
  <c r="EP208" i="1"/>
  <c r="ET207" i="1"/>
  <c r="EY206" i="1"/>
  <c r="ET206" i="1"/>
  <c r="ET205" i="1"/>
  <c r="ET204" i="1"/>
  <c r="EY203" i="1"/>
  <c r="ET203" i="1"/>
  <c r="ET202" i="1"/>
  <c r="ET201" i="1"/>
  <c r="ET200" i="1"/>
  <c r="EY199" i="1"/>
  <c r="ET199" i="1"/>
  <c r="ET198" i="1"/>
  <c r="ET197" i="1"/>
  <c r="EY196" i="1"/>
  <c r="ET196" i="1"/>
  <c r="ET195" i="1"/>
  <c r="ET194" i="1"/>
  <c r="ET193" i="1"/>
  <c r="ET192" i="1"/>
  <c r="EY191" i="1"/>
  <c r="ET191" i="1"/>
  <c r="ET190" i="1"/>
  <c r="EY189" i="1"/>
  <c r="ET189" i="1"/>
  <c r="ET188" i="1"/>
  <c r="EY187" i="1"/>
  <c r="ET187" i="1"/>
  <c r="ET186" i="1"/>
  <c r="EY185" i="1"/>
  <c r="EU183" i="1"/>
  <c r="ET183" i="1"/>
  <c r="ES183" i="1"/>
  <c r="ER183" i="1"/>
  <c r="EQ183" i="1"/>
  <c r="EP183" i="1"/>
  <c r="EP182" i="1"/>
  <c r="ET181" i="1"/>
  <c r="EY180" i="1"/>
  <c r="ET180" i="1"/>
  <c r="ET179" i="1"/>
  <c r="ET178" i="1"/>
  <c r="EY177" i="1"/>
  <c r="EY183" i="1" s="1"/>
  <c r="ET177" i="1"/>
  <c r="ET176" i="1"/>
  <c r="ET175" i="1"/>
  <c r="ET174" i="1"/>
  <c r="EY173" i="1"/>
  <c r="ET173" i="1"/>
  <c r="ET172" i="1"/>
  <c r="ET171" i="1"/>
  <c r="EY170" i="1"/>
  <c r="EY176" i="1" s="1"/>
  <c r="ET170" i="1"/>
  <c r="ET169" i="1"/>
  <c r="ET168" i="1"/>
  <c r="ET167" i="1"/>
  <c r="ET166" i="1"/>
  <c r="EY165" i="1"/>
  <c r="ET165" i="1"/>
  <c r="ET164" i="1"/>
  <c r="EY163" i="1"/>
  <c r="ET163" i="1"/>
  <c r="ET162" i="1"/>
  <c r="EY161" i="1"/>
  <c r="ET161" i="1"/>
  <c r="ET160" i="1"/>
  <c r="EY159" i="1"/>
  <c r="EU157" i="1"/>
  <c r="ET157" i="1"/>
  <c r="ES157" i="1"/>
  <c r="ER157" i="1"/>
  <c r="EQ157" i="1"/>
  <c r="EP157" i="1"/>
  <c r="EP156" i="1"/>
  <c r="ET155" i="1"/>
  <c r="EY154" i="1"/>
  <c r="ET154" i="1"/>
  <c r="ET153" i="1"/>
  <c r="ET152" i="1"/>
  <c r="EY151" i="1"/>
  <c r="EY157" i="1" s="1"/>
  <c r="ET151" i="1"/>
  <c r="ET150" i="1"/>
  <c r="ET149" i="1"/>
  <c r="ET148" i="1"/>
  <c r="EY147" i="1"/>
  <c r="ET147" i="1"/>
  <c r="ET146" i="1"/>
  <c r="ET145" i="1"/>
  <c r="EY144" i="1"/>
  <c r="EY150" i="1" s="1"/>
  <c r="ET144" i="1"/>
  <c r="ET143" i="1"/>
  <c r="ET142" i="1"/>
  <c r="ET141" i="1"/>
  <c r="ET140" i="1"/>
  <c r="EY139" i="1"/>
  <c r="ET139" i="1"/>
  <c r="ET138" i="1"/>
  <c r="EY137" i="1"/>
  <c r="ET137" i="1"/>
  <c r="ET136" i="1"/>
  <c r="EY135" i="1"/>
  <c r="ET135" i="1"/>
  <c r="ET134" i="1"/>
  <c r="EY133" i="1"/>
  <c r="EU131" i="1"/>
  <c r="ET131" i="1"/>
  <c r="ES131" i="1"/>
  <c r="ER131" i="1"/>
  <c r="EQ131" i="1"/>
  <c r="EP131" i="1"/>
  <c r="EP130" i="1"/>
  <c r="ET129" i="1"/>
  <c r="EY128" i="1"/>
  <c r="ET128" i="1"/>
  <c r="ET127" i="1"/>
  <c r="ET126" i="1"/>
  <c r="EY125" i="1"/>
  <c r="ET125" i="1"/>
  <c r="ET124" i="1"/>
  <c r="ET123" i="1"/>
  <c r="ET122" i="1"/>
  <c r="EY121" i="1"/>
  <c r="ET121" i="1"/>
  <c r="ET120" i="1"/>
  <c r="ET119" i="1"/>
  <c r="EY118" i="1"/>
  <c r="ET118" i="1"/>
  <c r="ET117" i="1"/>
  <c r="ET116" i="1"/>
  <c r="ET115" i="1"/>
  <c r="ET114" i="1"/>
  <c r="EY113" i="1"/>
  <c r="ET113" i="1"/>
  <c r="ET112" i="1"/>
  <c r="EY111" i="1"/>
  <c r="ET111" i="1"/>
  <c r="ET110" i="1"/>
  <c r="EY109" i="1"/>
  <c r="ET109" i="1"/>
  <c r="ET108" i="1"/>
  <c r="EY107" i="1"/>
  <c r="EU105" i="1"/>
  <c r="ET105" i="1"/>
  <c r="ES105" i="1"/>
  <c r="ER105" i="1"/>
  <c r="EQ105" i="1"/>
  <c r="EP105" i="1"/>
  <c r="EP104" i="1"/>
  <c r="ET103" i="1"/>
  <c r="EY102" i="1"/>
  <c r="ET102" i="1"/>
  <c r="ET101" i="1"/>
  <c r="ET100" i="1"/>
  <c r="EY99" i="1"/>
  <c r="ET99" i="1"/>
  <c r="ET98" i="1"/>
  <c r="ET97" i="1"/>
  <c r="ET96" i="1"/>
  <c r="EY95" i="1"/>
  <c r="ET95" i="1"/>
  <c r="ET94" i="1"/>
  <c r="ET93" i="1"/>
  <c r="EY92" i="1"/>
  <c r="ET92" i="1"/>
  <c r="ET91" i="1"/>
  <c r="ET90" i="1"/>
  <c r="ET89" i="1"/>
  <c r="ET88" i="1"/>
  <c r="EY87" i="1"/>
  <c r="ET87" i="1"/>
  <c r="ET86" i="1"/>
  <c r="EY85" i="1"/>
  <c r="ET85" i="1"/>
  <c r="ET84" i="1"/>
  <c r="EY83" i="1"/>
  <c r="ET83" i="1"/>
  <c r="ET82" i="1"/>
  <c r="EY81" i="1"/>
  <c r="EU79" i="1"/>
  <c r="ET79" i="1"/>
  <c r="ES79" i="1"/>
  <c r="ER79" i="1"/>
  <c r="EQ79" i="1"/>
  <c r="EP79" i="1"/>
  <c r="EP78" i="1"/>
  <c r="ET77" i="1"/>
  <c r="EY76" i="1"/>
  <c r="ET76" i="1"/>
  <c r="ET75" i="1"/>
  <c r="ET74" i="1"/>
  <c r="EY73" i="1"/>
  <c r="ET73" i="1"/>
  <c r="ET72" i="1"/>
  <c r="ET71" i="1"/>
  <c r="ET70" i="1"/>
  <c r="EY69" i="1"/>
  <c r="ET69" i="1"/>
  <c r="ET68" i="1"/>
  <c r="ET67" i="1"/>
  <c r="EY66" i="1"/>
  <c r="ET66" i="1"/>
  <c r="ET65" i="1"/>
  <c r="ET64" i="1"/>
  <c r="ET63" i="1"/>
  <c r="ET62" i="1"/>
  <c r="EY61" i="1"/>
  <c r="ET61" i="1"/>
  <c r="ET60" i="1"/>
  <c r="EY59" i="1"/>
  <c r="ET59" i="1"/>
  <c r="ET58" i="1"/>
  <c r="EY57" i="1"/>
  <c r="ET57" i="1"/>
  <c r="ET56" i="1"/>
  <c r="EY55" i="1"/>
  <c r="EU53" i="1"/>
  <c r="ET53" i="1"/>
  <c r="ES53" i="1"/>
  <c r="ER53" i="1"/>
  <c r="EQ53" i="1"/>
  <c r="EP53" i="1"/>
  <c r="EP52" i="1"/>
  <c r="ET51" i="1"/>
  <c r="EY50" i="1"/>
  <c r="ET50" i="1"/>
  <c r="ET49" i="1"/>
  <c r="ET48" i="1"/>
  <c r="EY47" i="1"/>
  <c r="ET47" i="1"/>
  <c r="ET46" i="1"/>
  <c r="ET45" i="1"/>
  <c r="ET44" i="1"/>
  <c r="EY43" i="1"/>
  <c r="ET43" i="1"/>
  <c r="ET42" i="1"/>
  <c r="ET41" i="1"/>
  <c r="EY40" i="1"/>
  <c r="ET40" i="1"/>
  <c r="ET39" i="1"/>
  <c r="ET38" i="1"/>
  <c r="ET37" i="1"/>
  <c r="ET36" i="1"/>
  <c r="EY35" i="1"/>
  <c r="ET35" i="1"/>
  <c r="ET34" i="1"/>
  <c r="EY33" i="1"/>
  <c r="ET33" i="1"/>
  <c r="ET32" i="1"/>
  <c r="EY31" i="1"/>
  <c r="ET31" i="1"/>
  <c r="ET30" i="1"/>
  <c r="EY29" i="1"/>
  <c r="EY24" i="1"/>
  <c r="EY17" i="1"/>
  <c r="EY21" i="1"/>
  <c r="EY14" i="1"/>
  <c r="EY5" i="1"/>
  <c r="EY7" i="1"/>
  <c r="EY9" i="1"/>
  <c r="EY3" i="1"/>
  <c r="EQ27" i="1"/>
  <c r="ER27" i="1"/>
  <c r="ES27" i="1"/>
  <c r="ET27" i="1"/>
  <c r="EU27" i="1"/>
  <c r="EP27" i="1"/>
  <c r="ET5" i="1"/>
  <c r="ET6" i="1"/>
  <c r="ET7" i="1"/>
  <c r="ET8" i="1"/>
  <c r="ET9" i="1"/>
  <c r="ET10" i="1"/>
  <c r="ET11" i="1"/>
  <c r="ET12" i="1"/>
  <c r="ET13" i="1"/>
  <c r="ET14" i="1"/>
  <c r="ET15" i="1"/>
  <c r="ET16" i="1"/>
  <c r="ET17" i="1"/>
  <c r="ET18" i="1"/>
  <c r="ET19" i="1"/>
  <c r="ET20" i="1"/>
  <c r="ET21" i="1"/>
  <c r="ET22" i="1"/>
  <c r="ET23" i="1"/>
  <c r="ET24" i="1"/>
  <c r="ET25" i="1"/>
  <c r="ET4" i="1"/>
  <c r="EY314" i="1"/>
  <c r="EP26" i="1"/>
  <c r="ET316" i="1" l="1"/>
  <c r="ET330" i="1"/>
  <c r="ET326" i="1"/>
  <c r="ET318" i="1"/>
  <c r="ET339" i="1"/>
  <c r="EY315" i="1"/>
  <c r="EY326" i="1"/>
  <c r="ET334" i="1"/>
  <c r="ET322" i="1"/>
  <c r="ET336" i="1"/>
  <c r="ET332" i="1"/>
  <c r="ET328" i="1"/>
  <c r="ET324" i="1"/>
  <c r="ET320" i="1"/>
  <c r="EY319" i="1"/>
  <c r="EY329" i="1"/>
  <c r="ET335" i="1"/>
  <c r="ET331" i="1"/>
  <c r="ET327" i="1"/>
  <c r="ET323" i="1"/>
  <c r="ET319" i="1"/>
  <c r="EU339" i="1"/>
  <c r="EY317" i="1"/>
  <c r="EY336" i="1"/>
  <c r="ET337" i="1"/>
  <c r="ET333" i="1"/>
  <c r="ET329" i="1"/>
  <c r="ET325" i="1"/>
  <c r="ET321" i="1"/>
  <c r="ET317" i="1"/>
  <c r="EY321" i="1"/>
  <c r="EY333" i="1"/>
  <c r="EP339" i="1"/>
  <c r="ER339" i="1"/>
  <c r="EQ339" i="1"/>
  <c r="ES339" i="1"/>
  <c r="EY202" i="1"/>
  <c r="EY46" i="1"/>
  <c r="EY105" i="1"/>
  <c r="EY235" i="1"/>
  <c r="EY124" i="1"/>
  <c r="EY209" i="1"/>
  <c r="EY261" i="1"/>
  <c r="EY287" i="1"/>
  <c r="EY72" i="1"/>
  <c r="EY313" i="1"/>
  <c r="EY131" i="1"/>
  <c r="EY254" i="1"/>
  <c r="EY98" i="1"/>
  <c r="EY79" i="1"/>
  <c r="EY89" i="1"/>
  <c r="EY297" i="1"/>
  <c r="EY271" i="1"/>
  <c r="EZ12" i="2"/>
  <c r="EZ20" i="2"/>
  <c r="EY27" i="1"/>
  <c r="EY245" i="1"/>
  <c r="EY219" i="1"/>
  <c r="EY193" i="1"/>
  <c r="EY167" i="1"/>
  <c r="EY141" i="1"/>
  <c r="EY115" i="1"/>
  <c r="EY63" i="1"/>
  <c r="EY37" i="1"/>
  <c r="EY20" i="1"/>
  <c r="EY53" i="1"/>
  <c r="EY11" i="1"/>
  <c r="EY339" i="1" l="1"/>
  <c r="EY332" i="1"/>
  <c r="EY323" i="1"/>
  <c r="K27" i="1" l="1"/>
  <c r="B26" i="1"/>
  <c r="K20" i="1"/>
  <c r="K11" i="1"/>
  <c r="K1" i="2" l="1"/>
  <c r="I1" i="2"/>
  <c r="H339" i="1"/>
  <c r="B338" i="1"/>
  <c r="K314" i="1"/>
  <c r="K323" i="1" l="1"/>
  <c r="K332" i="1"/>
  <c r="K339" i="1"/>
  <c r="K27" i="2" l="1"/>
  <c r="K20" i="2"/>
  <c r="A8" i="2"/>
</calcChain>
</file>

<file path=xl/sharedStrings.xml><?xml version="1.0" encoding="utf-8"?>
<sst xmlns="http://schemas.openxmlformats.org/spreadsheetml/2006/main" count="8497" uniqueCount="70">
  <si>
    <t>عيادة الأسنان</t>
  </si>
  <si>
    <t>شهر</t>
  </si>
  <si>
    <t>عام</t>
  </si>
  <si>
    <t>مركز صحي</t>
  </si>
  <si>
    <t>نوع الخدمة</t>
  </si>
  <si>
    <t>عدد المراجعين</t>
  </si>
  <si>
    <t>بالغين</t>
  </si>
  <si>
    <t>ذكور</t>
  </si>
  <si>
    <t>الأشعة</t>
  </si>
  <si>
    <t>إطباقية</t>
  </si>
  <si>
    <t>ذروية</t>
  </si>
  <si>
    <t>إناث</t>
  </si>
  <si>
    <t>خارج الفم</t>
  </si>
  <si>
    <t>الإجراءات العلاجية</t>
  </si>
  <si>
    <t>الخلع</t>
  </si>
  <si>
    <t>أطفال</t>
  </si>
  <si>
    <t>دائم</t>
  </si>
  <si>
    <t>جراحي</t>
  </si>
  <si>
    <t>الجراحة</t>
  </si>
  <si>
    <t xml:space="preserve">جراحة </t>
  </si>
  <si>
    <t>متابعة</t>
  </si>
  <si>
    <t>المجموع</t>
  </si>
  <si>
    <t>الحشو</t>
  </si>
  <si>
    <t>مؤقت</t>
  </si>
  <si>
    <t>أملجم</t>
  </si>
  <si>
    <t>كومبوزيت</t>
  </si>
  <si>
    <t>سعودي</t>
  </si>
  <si>
    <t>لا ينومر زجاج</t>
  </si>
  <si>
    <t>علاج العصب</t>
  </si>
  <si>
    <t>لبني</t>
  </si>
  <si>
    <t>تهيئة</t>
  </si>
  <si>
    <t>غير سعودي</t>
  </si>
  <si>
    <t>حشو</t>
  </si>
  <si>
    <t>علاج اللثة</t>
  </si>
  <si>
    <t>كحت جير</t>
  </si>
  <si>
    <t>جراحة لثة</t>
  </si>
  <si>
    <t>أمراض الفم</t>
  </si>
  <si>
    <t>جديد</t>
  </si>
  <si>
    <t>الإجراءات الوقائية</t>
  </si>
  <si>
    <t>توعية صحية</t>
  </si>
  <si>
    <t>رعاية حوامل</t>
  </si>
  <si>
    <t>حشو الحفر</t>
  </si>
  <si>
    <t>فلوريد موضعي</t>
  </si>
  <si>
    <t>أدوية منصرفة</t>
  </si>
  <si>
    <t>مراجعي الأسنان</t>
  </si>
  <si>
    <t>جراحة</t>
  </si>
  <si>
    <t>جراحة لثه</t>
  </si>
  <si>
    <t>متايعة</t>
  </si>
  <si>
    <t>مضادات حيوية</t>
  </si>
  <si>
    <t>مسكنات</t>
  </si>
  <si>
    <t>غسول ومضمضة للفم</t>
  </si>
  <si>
    <t>علاج لتقرحات الفم</t>
  </si>
  <si>
    <t>أدوية حساسية</t>
  </si>
  <si>
    <t>أخرى</t>
  </si>
  <si>
    <t>محمد الزهراني</t>
  </si>
  <si>
    <t>الربيع والتوفيق</t>
  </si>
  <si>
    <t>الجامعة</t>
  </si>
  <si>
    <t>السليمانية</t>
  </si>
  <si>
    <t>المطار القديم</t>
  </si>
  <si>
    <t>الروابي</t>
  </si>
  <si>
    <t>قويزة</t>
  </si>
  <si>
    <t>الرغامة</t>
  </si>
  <si>
    <t>إجمالي المراكز بمستشفى شرق جدة</t>
  </si>
  <si>
    <t>مراكز مستشفى شرق جدة</t>
  </si>
  <si>
    <t>ادارة الاحصاء</t>
  </si>
  <si>
    <t>الواحة</t>
  </si>
  <si>
    <t xml:space="preserve">201
</t>
  </si>
  <si>
    <t>مضاد</t>
  </si>
  <si>
    <t>غسول</t>
  </si>
  <si>
    <t>مسكن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</si>
</sst>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  <charset val="178"/>
    </font>
    <font>
      <b/>
      <sz val="12"/>
      <color indexed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sz val="10"/>
      <name val="Arial"/>
      <family val="2"/>
      <charset val="178"/>
    </font>
    <font>
      <b/>
      <sz val="10"/>
      <color indexed="10"/>
      <name val="Arial"/>
      <family val="2"/>
      <charset val="178"/>
    </font>
    <font>
      <b/>
      <sz val="10"/>
      <color indexed="8"/>
      <name val="Arial"/>
      <family val="2"/>
      <charset val="178"/>
    </font>
    <font>
      <b/>
      <sz val="12"/>
      <color indexed="10"/>
      <name val="Arial"/>
      <family val="2"/>
    </font>
    <font>
      <b/>
      <sz val="16"/>
      <color indexed="48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  <charset val="178"/>
    </font>
    <font>
      <b/>
      <sz val="14"/>
      <name val="Arial"/>
      <family val="2"/>
      <charset val="178"/>
    </font>
    <font>
      <b/>
      <sz val="12"/>
      <name val="Arial"/>
      <family val="2"/>
      <charset val="178"/>
    </font>
    <font>
      <sz val="8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/>
      <diagonal/>
    </border>
    <border>
      <left style="thick">
        <color rgb="FF000000"/>
      </left>
      <right style="medium">
        <color rgb="FFCCCCCC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2" borderId="0" xfId="0" applyFill="1" applyAlignment="1">
      <alignment vertical="center" readingOrder="2"/>
    </xf>
    <xf numFmtId="0" fontId="0" fillId="3" borderId="0" xfId="0" applyFill="1" applyAlignment="1">
      <alignment vertical="center" readingOrder="2"/>
    </xf>
    <xf numFmtId="0" fontId="0" fillId="0" borderId="0" xfId="0" applyAlignment="1">
      <alignment vertical="center" readingOrder="2"/>
    </xf>
    <xf numFmtId="0" fontId="1" fillId="2" borderId="0" xfId="0" applyFont="1" applyFill="1" applyAlignment="1">
      <alignment vertical="center"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0" fontId="0" fillId="2" borderId="2" xfId="0" applyFill="1" applyBorder="1" applyAlignment="1">
      <alignment vertical="center" readingOrder="2"/>
    </xf>
    <xf numFmtId="0" fontId="0" fillId="2" borderId="4" xfId="0" applyFill="1" applyBorder="1" applyAlignment="1">
      <alignment vertical="center" readingOrder="2"/>
    </xf>
    <xf numFmtId="0" fontId="4" fillId="2" borderId="5" xfId="0" applyFont="1" applyFill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15" xfId="0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 readingOrder="2"/>
    </xf>
    <xf numFmtId="0" fontId="0" fillId="4" borderId="3" xfId="0" applyFill="1" applyBorder="1" applyAlignment="1">
      <alignment vertical="center" readingOrder="2"/>
    </xf>
    <xf numFmtId="0" fontId="0" fillId="2" borderId="3" xfId="0" applyFill="1" applyBorder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0" fillId="5" borderId="0" xfId="0" applyFill="1" applyAlignment="1">
      <alignment vertical="center" readingOrder="2"/>
    </xf>
    <xf numFmtId="0" fontId="7" fillId="5" borderId="0" xfId="0" applyFont="1" applyFill="1" applyAlignment="1">
      <alignment vertical="center" readingOrder="2"/>
    </xf>
    <xf numFmtId="0" fontId="8" fillId="5" borderId="0" xfId="0" applyFont="1" applyFill="1" applyAlignment="1">
      <alignment vertical="center" readingOrder="2"/>
    </xf>
    <xf numFmtId="0" fontId="9" fillId="5" borderId="0" xfId="0" applyFont="1" applyFill="1" applyAlignment="1">
      <alignment horizontal="center" vertical="center" readingOrder="2"/>
    </xf>
    <xf numFmtId="0" fontId="6" fillId="5" borderId="0" xfId="0" applyFont="1" applyFill="1" applyAlignment="1">
      <alignment vertical="center" readingOrder="2"/>
    </xf>
    <xf numFmtId="0" fontId="0" fillId="0" borderId="7" xfId="0" applyBorder="1" applyAlignment="1">
      <alignment horizontal="center" vertical="center" readingOrder="2"/>
    </xf>
    <xf numFmtId="0" fontId="0" fillId="4" borderId="2" xfId="0" applyFill="1" applyBorder="1" applyAlignment="1">
      <alignment vertical="center" readingOrder="2"/>
    </xf>
    <xf numFmtId="0" fontId="0" fillId="4" borderId="4" xfId="0" applyFill="1" applyBorder="1" applyAlignment="1">
      <alignment vertical="center" readingOrder="2"/>
    </xf>
    <xf numFmtId="0" fontId="4" fillId="6" borderId="4" xfId="0" applyFont="1" applyFill="1" applyBorder="1" applyAlignment="1">
      <alignment horizontal="center" vertical="center" readingOrder="2"/>
    </xf>
    <xf numFmtId="0" fontId="0" fillId="4" borderId="20" xfId="0" applyFill="1" applyBorder="1" applyAlignment="1">
      <alignment vertical="center" readingOrder="2"/>
    </xf>
    <xf numFmtId="0" fontId="4" fillId="6" borderId="17" xfId="0" applyFont="1" applyFill="1" applyBorder="1" applyAlignment="1">
      <alignment horizontal="center" vertical="center" readingOrder="2"/>
    </xf>
    <xf numFmtId="0" fontId="11" fillId="0" borderId="22" xfId="0" applyFont="1" applyBorder="1" applyAlignment="1">
      <alignment horizontal="center" vertical="center" readingOrder="2"/>
    </xf>
    <xf numFmtId="0" fontId="11" fillId="0" borderId="21" xfId="0" applyFont="1" applyBorder="1" applyAlignment="1">
      <alignment horizontal="center" vertical="center" readingOrder="2"/>
    </xf>
    <xf numFmtId="0" fontId="6" fillId="0" borderId="21" xfId="0" applyFont="1" applyBorder="1" applyAlignment="1">
      <alignment horizontal="center" vertical="center" readingOrder="2"/>
    </xf>
    <xf numFmtId="0" fontId="11" fillId="0" borderId="19" xfId="0" applyFont="1" applyBorder="1" applyAlignment="1">
      <alignment horizontal="center" vertical="center" readingOrder="2"/>
    </xf>
    <xf numFmtId="0" fontId="11" fillId="3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6" xfId="0" applyFont="1" applyBorder="1" applyAlignment="1">
      <alignment horizontal="center" vertical="center" readingOrder="2"/>
    </xf>
    <xf numFmtId="0" fontId="12" fillId="0" borderId="0" xfId="0" applyFont="1" applyAlignment="1">
      <alignment horizontal="right" vertical="center" readingOrder="2"/>
    </xf>
    <xf numFmtId="0" fontId="12" fillId="0" borderId="0" xfId="0" applyFont="1" applyAlignment="1">
      <alignment horizontal="center" vertical="center" readingOrder="2"/>
    </xf>
    <xf numFmtId="0" fontId="13" fillId="0" borderId="0" xfId="0" applyFont="1" applyAlignment="1">
      <alignment horizontal="center" vertical="center" readingOrder="2"/>
    </xf>
    <xf numFmtId="0" fontId="13" fillId="0" borderId="7" xfId="0" applyFont="1" applyBorder="1" applyAlignment="1">
      <alignment horizontal="center" vertical="center" readingOrder="2"/>
    </xf>
    <xf numFmtId="0" fontId="13" fillId="3" borderId="0" xfId="0" applyFont="1" applyFill="1" applyAlignment="1">
      <alignment horizontal="center" vertical="center" readingOrder="2"/>
    </xf>
    <xf numFmtId="0" fontId="14" fillId="0" borderId="6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14" fillId="0" borderId="7" xfId="0" applyFont="1" applyBorder="1" applyAlignment="1">
      <alignment horizontal="center" vertical="center" readingOrder="2"/>
    </xf>
    <xf numFmtId="0" fontId="14" fillId="3" borderId="0" xfId="0" applyFont="1" applyFill="1" applyAlignment="1">
      <alignment horizontal="center" vertical="center" readingOrder="2"/>
    </xf>
    <xf numFmtId="0" fontId="14" fillId="3" borderId="2" xfId="0" applyFont="1" applyFill="1" applyBorder="1" applyAlignment="1">
      <alignment horizontal="center" vertical="center" readingOrder="2"/>
    </xf>
    <xf numFmtId="0" fontId="14" fillId="3" borderId="3" xfId="0" applyFont="1" applyFill="1" applyBorder="1" applyAlignment="1">
      <alignment horizontal="center" vertical="center" readingOrder="2"/>
    </xf>
    <xf numFmtId="0" fontId="14" fillId="3" borderId="19" xfId="0" applyFont="1" applyFill="1" applyBorder="1" applyAlignment="1">
      <alignment horizontal="center" vertical="center" readingOrder="2"/>
    </xf>
    <xf numFmtId="0" fontId="14" fillId="3" borderId="4" xfId="0" applyFont="1" applyFill="1" applyBorder="1" applyAlignment="1">
      <alignment horizontal="center" vertical="center" readingOrder="2"/>
    </xf>
    <xf numFmtId="0" fontId="14" fillId="0" borderId="29" xfId="0" applyFont="1" applyBorder="1" applyAlignment="1">
      <alignment horizontal="center" vertical="center" readingOrder="2"/>
    </xf>
    <xf numFmtId="0" fontId="14" fillId="0" borderId="30" xfId="0" applyFont="1" applyBorder="1" applyAlignment="1">
      <alignment horizontal="center" vertical="center" readingOrder="2"/>
    </xf>
    <xf numFmtId="0" fontId="14" fillId="0" borderId="10" xfId="0" applyFont="1" applyBorder="1" applyAlignment="1">
      <alignment horizontal="center" vertical="center" readingOrder="2"/>
    </xf>
    <xf numFmtId="0" fontId="2" fillId="0" borderId="7" xfId="0" applyFont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0" fillId="3" borderId="0" xfId="0" applyFill="1" applyAlignment="1">
      <alignment horizontal="center" vertical="center" readingOrder="2"/>
    </xf>
    <xf numFmtId="0" fontId="11" fillId="0" borderId="31" xfId="0" applyFont="1" applyBorder="1" applyAlignment="1">
      <alignment horizontal="right" vertical="center" readingOrder="2"/>
    </xf>
    <xf numFmtId="0" fontId="10" fillId="0" borderId="1" xfId="0" applyFont="1" applyBorder="1" applyAlignment="1">
      <alignment horizontal="center" vertical="center" readingOrder="2"/>
    </xf>
    <xf numFmtId="0" fontId="11" fillId="0" borderId="20" xfId="0" applyFont="1" applyBorder="1" applyAlignment="1">
      <alignment horizontal="left" vertical="center" readingOrder="2"/>
    </xf>
    <xf numFmtId="0" fontId="10" fillId="3" borderId="0" xfId="0" applyFont="1" applyFill="1" applyAlignment="1">
      <alignment horizontal="center" vertical="center" readingOrder="2"/>
    </xf>
    <xf numFmtId="0" fontId="0" fillId="7" borderId="0" xfId="0" applyFill="1" applyAlignment="1">
      <alignment vertical="center" readingOrder="2"/>
    </xf>
    <xf numFmtId="0" fontId="2" fillId="0" borderId="1" xfId="0" applyFont="1" applyBorder="1" applyAlignment="1">
      <alignment horizontal="center" vertical="center" readingOrder="2"/>
    </xf>
    <xf numFmtId="0" fontId="6" fillId="5" borderId="0" xfId="0" applyFont="1" applyFill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14" fillId="0" borderId="23" xfId="0" applyFont="1" applyBorder="1" applyAlignment="1">
      <alignment horizontal="center" vertical="center" readingOrder="2"/>
    </xf>
    <xf numFmtId="0" fontId="14" fillId="0" borderId="24" xfId="0" applyFont="1" applyBorder="1" applyAlignment="1">
      <alignment horizontal="center" vertical="center" readingOrder="2"/>
    </xf>
    <xf numFmtId="0" fontId="14" fillId="0" borderId="25" xfId="0" applyFont="1" applyBorder="1" applyAlignment="1">
      <alignment horizontal="center" vertical="center" readingOrder="2"/>
    </xf>
    <xf numFmtId="0" fontId="14" fillId="0" borderId="26" xfId="0" applyFont="1" applyBorder="1" applyAlignment="1">
      <alignment horizontal="center" vertical="center" readingOrder="2"/>
    </xf>
    <xf numFmtId="0" fontId="2" fillId="8" borderId="1" xfId="0" applyFont="1" applyFill="1" applyBorder="1" applyAlignment="1">
      <alignment horizontal="center" vertical="center" readingOrder="2"/>
    </xf>
    <xf numFmtId="0" fontId="0" fillId="8" borderId="0" xfId="0" applyFill="1" applyAlignment="1">
      <alignment vertical="center" readingOrder="2"/>
    </xf>
    <xf numFmtId="0" fontId="2" fillId="8" borderId="0" xfId="0" applyFont="1" applyFill="1" applyAlignment="1">
      <alignment horizontal="center" vertical="center" readingOrder="2"/>
    </xf>
    <xf numFmtId="0" fontId="2" fillId="8" borderId="0" xfId="0" applyFont="1" applyFill="1" applyAlignment="1">
      <alignment vertical="center" readingOrder="2"/>
    </xf>
    <xf numFmtId="0" fontId="0" fillId="4" borderId="31" xfId="0" applyFill="1" applyBorder="1" applyAlignment="1">
      <alignment vertical="center" readingOrder="2"/>
    </xf>
    <xf numFmtId="0" fontId="0" fillId="0" borderId="5" xfId="0" applyBorder="1" applyAlignment="1">
      <alignment horizontal="center" vertical="center" readingOrder="2"/>
    </xf>
    <xf numFmtId="0" fontId="11" fillId="9" borderId="0" xfId="0" applyFont="1" applyFill="1" applyAlignment="1">
      <alignment horizontal="center" vertical="center" readingOrder="2"/>
    </xf>
    <xf numFmtId="0" fontId="13" fillId="9" borderId="0" xfId="0" applyFont="1" applyFill="1" applyAlignment="1">
      <alignment horizontal="center" vertical="center" readingOrder="2"/>
    </xf>
    <xf numFmtId="0" fontId="14" fillId="9" borderId="0" xfId="0" applyFont="1" applyFill="1" applyAlignment="1">
      <alignment horizontal="center" vertical="center" readingOrder="2"/>
    </xf>
    <xf numFmtId="0" fontId="0" fillId="9" borderId="0" xfId="0" applyFill="1" applyAlignment="1">
      <alignment horizontal="center" vertical="center" readingOrder="2"/>
    </xf>
    <xf numFmtId="0" fontId="10" fillId="9" borderId="0" xfId="0" applyFont="1" applyFill="1" applyAlignment="1">
      <alignment horizontal="center" vertical="center" readingOrder="2"/>
    </xf>
    <xf numFmtId="0" fontId="3" fillId="0" borderId="11" xfId="0" applyFont="1" applyBorder="1" applyAlignment="1">
      <alignment horizontal="center" vertical="center" readingOrder="2"/>
    </xf>
    <xf numFmtId="0" fontId="0" fillId="10" borderId="0" xfId="0" applyFill="1" applyAlignment="1">
      <alignment vertical="center" readingOrder="2"/>
    </xf>
    <xf numFmtId="0" fontId="0" fillId="11" borderId="0" xfId="0" applyFill="1" applyAlignment="1">
      <alignment vertical="center" readingOrder="2"/>
    </xf>
    <xf numFmtId="0" fontId="14" fillId="0" borderId="12" xfId="0" applyFont="1" applyBorder="1" applyAlignment="1">
      <alignment horizontal="center" vertical="center" readingOrder="2"/>
    </xf>
    <xf numFmtId="0" fontId="14" fillId="0" borderId="13" xfId="0" applyFont="1" applyBorder="1" applyAlignment="1">
      <alignment horizontal="center" vertical="center" readingOrder="2"/>
    </xf>
    <xf numFmtId="0" fontId="14" fillId="0" borderId="9" xfId="0" applyFont="1" applyBorder="1" applyAlignment="1">
      <alignment horizontal="center" vertical="center" readingOrder="2"/>
    </xf>
    <xf numFmtId="0" fontId="14" fillId="0" borderId="11" xfId="0" applyFont="1" applyBorder="1" applyAlignment="1">
      <alignment horizontal="center" vertical="center" readingOrder="2"/>
    </xf>
    <xf numFmtId="0" fontId="0" fillId="10" borderId="0" xfId="0" applyFill="1" applyAlignment="1">
      <alignment vertical="center"/>
    </xf>
    <xf numFmtId="0" fontId="0" fillId="10" borderId="0" xfId="0" applyFill="1"/>
    <xf numFmtId="0" fontId="6" fillId="5" borderId="3" xfId="0" applyFont="1" applyFill="1" applyBorder="1" applyAlignment="1">
      <alignment vertical="center" readingOrder="2"/>
    </xf>
    <xf numFmtId="0" fontId="2" fillId="12" borderId="1" xfId="0" applyFont="1" applyFill="1" applyBorder="1" applyAlignment="1">
      <alignment horizontal="center" vertical="center" readingOrder="2"/>
    </xf>
    <xf numFmtId="0" fontId="0" fillId="12" borderId="0" xfId="0" applyFill="1" applyAlignment="1">
      <alignment vertical="center" readingOrder="2"/>
    </xf>
    <xf numFmtId="0" fontId="2" fillId="12" borderId="0" xfId="0" applyFont="1" applyFill="1" applyAlignment="1">
      <alignment horizontal="center" vertical="center" readingOrder="2"/>
    </xf>
    <xf numFmtId="0" fontId="2" fillId="12" borderId="0" xfId="0" applyFont="1" applyFill="1" applyAlignment="1">
      <alignment vertical="center" readingOrder="2"/>
    </xf>
    <xf numFmtId="0" fontId="8" fillId="0" borderId="81" xfId="0" applyFont="1" applyBorder="1" applyAlignment="1">
      <alignment horizontal="center" vertical="center" wrapText="1" readingOrder="2"/>
    </xf>
    <xf numFmtId="0" fontId="8" fillId="0" borderId="82" xfId="0" applyFont="1" applyBorder="1" applyAlignment="1">
      <alignment horizontal="center" vertical="center" wrapText="1" readingOrder="2"/>
    </xf>
    <xf numFmtId="0" fontId="8" fillId="0" borderId="83" xfId="0" applyFont="1" applyBorder="1" applyAlignment="1">
      <alignment horizontal="center" vertical="center" wrapText="1" readingOrder="2"/>
    </xf>
    <xf numFmtId="0" fontId="6" fillId="5" borderId="0" xfId="0" applyFont="1" applyFill="1" applyAlignment="1">
      <alignment horizontal="center" vertical="center" readingOrder="2"/>
    </xf>
    <xf numFmtId="0" fontId="3" fillId="0" borderId="58" xfId="0" applyFont="1" applyBorder="1" applyAlignment="1">
      <alignment horizontal="center" vertical="center" readingOrder="2"/>
    </xf>
    <xf numFmtId="0" fontId="3" fillId="0" borderId="55" xfId="0" applyFont="1" applyBorder="1" applyAlignment="1">
      <alignment horizontal="center" vertical="center" readingOrder="2"/>
    </xf>
    <xf numFmtId="0" fontId="3" fillId="0" borderId="59" xfId="0" applyFont="1" applyBorder="1" applyAlignment="1">
      <alignment horizontal="center" vertical="center" readingOrder="2"/>
    </xf>
    <xf numFmtId="0" fontId="3" fillId="0" borderId="54" xfId="0" applyFont="1" applyBorder="1" applyAlignment="1">
      <alignment horizontal="center" vertical="center" readingOrder="2"/>
    </xf>
    <xf numFmtId="0" fontId="3" fillId="0" borderId="22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0" fontId="3" fillId="0" borderId="23" xfId="0" applyFont="1" applyBorder="1" applyAlignment="1">
      <alignment horizontal="center" vertical="center" wrapText="1" readingOrder="2"/>
    </xf>
    <xf numFmtId="0" fontId="3" fillId="0" borderId="25" xfId="0" applyFont="1" applyBorder="1" applyAlignment="1">
      <alignment horizontal="center" vertical="center" wrapText="1" readingOrder="2"/>
    </xf>
    <xf numFmtId="0" fontId="3" fillId="0" borderId="34" xfId="0" applyFont="1" applyBorder="1" applyAlignment="1">
      <alignment horizontal="center" vertical="center" wrapText="1" readingOrder="2"/>
    </xf>
    <xf numFmtId="0" fontId="3" fillId="0" borderId="35" xfId="0" applyFont="1" applyBorder="1" applyAlignment="1">
      <alignment horizontal="center" vertical="center" wrapText="1" readingOrder="2"/>
    </xf>
    <xf numFmtId="0" fontId="3" fillId="0" borderId="26" xfId="0" applyFont="1" applyBorder="1" applyAlignment="1">
      <alignment horizontal="center" vertical="center" wrapText="1" readingOrder="2"/>
    </xf>
    <xf numFmtId="0" fontId="3" fillId="0" borderId="28" xfId="0" applyFont="1" applyBorder="1" applyAlignment="1">
      <alignment horizontal="center" vertical="center" wrapText="1" readingOrder="2"/>
    </xf>
    <xf numFmtId="0" fontId="4" fillId="6" borderId="8" xfId="0" applyFont="1" applyFill="1" applyBorder="1" applyAlignment="1">
      <alignment horizontal="center" vertical="center" wrapText="1" readingOrder="2"/>
    </xf>
    <xf numFmtId="0" fontId="3" fillId="0" borderId="22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23" xfId="0" applyFont="1" applyBorder="1" applyAlignment="1">
      <alignment horizontal="center" vertical="center" readingOrder="2"/>
    </xf>
    <xf numFmtId="0" fontId="3" fillId="0" borderId="25" xfId="0" applyFont="1" applyBorder="1" applyAlignment="1">
      <alignment horizontal="center" vertical="center" readingOrder="2"/>
    </xf>
    <xf numFmtId="0" fontId="3" fillId="0" borderId="57" xfId="0" applyFont="1" applyBorder="1" applyAlignment="1">
      <alignment horizontal="center" vertical="center" readingOrder="2"/>
    </xf>
    <xf numFmtId="0" fontId="3" fillId="0" borderId="53" xfId="0" applyFont="1" applyBorder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60" xfId="0" applyFont="1" applyBorder="1" applyAlignment="1">
      <alignment horizontal="center" vertical="center" readingOrder="2"/>
    </xf>
    <xf numFmtId="0" fontId="3" fillId="0" borderId="18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17" xfId="0" applyFont="1" applyBorder="1" applyAlignment="1">
      <alignment horizontal="center" vertical="center" readingOrder="2"/>
    </xf>
    <xf numFmtId="0" fontId="3" fillId="0" borderId="19" xfId="0" applyFont="1" applyBorder="1" applyAlignment="1">
      <alignment horizontal="center" vertical="center" wrapText="1" readingOrder="2"/>
    </xf>
    <xf numFmtId="0" fontId="3" fillId="0" borderId="31" xfId="0" applyFont="1" applyBorder="1" applyAlignment="1">
      <alignment horizontal="center" vertical="center" wrapText="1" readingOrder="2"/>
    </xf>
    <xf numFmtId="0" fontId="3" fillId="0" borderId="20" xfId="0" applyFont="1" applyBorder="1" applyAlignment="1">
      <alignment horizontal="center" vertical="center" wrapText="1" readingOrder="2"/>
    </xf>
    <xf numFmtId="0" fontId="3" fillId="0" borderId="26" xfId="0" applyFont="1" applyBorder="1" applyAlignment="1">
      <alignment horizontal="center" vertical="center" readingOrder="2"/>
    </xf>
    <xf numFmtId="0" fontId="3" fillId="0" borderId="19" xfId="0" applyFont="1" applyBorder="1" applyAlignment="1">
      <alignment horizontal="center" vertical="center" readingOrder="2"/>
    </xf>
    <xf numFmtId="0" fontId="3" fillId="0" borderId="32" xfId="0" applyFont="1" applyBorder="1" applyAlignment="1">
      <alignment horizontal="center" vertical="center" wrapText="1" readingOrder="2"/>
    </xf>
    <xf numFmtId="0" fontId="3" fillId="0" borderId="61" xfId="0" applyFont="1" applyBorder="1" applyAlignment="1">
      <alignment horizontal="center" vertical="center" wrapText="1" readingOrder="2"/>
    </xf>
    <xf numFmtId="0" fontId="3" fillId="0" borderId="62" xfId="0" applyFont="1" applyBorder="1" applyAlignment="1">
      <alignment horizontal="center" vertical="center" wrapText="1" readingOrder="2"/>
    </xf>
    <xf numFmtId="0" fontId="3" fillId="0" borderId="52" xfId="0" applyFont="1" applyBorder="1" applyAlignment="1">
      <alignment horizontal="center" vertical="center" wrapText="1" readingOrder="2"/>
    </xf>
    <xf numFmtId="0" fontId="3" fillId="0" borderId="54" xfId="0" applyFont="1" applyBorder="1" applyAlignment="1">
      <alignment horizontal="center" vertical="center" wrapText="1" readingOrder="2"/>
    </xf>
    <xf numFmtId="0" fontId="3" fillId="0" borderId="63" xfId="0" applyFont="1" applyBorder="1" applyAlignment="1">
      <alignment horizontal="center" vertical="center" wrapText="1" readingOrder="2"/>
    </xf>
    <xf numFmtId="0" fontId="3" fillId="0" borderId="64" xfId="0" applyFont="1" applyBorder="1" applyAlignment="1">
      <alignment horizontal="center" vertical="center" wrapText="1" readingOrder="2"/>
    </xf>
    <xf numFmtId="0" fontId="3" fillId="0" borderId="56" xfId="0" applyFont="1" applyBorder="1" applyAlignment="1">
      <alignment horizontal="center" vertical="center" textRotation="90" readingOrder="2"/>
    </xf>
    <xf numFmtId="0" fontId="3" fillId="0" borderId="41" xfId="0" applyFont="1" applyBorder="1" applyAlignment="1">
      <alignment horizontal="center" vertical="center" textRotation="90" readingOrder="2"/>
    </xf>
    <xf numFmtId="0" fontId="3" fillId="0" borderId="44" xfId="0" applyFont="1" applyBorder="1" applyAlignment="1">
      <alignment horizontal="center" vertical="center" textRotation="90" readingOrder="2"/>
    </xf>
    <xf numFmtId="0" fontId="3" fillId="0" borderId="66" xfId="0" applyFont="1" applyBorder="1" applyAlignment="1">
      <alignment horizontal="center" vertical="center" wrapText="1" readingOrder="2"/>
    </xf>
    <xf numFmtId="0" fontId="3" fillId="0" borderId="37" xfId="0" applyFont="1" applyBorder="1" applyAlignment="1">
      <alignment horizontal="center" vertical="center" wrapText="1" readingOrder="2"/>
    </xf>
    <xf numFmtId="0" fontId="3" fillId="0" borderId="38" xfId="0" applyFont="1" applyBorder="1" applyAlignment="1">
      <alignment horizontal="center" vertical="center" readingOrder="2"/>
    </xf>
    <xf numFmtId="0" fontId="3" fillId="0" borderId="39" xfId="0" applyFont="1" applyBorder="1" applyAlignment="1">
      <alignment horizontal="center" vertical="center" readingOrder="2"/>
    </xf>
    <xf numFmtId="0" fontId="3" fillId="0" borderId="36" xfId="0" applyFont="1" applyBorder="1" applyAlignment="1">
      <alignment horizontal="center" vertical="center" wrapText="1" readingOrder="2"/>
    </xf>
    <xf numFmtId="0" fontId="3" fillId="0" borderId="42" xfId="0" applyFont="1" applyBorder="1" applyAlignment="1">
      <alignment horizontal="center" vertical="center" wrapText="1" readingOrder="2"/>
    </xf>
    <xf numFmtId="0" fontId="3" fillId="0" borderId="24" xfId="0" applyFont="1" applyBorder="1" applyAlignment="1">
      <alignment horizontal="center" vertical="center" wrapText="1" readingOrder="2"/>
    </xf>
    <xf numFmtId="0" fontId="3" fillId="0" borderId="27" xfId="0" applyFont="1" applyBorder="1" applyAlignment="1">
      <alignment horizontal="center" vertical="center" wrapText="1" readingOrder="2"/>
    </xf>
    <xf numFmtId="0" fontId="3" fillId="0" borderId="34" xfId="0" applyFont="1" applyBorder="1" applyAlignment="1">
      <alignment horizontal="center" vertical="center" readingOrder="2"/>
    </xf>
    <xf numFmtId="0" fontId="3" fillId="0" borderId="21" xfId="0" applyFont="1" applyBorder="1" applyAlignment="1">
      <alignment horizontal="center" vertical="center" readingOrder="2"/>
    </xf>
    <xf numFmtId="0" fontId="3" fillId="0" borderId="36" xfId="0" applyFont="1" applyBorder="1" applyAlignment="1">
      <alignment horizontal="center" vertical="center" readingOrder="2"/>
    </xf>
    <xf numFmtId="0" fontId="3" fillId="0" borderId="37" xfId="0" applyFont="1" applyBorder="1" applyAlignment="1">
      <alignment horizontal="center" vertical="center" readingOrder="2"/>
    </xf>
    <xf numFmtId="0" fontId="3" fillId="0" borderId="31" xfId="0" applyFont="1" applyBorder="1" applyAlignment="1">
      <alignment horizontal="center" vertical="center" readingOrder="2"/>
    </xf>
    <xf numFmtId="0" fontId="3" fillId="0" borderId="65" xfId="0" applyFont="1" applyBorder="1" applyAlignment="1">
      <alignment horizontal="center" vertical="center" readingOrder="2"/>
    </xf>
    <xf numFmtId="0" fontId="3" fillId="0" borderId="64" xfId="0" applyFont="1" applyBorder="1" applyAlignment="1">
      <alignment horizontal="center" vertical="center" readingOrder="2"/>
    </xf>
    <xf numFmtId="0" fontId="3" fillId="0" borderId="41" xfId="0" applyFont="1" applyBorder="1" applyAlignment="1">
      <alignment horizontal="center" vertical="center" readingOrder="2"/>
    </xf>
    <xf numFmtId="0" fontId="3" fillId="0" borderId="40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22" xfId="0" applyFont="1" applyBorder="1" applyAlignment="1">
      <alignment horizontal="center" vertical="center" textRotation="90" readingOrder="2"/>
    </xf>
    <xf numFmtId="0" fontId="3" fillId="0" borderId="6" xfId="0" applyFont="1" applyBorder="1" applyAlignment="1">
      <alignment horizontal="center" vertical="center" textRotation="90" readingOrder="2"/>
    </xf>
    <xf numFmtId="0" fontId="3" fillId="0" borderId="31" xfId="0" applyFont="1" applyBorder="1" applyAlignment="1">
      <alignment horizontal="center" vertical="center" textRotation="90" readingOrder="2"/>
    </xf>
    <xf numFmtId="0" fontId="3" fillId="0" borderId="47" xfId="0" applyFont="1" applyBorder="1" applyAlignment="1">
      <alignment horizontal="center" vertical="center" readingOrder="2"/>
    </xf>
    <xf numFmtId="0" fontId="5" fillId="0" borderId="18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5" fillId="0" borderId="17" xfId="0" applyFont="1" applyBorder="1" applyAlignment="1">
      <alignment horizontal="center" vertical="center" wrapText="1" readingOrder="2"/>
    </xf>
    <xf numFmtId="0" fontId="3" fillId="0" borderId="38" xfId="0" applyFont="1" applyBorder="1" applyAlignment="1">
      <alignment horizontal="center" vertical="center" wrapText="1" readingOrder="2"/>
    </xf>
    <xf numFmtId="0" fontId="3" fillId="0" borderId="39" xfId="0" applyFont="1" applyBorder="1" applyAlignment="1">
      <alignment horizontal="center" vertical="center" wrapText="1" readingOrder="2"/>
    </xf>
    <xf numFmtId="0" fontId="3" fillId="2" borderId="22" xfId="0" applyFont="1" applyFill="1" applyBorder="1" applyAlignment="1">
      <alignment horizontal="center" vertical="center" wrapText="1" readingOrder="2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2" borderId="6" xfId="0" applyFont="1" applyFill="1" applyBorder="1" applyAlignment="1">
      <alignment horizontal="center" vertical="center" wrapText="1" readingOrder="2"/>
    </xf>
    <xf numFmtId="0" fontId="3" fillId="2" borderId="31" xfId="0" applyFont="1" applyFill="1" applyBorder="1" applyAlignment="1">
      <alignment horizontal="center" vertical="center" wrapText="1" readingOrder="2"/>
    </xf>
    <xf numFmtId="0" fontId="3" fillId="2" borderId="20" xfId="0" applyFont="1" applyFill="1" applyBorder="1" applyAlignment="1">
      <alignment horizontal="center" vertical="center" wrapText="1" readingOrder="2"/>
    </xf>
    <xf numFmtId="0" fontId="4" fillId="2" borderId="8" xfId="0" applyFont="1" applyFill="1" applyBorder="1" applyAlignment="1">
      <alignment horizontal="center" vertical="center" wrapText="1" readingOrder="2"/>
    </xf>
    <xf numFmtId="0" fontId="4" fillId="2" borderId="17" xfId="0" applyFont="1" applyFill="1" applyBorder="1" applyAlignment="1">
      <alignment horizontal="center" vertical="center" wrapText="1" readingOrder="2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44" xfId="0" applyFont="1" applyBorder="1" applyAlignment="1">
      <alignment horizontal="center" vertical="center" readingOrder="2"/>
    </xf>
    <xf numFmtId="0" fontId="3" fillId="0" borderId="43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3" fillId="0" borderId="43" xfId="0" applyFont="1" applyBorder="1" applyAlignment="1">
      <alignment horizontal="center" vertical="center" wrapText="1" readingOrder="2"/>
    </xf>
    <xf numFmtId="0" fontId="3" fillId="0" borderId="46" xfId="0" applyFont="1" applyBorder="1" applyAlignment="1">
      <alignment horizontal="center" vertical="center" readingOrder="2"/>
    </xf>
    <xf numFmtId="0" fontId="8" fillId="0" borderId="70" xfId="0" applyFont="1" applyBorder="1" applyAlignment="1">
      <alignment horizontal="center" vertical="center" wrapText="1" readingOrder="2"/>
    </xf>
    <xf numFmtId="0" fontId="8" fillId="0" borderId="71" xfId="0" applyFont="1" applyBorder="1" applyAlignment="1">
      <alignment horizontal="center" vertical="center" wrapText="1" readingOrder="2"/>
    </xf>
    <xf numFmtId="0" fontId="8" fillId="0" borderId="74" xfId="0" applyFont="1" applyBorder="1" applyAlignment="1">
      <alignment horizontal="center" vertical="center" wrapText="1" readingOrder="2"/>
    </xf>
    <xf numFmtId="0" fontId="8" fillId="0" borderId="75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49" xfId="0" applyFont="1" applyBorder="1" applyAlignment="1">
      <alignment horizontal="center" vertical="center" readingOrder="2"/>
    </xf>
    <xf numFmtId="0" fontId="3" fillId="0" borderId="50" xfId="0" applyFont="1" applyBorder="1" applyAlignment="1">
      <alignment horizontal="center" vertical="center" readingOrder="2"/>
    </xf>
    <xf numFmtId="0" fontId="8" fillId="0" borderId="68" xfId="0" applyFont="1" applyBorder="1" applyAlignment="1">
      <alignment horizontal="center" vertical="center" wrapText="1" readingOrder="2"/>
    </xf>
    <xf numFmtId="0" fontId="8" fillId="0" borderId="69" xfId="0" applyFont="1" applyBorder="1" applyAlignment="1">
      <alignment horizontal="center" vertical="center" wrapText="1" readingOrder="2"/>
    </xf>
    <xf numFmtId="0" fontId="8" fillId="0" borderId="72" xfId="0" applyFont="1" applyBorder="1" applyAlignment="1">
      <alignment horizontal="center" vertical="center" wrapText="1" readingOrder="2"/>
    </xf>
    <xf numFmtId="0" fontId="8" fillId="0" borderId="73" xfId="0" applyFont="1" applyBorder="1" applyAlignment="1">
      <alignment horizontal="center" vertical="center" wrapText="1" readingOrder="2"/>
    </xf>
    <xf numFmtId="0" fontId="3" fillId="0" borderId="51" xfId="0" applyFont="1" applyBorder="1" applyAlignment="1">
      <alignment horizontal="center" vertical="center" readingOrder="2"/>
    </xf>
    <xf numFmtId="0" fontId="8" fillId="0" borderId="70" xfId="0" applyFont="1" applyBorder="1" applyAlignment="1">
      <alignment horizontal="center" wrapText="1" readingOrder="2"/>
    </xf>
    <xf numFmtId="0" fontId="8" fillId="0" borderId="71" xfId="0" applyFont="1" applyBorder="1" applyAlignment="1">
      <alignment horizontal="center" wrapText="1" readingOrder="2"/>
    </xf>
    <xf numFmtId="0" fontId="8" fillId="0" borderId="68" xfId="0" applyFont="1" applyBorder="1" applyAlignment="1">
      <alignment horizontal="center" wrapText="1" readingOrder="2"/>
    </xf>
    <xf numFmtId="0" fontId="8" fillId="0" borderId="69" xfId="0" applyFont="1" applyBorder="1" applyAlignment="1">
      <alignment horizontal="center" wrapText="1" readingOrder="2"/>
    </xf>
    <xf numFmtId="0" fontId="8" fillId="0" borderId="72" xfId="0" applyFont="1" applyBorder="1" applyAlignment="1">
      <alignment horizontal="center" wrapText="1" readingOrder="2"/>
    </xf>
    <xf numFmtId="0" fontId="8" fillId="0" borderId="73" xfId="0" applyFont="1" applyBorder="1" applyAlignment="1">
      <alignment horizontal="center" wrapText="1" readingOrder="2"/>
    </xf>
    <xf numFmtId="0" fontId="2" fillId="8" borderId="1" xfId="0" applyFont="1" applyFill="1" applyBorder="1" applyAlignment="1">
      <alignment horizontal="center" vertical="center" readingOrder="2"/>
    </xf>
    <xf numFmtId="0" fontId="8" fillId="0" borderId="76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8" fillId="0" borderId="84" xfId="0" applyFont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readingOrder="2"/>
    </xf>
    <xf numFmtId="0" fontId="8" fillId="0" borderId="78" xfId="0" applyFont="1" applyBorder="1" applyAlignment="1">
      <alignment horizontal="center" wrapText="1" readingOrder="2"/>
    </xf>
    <xf numFmtId="0" fontId="8" fillId="0" borderId="79" xfId="0" applyFont="1" applyBorder="1" applyAlignment="1">
      <alignment horizontal="center" wrapText="1" readingOrder="2"/>
    </xf>
    <xf numFmtId="0" fontId="3" fillId="2" borderId="0" xfId="0" applyFont="1" applyFill="1" applyAlignment="1">
      <alignment horizontal="center" vertical="center" readingOrder="2"/>
    </xf>
    <xf numFmtId="0" fontId="17" fillId="0" borderId="68" xfId="0" applyFont="1" applyBorder="1" applyAlignment="1">
      <alignment horizontal="center" vertical="center" wrapText="1" readingOrder="2"/>
    </xf>
    <xf numFmtId="0" fontId="17" fillId="0" borderId="69" xfId="0" applyFont="1" applyBorder="1" applyAlignment="1">
      <alignment horizontal="center" vertical="center" wrapText="1" readingOrder="2"/>
    </xf>
    <xf numFmtId="0" fontId="17" fillId="0" borderId="70" xfId="0" applyFont="1" applyBorder="1" applyAlignment="1">
      <alignment horizontal="center" vertical="center" wrapText="1" readingOrder="2"/>
    </xf>
    <xf numFmtId="0" fontId="17" fillId="0" borderId="71" xfId="0" applyFont="1" applyBorder="1" applyAlignment="1">
      <alignment horizontal="center" vertical="center" wrapText="1" readingOrder="2"/>
    </xf>
    <xf numFmtId="0" fontId="17" fillId="0" borderId="72" xfId="0" applyFont="1" applyBorder="1" applyAlignment="1">
      <alignment horizontal="center" vertical="center" wrapText="1" readingOrder="2"/>
    </xf>
    <xf numFmtId="0" fontId="17" fillId="0" borderId="73" xfId="0" applyFont="1" applyBorder="1" applyAlignment="1">
      <alignment horizontal="center" vertical="center" wrapText="1" readingOrder="2"/>
    </xf>
    <xf numFmtId="0" fontId="16" fillId="0" borderId="70" xfId="0" applyFont="1" applyBorder="1" applyAlignment="1">
      <alignment vertical="center" wrapText="1" readingOrder="2"/>
    </xf>
    <xf numFmtId="0" fontId="16" fillId="0" borderId="71" xfId="0" applyFont="1" applyBorder="1" applyAlignment="1">
      <alignment vertical="center" wrapText="1" readingOrder="2"/>
    </xf>
    <xf numFmtId="0" fontId="8" fillId="0" borderId="74" xfId="0" applyFont="1" applyBorder="1" applyAlignment="1">
      <alignment horizontal="center" wrapText="1" readingOrder="2"/>
    </xf>
    <xf numFmtId="0" fontId="8" fillId="0" borderId="75" xfId="0" applyFont="1" applyBorder="1" applyAlignment="1">
      <alignment horizontal="center" wrapText="1" readingOrder="2"/>
    </xf>
    <xf numFmtId="0" fontId="3" fillId="8" borderId="0" xfId="0" applyFont="1" applyFill="1" applyAlignment="1">
      <alignment horizontal="center" vertical="center" readingOrder="2"/>
    </xf>
    <xf numFmtId="0" fontId="8" fillId="0" borderId="76" xfId="0" applyFont="1" applyBorder="1" applyAlignment="1">
      <alignment horizontal="center" vertical="center" wrapText="1" readingOrder="2"/>
    </xf>
    <xf numFmtId="0" fontId="8" fillId="0" borderId="77" xfId="0" applyFont="1" applyBorder="1" applyAlignment="1">
      <alignment horizontal="center" vertical="center" wrapText="1" readingOrder="2"/>
    </xf>
    <xf numFmtId="0" fontId="8" fillId="0" borderId="88" xfId="0" applyFont="1" applyBorder="1" applyAlignment="1">
      <alignment horizontal="center" wrapText="1" readingOrder="2"/>
    </xf>
    <xf numFmtId="0" fontId="8" fillId="0" borderId="89" xfId="0" applyFont="1" applyBorder="1" applyAlignment="1">
      <alignment horizontal="center" wrapText="1" readingOrder="2"/>
    </xf>
    <xf numFmtId="0" fontId="17" fillId="0" borderId="74" xfId="0" applyFont="1" applyBorder="1" applyAlignment="1">
      <alignment horizontal="center" vertical="center" wrapText="1" readingOrder="2"/>
    </xf>
    <xf numFmtId="0" fontId="17" fillId="0" borderId="75" xfId="0" applyFont="1" applyBorder="1" applyAlignment="1">
      <alignment horizontal="center" vertical="center" wrapText="1" readingOrder="2"/>
    </xf>
    <xf numFmtId="0" fontId="8" fillId="0" borderId="86" xfId="0" applyFont="1" applyBorder="1" applyAlignment="1">
      <alignment horizontal="center" wrapText="1" readingOrder="2"/>
    </xf>
    <xf numFmtId="0" fontId="8" fillId="0" borderId="87" xfId="0" applyFont="1" applyBorder="1" applyAlignment="1">
      <alignment horizontal="center" wrapText="1" readingOrder="2"/>
    </xf>
    <xf numFmtId="0" fontId="3" fillId="0" borderId="1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readingOrder="2"/>
    </xf>
    <xf numFmtId="0" fontId="8" fillId="0" borderId="80" xfId="0" applyFont="1" applyBorder="1" applyAlignment="1">
      <alignment horizontal="center" wrapText="1" readingOrder="2"/>
    </xf>
    <xf numFmtId="0" fontId="3" fillId="0" borderId="18" xfId="0" applyFont="1" applyBorder="1" applyAlignment="1">
      <alignment horizontal="center" vertical="center" textRotation="90" readingOrder="2"/>
    </xf>
    <xf numFmtId="0" fontId="3" fillId="0" borderId="8" xfId="0" applyFont="1" applyBorder="1" applyAlignment="1">
      <alignment horizontal="center" vertical="center" textRotation="90" readingOrder="2"/>
    </xf>
    <xf numFmtId="0" fontId="3" fillId="0" borderId="17" xfId="0" applyFont="1" applyBorder="1" applyAlignment="1">
      <alignment horizontal="center" vertical="center" textRotation="90" readingOrder="2"/>
    </xf>
    <xf numFmtId="0" fontId="2" fillId="8" borderId="3" xfId="0" applyFont="1" applyFill="1" applyBorder="1" applyAlignment="1">
      <alignment horizontal="center" vertical="center" readingOrder="2"/>
    </xf>
    <xf numFmtId="0" fontId="3" fillId="8" borderId="21" xfId="0" applyFont="1" applyFill="1" applyBorder="1" applyAlignment="1">
      <alignment horizontal="center" vertical="center" readingOrder="2"/>
    </xf>
    <xf numFmtId="0" fontId="3" fillId="0" borderId="17" xfId="0" applyFont="1" applyBorder="1" applyAlignment="1">
      <alignment horizontal="center" vertical="center" wrapText="1" readingOrder="2"/>
    </xf>
    <xf numFmtId="0" fontId="3" fillId="0" borderId="45" xfId="0" applyFont="1" applyBorder="1" applyAlignment="1">
      <alignment horizontal="center" vertical="center" wrapText="1" readingOrder="2"/>
    </xf>
    <xf numFmtId="0" fontId="3" fillId="2" borderId="19" xfId="0" applyFont="1" applyFill="1" applyBorder="1" applyAlignment="1">
      <alignment horizontal="center" vertical="center" wrapText="1" readingOrder="2"/>
    </xf>
    <xf numFmtId="0" fontId="4" fillId="2" borderId="45" xfId="0" applyFont="1" applyFill="1" applyBorder="1" applyAlignment="1">
      <alignment horizontal="center" vertical="center" wrapText="1" readingOrder="2"/>
    </xf>
    <xf numFmtId="0" fontId="2" fillId="12" borderId="1" xfId="0" applyFont="1" applyFill="1" applyBorder="1" applyAlignment="1">
      <alignment horizontal="center" vertical="center" readingOrder="2"/>
    </xf>
    <xf numFmtId="0" fontId="11" fillId="0" borderId="21" xfId="0" applyFont="1" applyBorder="1" applyAlignment="1">
      <alignment horizontal="center" vertical="center" readingOrder="2"/>
    </xf>
    <xf numFmtId="0" fontId="14" fillId="0" borderId="18" xfId="0" applyFont="1" applyBorder="1" applyAlignment="1">
      <alignment horizontal="center" vertical="center" wrapText="1" readingOrder="2"/>
    </xf>
    <xf numFmtId="0" fontId="14" fillId="0" borderId="17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center" vertical="center" readingOrder="2"/>
    </xf>
    <xf numFmtId="0" fontId="14" fillId="0" borderId="19" xfId="0" applyFont="1" applyBorder="1" applyAlignment="1">
      <alignment horizontal="center" vertical="center" readingOrder="2"/>
    </xf>
    <xf numFmtId="0" fontId="14" fillId="0" borderId="31" xfId="0" applyFont="1" applyBorder="1" applyAlignment="1">
      <alignment horizontal="center" vertical="center" readingOrder="2"/>
    </xf>
    <xf numFmtId="0" fontId="14" fillId="0" borderId="20" xfId="0" applyFont="1" applyBorder="1" applyAlignment="1">
      <alignment horizontal="center" vertical="center" readingOrder="2"/>
    </xf>
    <xf numFmtId="0" fontId="2" fillId="0" borderId="18" xfId="0" applyFont="1" applyBorder="1" applyAlignment="1">
      <alignment horizontal="center" vertical="center" readingOrder="2"/>
    </xf>
    <xf numFmtId="0" fontId="2" fillId="0" borderId="17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14" fillId="0" borderId="6" xfId="0" applyFont="1" applyBorder="1" applyAlignment="1">
      <alignment horizontal="center" vertical="center" readingOrder="2"/>
    </xf>
    <xf numFmtId="0" fontId="14" fillId="0" borderId="7" xfId="0" applyFont="1" applyBorder="1" applyAlignment="1">
      <alignment horizontal="center" vertical="center" readingOrder="2"/>
    </xf>
    <xf numFmtId="0" fontId="2" fillId="0" borderId="8" xfId="0" applyFont="1" applyBorder="1" applyAlignment="1">
      <alignment horizontal="center" vertical="center" readingOrder="2"/>
    </xf>
    <xf numFmtId="0" fontId="14" fillId="0" borderId="8" xfId="0" applyFont="1" applyBorder="1" applyAlignment="1">
      <alignment horizontal="center" vertical="center" wrapText="1" readingOrder="2"/>
    </xf>
    <xf numFmtId="0" fontId="14" fillId="0" borderId="40" xfId="0" applyFont="1" applyBorder="1" applyAlignment="1">
      <alignment horizontal="center" vertical="center" readingOrder="2"/>
    </xf>
    <xf numFmtId="0" fontId="14" fillId="0" borderId="47" xfId="0" applyFont="1" applyBorder="1" applyAlignment="1">
      <alignment horizontal="center" vertical="center" readingOrder="2"/>
    </xf>
    <xf numFmtId="0" fontId="14" fillId="0" borderId="38" xfId="0" applyFont="1" applyBorder="1" applyAlignment="1">
      <alignment horizontal="center" vertical="center" readingOrder="2"/>
    </xf>
    <xf numFmtId="0" fontId="14" fillId="0" borderId="41" xfId="0" applyFont="1" applyBorder="1" applyAlignment="1">
      <alignment horizontal="center" vertical="center" readingOrder="2"/>
    </xf>
    <xf numFmtId="0" fontId="14" fillId="0" borderId="46" xfId="0" applyFont="1" applyBorder="1" applyAlignment="1">
      <alignment horizontal="center" vertical="center" readingOrder="2"/>
    </xf>
    <xf numFmtId="0" fontId="14" fillId="0" borderId="39" xfId="0" applyFont="1" applyBorder="1" applyAlignment="1">
      <alignment horizontal="center" vertical="center" readingOrder="2"/>
    </xf>
    <xf numFmtId="0" fontId="14" fillId="0" borderId="44" xfId="0" applyFont="1" applyBorder="1" applyAlignment="1">
      <alignment horizontal="center" vertical="center" readingOrder="2"/>
    </xf>
    <xf numFmtId="0" fontId="14" fillId="0" borderId="48" xfId="0" applyFont="1" applyBorder="1" applyAlignment="1">
      <alignment horizontal="center" vertical="center" readingOrder="2"/>
    </xf>
    <xf numFmtId="0" fontId="14" fillId="0" borderId="43" xfId="0" applyFont="1" applyBorder="1" applyAlignment="1">
      <alignment horizontal="center" vertical="center" readingOrder="2"/>
    </xf>
    <xf numFmtId="0" fontId="14" fillId="0" borderId="56" xfId="0" applyFont="1" applyBorder="1" applyAlignment="1">
      <alignment horizontal="center" vertical="center" readingOrder="2"/>
    </xf>
    <xf numFmtId="0" fontId="14" fillId="0" borderId="67" xfId="0" applyFont="1" applyBorder="1" applyAlignment="1">
      <alignment horizontal="center" vertical="center" readingOrder="2"/>
    </xf>
    <xf numFmtId="0" fontId="14" fillId="0" borderId="18" xfId="0" applyFont="1" applyBorder="1" applyAlignment="1">
      <alignment horizontal="center" vertical="center" readingOrder="2"/>
    </xf>
    <xf numFmtId="0" fontId="14" fillId="0" borderId="66" xfId="0" applyFont="1" applyBorder="1" applyAlignment="1">
      <alignment horizontal="center" vertical="center" readingOrder="2"/>
    </xf>
    <xf numFmtId="0" fontId="14" fillId="0" borderId="17" xfId="0" applyFont="1" applyBorder="1" applyAlignment="1">
      <alignment horizontal="center" vertical="center" readingOrder="2"/>
    </xf>
    <xf numFmtId="0" fontId="14" fillId="0" borderId="44" xfId="0" quotePrefix="1" applyFont="1" applyBorder="1" applyAlignment="1">
      <alignment horizontal="center" vertical="center" readingOrder="2"/>
    </xf>
    <xf numFmtId="0" fontId="14" fillId="0" borderId="48" xfId="0" quotePrefix="1" applyFont="1" applyBorder="1" applyAlignment="1">
      <alignment horizontal="center" vertical="center" readingOrder="2"/>
    </xf>
    <xf numFmtId="0" fontId="14" fillId="0" borderId="43" xfId="0" quotePrefix="1" applyFont="1" applyBorder="1" applyAlignment="1">
      <alignment horizontal="center" vertical="center" readingOrder="2"/>
    </xf>
    <xf numFmtId="0" fontId="14" fillId="0" borderId="2" xfId="0" applyFont="1" applyBorder="1" applyAlignment="1">
      <alignment horizontal="center" vertical="center" readingOrder="2"/>
    </xf>
    <xf numFmtId="0" fontId="14" fillId="0" borderId="3" xfId="0" applyFont="1" applyBorder="1" applyAlignment="1">
      <alignment horizontal="center" vertical="center" readingOrder="2"/>
    </xf>
    <xf numFmtId="0" fontId="14" fillId="0" borderId="4" xfId="0" applyFont="1" applyBorder="1" applyAlignment="1">
      <alignment horizontal="center" vertical="center" readingOrder="2"/>
    </xf>
    <xf numFmtId="0" fontId="14" fillId="0" borderId="49" xfId="0" applyFont="1" applyBorder="1" applyAlignment="1">
      <alignment horizontal="center" vertical="center" readingOrder="2"/>
    </xf>
    <xf numFmtId="0" fontId="14" fillId="0" borderId="51" xfId="0" applyFont="1" applyBorder="1" applyAlignment="1">
      <alignment horizontal="center" vertical="center" readingOrder="2"/>
    </xf>
    <xf numFmtId="0" fontId="14" fillId="0" borderId="45" xfId="0" applyFont="1" applyBorder="1" applyAlignment="1">
      <alignment horizontal="center" vertical="center" readingOrder="2"/>
    </xf>
    <xf numFmtId="0" fontId="14" fillId="0" borderId="22" xfId="0" applyFont="1" applyBorder="1" applyAlignment="1">
      <alignment horizontal="center" vertical="center" wrapText="1" readingOrder="2"/>
    </xf>
    <xf numFmtId="0" fontId="14" fillId="0" borderId="19" xfId="0" applyFont="1" applyBorder="1" applyAlignment="1">
      <alignment horizontal="center" vertical="center" wrapText="1" readingOrder="2"/>
    </xf>
    <xf numFmtId="0" fontId="14" fillId="0" borderId="6" xfId="0" applyFont="1" applyBorder="1" applyAlignment="1">
      <alignment horizontal="center" vertical="center" wrapText="1" readingOrder="2"/>
    </xf>
    <xf numFmtId="0" fontId="14" fillId="0" borderId="7" xfId="0" applyFont="1" applyBorder="1" applyAlignment="1">
      <alignment horizontal="center" vertical="center" wrapText="1" readingOrder="2"/>
    </xf>
    <xf numFmtId="0" fontId="14" fillId="0" borderId="31" xfId="0" applyFont="1" applyBorder="1" applyAlignment="1">
      <alignment horizontal="center" vertical="center" wrapText="1" readingOrder="2"/>
    </xf>
    <xf numFmtId="0" fontId="14" fillId="0" borderId="20" xfId="0" applyFont="1" applyBorder="1" applyAlignment="1">
      <alignment horizontal="center" vertical="center" wrapText="1" readingOrder="2"/>
    </xf>
    <xf numFmtId="0" fontId="14" fillId="0" borderId="18" xfId="0" applyFont="1" applyBorder="1" applyAlignment="1">
      <alignment horizontal="center" vertical="center" textRotation="90" readingOrder="2"/>
    </xf>
    <xf numFmtId="0" fontId="14" fillId="0" borderId="8" xfId="0" applyFont="1" applyBorder="1" applyAlignment="1">
      <alignment horizontal="center" vertical="center" textRotation="90" readingOrder="2"/>
    </xf>
    <xf numFmtId="0" fontId="14" fillId="0" borderId="17" xfId="0" applyFont="1" applyBorder="1" applyAlignment="1">
      <alignment horizontal="center" vertical="center" textRotation="90" readingOrder="2"/>
    </xf>
    <xf numFmtId="0" fontId="14" fillId="0" borderId="21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 readingOrder="2"/>
    </xf>
    <xf numFmtId="0" fontId="14" fillId="0" borderId="23" xfId="0" applyFont="1" applyBorder="1" applyAlignment="1">
      <alignment horizontal="center" vertical="center" readingOrder="2"/>
    </xf>
    <xf numFmtId="0" fontId="14" fillId="0" borderId="24" xfId="0" applyFont="1" applyBorder="1" applyAlignment="1">
      <alignment horizontal="center" vertical="center" readingOrder="2"/>
    </xf>
    <xf numFmtId="0" fontId="14" fillId="0" borderId="53" xfId="0" applyFont="1" applyBorder="1" applyAlignment="1">
      <alignment horizontal="center" vertical="center" readingOrder="2"/>
    </xf>
    <xf numFmtId="0" fontId="14" fillId="0" borderId="25" xfId="0" applyFont="1" applyBorder="1" applyAlignment="1">
      <alignment horizontal="center" vertical="center" readingOrder="2"/>
    </xf>
    <xf numFmtId="0" fontId="14" fillId="0" borderId="34" xfId="0" applyFont="1" applyBorder="1" applyAlignment="1">
      <alignment horizontal="center" vertical="center" readingOrder="2"/>
    </xf>
    <xf numFmtId="0" fontId="14" fillId="0" borderId="52" xfId="0" applyFont="1" applyBorder="1" applyAlignment="1">
      <alignment horizontal="center" vertical="center" readingOrder="2"/>
    </xf>
    <xf numFmtId="0" fontId="14" fillId="0" borderId="54" xfId="0" applyFont="1" applyBorder="1" applyAlignment="1">
      <alignment horizontal="center" vertical="center" readingOrder="2"/>
    </xf>
    <xf numFmtId="0" fontId="14" fillId="0" borderId="36" xfId="0" applyFont="1" applyBorder="1" applyAlignment="1">
      <alignment horizontal="center" vertical="center" readingOrder="2"/>
    </xf>
    <xf numFmtId="0" fontId="14" fillId="0" borderId="37" xfId="0" applyFont="1" applyBorder="1" applyAlignment="1">
      <alignment horizontal="center" vertical="center" readingOrder="2"/>
    </xf>
    <xf numFmtId="0" fontId="14" fillId="0" borderId="26" xfId="0" applyFont="1" applyBorder="1" applyAlignment="1">
      <alignment horizontal="center" vertical="center" readingOrder="2"/>
    </xf>
    <xf numFmtId="0" fontId="14" fillId="0" borderId="27" xfId="0" applyFont="1" applyBorder="1" applyAlignment="1">
      <alignment horizontal="center" vertical="center" readingOrder="2"/>
    </xf>
    <xf numFmtId="0" fontId="14" fillId="0" borderId="55" xfId="0" applyFont="1" applyBorder="1" applyAlignment="1">
      <alignment horizontal="center" vertical="center" readingOrder="2"/>
    </xf>
    <xf numFmtId="0" fontId="14" fillId="0" borderId="32" xfId="0" applyFont="1" applyBorder="1" applyAlignment="1">
      <alignment horizontal="center" vertical="center" readingOrder="2"/>
    </xf>
    <xf numFmtId="0" fontId="14" fillId="0" borderId="33" xfId="0" applyFont="1" applyBorder="1" applyAlignment="1">
      <alignment horizontal="center" vertical="center" readingOrder="2"/>
    </xf>
    <xf numFmtId="0" fontId="14" fillId="0" borderId="28" xfId="0" applyFont="1" applyBorder="1" applyAlignment="1">
      <alignment horizontal="center" vertical="center" readingOrder="2"/>
    </xf>
    <xf numFmtId="0" fontId="14" fillId="0" borderId="26" xfId="0" quotePrefix="1" applyFont="1" applyBorder="1" applyAlignment="1">
      <alignment horizontal="center" vertical="center" readingOrder="2"/>
    </xf>
    <xf numFmtId="0" fontId="14" fillId="0" borderId="27" xfId="0" quotePrefix="1" applyFont="1" applyBorder="1" applyAlignment="1">
      <alignment horizontal="center" vertical="center" readingOrder="2"/>
    </xf>
    <xf numFmtId="0" fontId="14" fillId="0" borderId="55" xfId="0" quotePrefix="1" applyFont="1" applyBorder="1" applyAlignment="1">
      <alignment horizontal="center" vertical="center" readingOrder="2"/>
    </xf>
    <xf numFmtId="0" fontId="14" fillId="0" borderId="50" xfId="0" applyFont="1" applyBorder="1" applyAlignment="1">
      <alignment horizontal="center" vertical="center" readingOrder="2"/>
    </xf>
    <xf numFmtId="0" fontId="14" fillId="0" borderId="65" xfId="0" applyFont="1" applyBorder="1" applyAlignment="1">
      <alignment horizontal="center" vertical="center" readingOrder="2"/>
    </xf>
    <xf numFmtId="0" fontId="14" fillId="0" borderId="63" xfId="0" applyFont="1" applyBorder="1" applyAlignment="1">
      <alignment horizontal="center" vertical="center" readingOrder="2"/>
    </xf>
    <xf numFmtId="0" fontId="14" fillId="0" borderId="64" xfId="0" applyFont="1" applyBorder="1" applyAlignment="1">
      <alignment horizontal="center" vertical="center" readingOrder="2"/>
    </xf>
    <xf numFmtId="0" fontId="2" fillId="0" borderId="67" xfId="0" applyFont="1" applyBorder="1" applyAlignment="1">
      <alignment horizontal="center" vertical="center" readingOrder="2"/>
    </xf>
    <xf numFmtId="0" fontId="2" fillId="0" borderId="43" xfId="0" applyFont="1" applyBorder="1" applyAlignment="1">
      <alignment horizontal="center" vertical="center" readingOrder="2"/>
    </xf>
    <xf numFmtId="0" fontId="14" fillId="0" borderId="35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339"/>
  <sheetViews>
    <sheetView rightToLeft="1" tabSelected="1" topLeftCell="CR338" zoomScaleNormal="100" workbookViewId="0">
      <pane ySplit="930" topLeftCell="A46" activePane="bottomLeft"/>
      <selection activeCell="C1" sqref="C1:C1048576"/>
      <selection pane="bottomLeft" activeCell="DO191" sqref="DO191:DO192"/>
    </sheetView>
  </sheetViews>
  <sheetFormatPr defaultColWidth="9.140625" defaultRowHeight="17.100000000000001" customHeight="1" x14ac:dyDescent="0.2"/>
  <cols>
    <col min="1" max="1" width="9.140625" style="3"/>
    <col min="2" max="2" width="8.42578125" style="3" customWidth="1"/>
    <col min="3" max="7" width="6.7109375" style="3" customWidth="1"/>
    <col min="8" max="8" width="0.85546875" style="3" customWidth="1"/>
    <col min="9" max="11" width="9.140625" style="3"/>
    <col min="12" max="12" width="2.5703125" style="81" customWidth="1"/>
    <col min="13" max="13" width="9.140625" style="3"/>
    <col min="14" max="14" width="8.42578125" style="3" customWidth="1"/>
    <col min="15" max="19" width="6.7109375" style="3" customWidth="1"/>
    <col min="20" max="20" width="0.42578125" style="3" customWidth="1"/>
    <col min="21" max="23" width="9.140625" style="3"/>
    <col min="24" max="24" width="2.5703125" style="81" customWidth="1"/>
    <col min="25" max="25" width="9.140625" style="3"/>
    <col min="26" max="26" width="8.42578125" style="3" customWidth="1"/>
    <col min="27" max="31" width="6.7109375" style="3" customWidth="1"/>
    <col min="32" max="32" width="0.42578125" style="3" customWidth="1"/>
    <col min="33" max="35" width="9.140625" style="3"/>
    <col min="36" max="36" width="2.5703125" style="81" customWidth="1"/>
    <col min="37" max="37" width="9.140625" style="3"/>
    <col min="38" max="38" width="8.42578125" style="3" customWidth="1"/>
    <col min="39" max="43" width="6.7109375" style="3" customWidth="1"/>
    <col min="44" max="44" width="0.42578125" style="3" customWidth="1"/>
    <col min="45" max="47" width="9.140625" style="3"/>
    <col min="48" max="48" width="2.5703125" style="81" customWidth="1"/>
    <col min="49" max="49" width="9.140625" style="3"/>
    <col min="50" max="50" width="8.42578125" style="3" customWidth="1"/>
    <col min="51" max="55" width="6.7109375" style="3" customWidth="1"/>
    <col min="56" max="56" width="0.42578125" style="3" customWidth="1"/>
    <col min="57" max="58" width="9.140625" style="3"/>
    <col min="59" max="59" width="9.28515625" style="3" bestFit="1" customWidth="1"/>
    <col min="60" max="60" width="2.5703125" style="70" customWidth="1"/>
    <col min="61" max="61" width="9.140625" style="3"/>
    <col min="62" max="62" width="8.42578125" style="3" customWidth="1"/>
    <col min="63" max="67" width="6.7109375" style="3" customWidth="1"/>
    <col min="68" max="68" width="0.42578125" style="3" customWidth="1"/>
    <col min="69" max="71" width="9.140625" style="3"/>
    <col min="72" max="72" width="2.5703125" style="70" customWidth="1"/>
    <col min="73" max="73" width="9.140625" style="3"/>
    <col min="74" max="74" width="8.42578125" style="3" customWidth="1"/>
    <col min="75" max="79" width="6.7109375" style="3" customWidth="1"/>
    <col min="80" max="80" width="0.42578125" style="3" customWidth="1"/>
    <col min="81" max="83" width="9.140625" style="3"/>
    <col min="84" max="84" width="2.5703125" style="70" customWidth="1"/>
    <col min="85" max="85" width="9.140625" style="3"/>
    <col min="86" max="86" width="8.42578125" style="3" customWidth="1"/>
    <col min="87" max="91" width="6.7109375" style="3" customWidth="1"/>
    <col min="92" max="92" width="0.42578125" style="3" customWidth="1"/>
    <col min="93" max="95" width="9.140625" style="3"/>
    <col min="96" max="96" width="2.5703125" style="70" customWidth="1"/>
    <col min="97" max="97" width="9.140625" style="3"/>
    <col min="98" max="98" width="8.42578125" style="3" customWidth="1"/>
    <col min="99" max="103" width="6.7109375" style="3" customWidth="1"/>
    <col min="104" max="104" width="0.42578125" style="3" customWidth="1"/>
    <col min="105" max="107" width="9.140625" style="3"/>
    <col min="108" max="108" width="1.28515625" style="3" customWidth="1"/>
    <col min="109" max="109" width="9.140625" style="3"/>
    <col min="110" max="110" width="8.42578125" style="3" customWidth="1"/>
    <col min="111" max="115" width="6.7109375" style="3" customWidth="1"/>
    <col min="116" max="116" width="0.42578125" style="3" customWidth="1"/>
    <col min="117" max="119" width="9.140625" style="3"/>
    <col min="120" max="120" width="1.28515625" style="3" customWidth="1"/>
    <col min="121" max="121" width="9.140625" style="3"/>
    <col min="122" max="122" width="8.42578125" style="3" customWidth="1"/>
    <col min="123" max="127" width="6.7109375" style="3" customWidth="1"/>
    <col min="128" max="128" width="0.42578125" style="3" customWidth="1"/>
    <col min="129" max="131" width="9.140625" style="3"/>
    <col min="132" max="132" width="2.5703125" style="82" customWidth="1"/>
    <col min="133" max="133" width="9.140625" style="3"/>
    <col min="134" max="134" width="8.42578125" style="3" customWidth="1"/>
    <col min="135" max="139" width="6.7109375" style="3" customWidth="1"/>
    <col min="140" max="140" width="0.42578125" style="3" customWidth="1"/>
    <col min="141" max="143" width="9.140625" style="3"/>
    <col min="144" max="144" width="2.5703125" style="82" customWidth="1"/>
    <col min="145" max="145" width="9.140625" style="3"/>
    <col min="146" max="146" width="8.42578125" style="3" customWidth="1"/>
    <col min="147" max="151" width="6.7109375" style="3" customWidth="1"/>
    <col min="152" max="152" width="0.42578125" style="3" customWidth="1"/>
    <col min="153" max="155" width="9.140625" style="3"/>
    <col min="156" max="156" width="2.5703125" style="82" customWidth="1"/>
    <col min="157" max="165" width="9.140625" style="3"/>
    <col min="166" max="166" width="1.7109375" style="3" customWidth="1"/>
    <col min="167" max="167" width="2" style="3" customWidth="1"/>
    <col min="168" max="16384" width="9.140625" style="3"/>
  </cols>
  <sheetData>
    <row r="1" spans="1:155" ht="17.100000000000001" customHeight="1" x14ac:dyDescent="0.2">
      <c r="A1" s="4" t="s">
        <v>0</v>
      </c>
      <c r="B1" s="1"/>
      <c r="C1" s="1"/>
      <c r="D1" s="1"/>
      <c r="E1" s="1"/>
      <c r="F1" s="1" t="s">
        <v>1</v>
      </c>
      <c r="G1" s="5">
        <v>1</v>
      </c>
      <c r="H1" s="209" t="s">
        <v>2</v>
      </c>
      <c r="I1" s="209"/>
      <c r="J1" s="6">
        <v>1447</v>
      </c>
      <c r="K1" s="1"/>
      <c r="M1" s="4" t="s">
        <v>0</v>
      </c>
      <c r="N1" s="1"/>
      <c r="O1" s="1"/>
      <c r="P1" s="1"/>
      <c r="Q1" s="1"/>
      <c r="R1" s="1" t="s">
        <v>1</v>
      </c>
      <c r="S1" s="5">
        <v>2</v>
      </c>
      <c r="T1" s="209" t="s">
        <v>2</v>
      </c>
      <c r="U1" s="209"/>
      <c r="V1" s="6">
        <v>1447</v>
      </c>
      <c r="W1" s="1"/>
      <c r="Y1" s="4" t="s">
        <v>0</v>
      </c>
      <c r="Z1" s="1"/>
      <c r="AA1" s="1"/>
      <c r="AB1" s="1"/>
      <c r="AC1" s="1"/>
      <c r="AD1" s="1" t="s">
        <v>1</v>
      </c>
      <c r="AE1" s="5">
        <v>3</v>
      </c>
      <c r="AF1" s="209" t="s">
        <v>2</v>
      </c>
      <c r="AG1" s="209"/>
      <c r="AH1" s="6">
        <v>1447</v>
      </c>
      <c r="AI1" s="1"/>
      <c r="AK1" s="4" t="s">
        <v>0</v>
      </c>
      <c r="AL1" s="1"/>
      <c r="AM1" s="1"/>
      <c r="AN1" s="1"/>
      <c r="AO1" s="1"/>
      <c r="AP1" s="1" t="s">
        <v>1</v>
      </c>
      <c r="AQ1" s="5">
        <v>4</v>
      </c>
      <c r="AR1" s="209" t="s">
        <v>2</v>
      </c>
      <c r="AS1" s="209"/>
      <c r="AT1" s="6">
        <v>1447</v>
      </c>
      <c r="AU1" s="1"/>
      <c r="AW1" s="4" t="s">
        <v>0</v>
      </c>
      <c r="AX1" s="1"/>
      <c r="AY1" s="1"/>
      <c r="AZ1" s="1"/>
      <c r="BA1" s="1"/>
      <c r="BB1" s="1" t="s">
        <v>1</v>
      </c>
      <c r="BC1" s="5">
        <v>5</v>
      </c>
      <c r="BD1" s="209" t="s">
        <v>2</v>
      </c>
      <c r="BE1" s="209"/>
      <c r="BF1" s="6">
        <v>1447</v>
      </c>
      <c r="BG1" s="1"/>
      <c r="BI1" s="4" t="s">
        <v>0</v>
      </c>
      <c r="BJ1" s="1"/>
      <c r="BK1" s="1"/>
      <c r="BL1" s="1"/>
      <c r="BM1" s="1"/>
      <c r="BN1" s="1" t="s">
        <v>1</v>
      </c>
      <c r="BO1" s="5">
        <v>6</v>
      </c>
      <c r="BP1" s="209" t="s">
        <v>2</v>
      </c>
      <c r="BQ1" s="209"/>
      <c r="BR1" s="6">
        <v>1447</v>
      </c>
      <c r="BS1" s="1"/>
      <c r="BU1" s="4" t="s">
        <v>0</v>
      </c>
      <c r="BV1" s="1"/>
      <c r="BW1" s="1"/>
      <c r="BX1" s="1"/>
      <c r="BY1" s="1"/>
      <c r="BZ1" s="1" t="s">
        <v>1</v>
      </c>
      <c r="CA1" s="5">
        <v>7</v>
      </c>
      <c r="CB1" s="209" t="s">
        <v>2</v>
      </c>
      <c r="CC1" s="209"/>
      <c r="CD1" s="6">
        <v>1447</v>
      </c>
      <c r="CE1" s="1"/>
      <c r="CG1" s="4" t="s">
        <v>0</v>
      </c>
      <c r="CH1" s="1"/>
      <c r="CI1" s="1"/>
      <c r="CJ1" s="1"/>
      <c r="CK1" s="1"/>
      <c r="CL1" s="1" t="s">
        <v>1</v>
      </c>
      <c r="CM1" s="5">
        <v>8</v>
      </c>
      <c r="CN1" s="209" t="s">
        <v>2</v>
      </c>
      <c r="CO1" s="209"/>
      <c r="CP1" s="6">
        <v>1447</v>
      </c>
      <c r="CQ1" s="1"/>
      <c r="CS1" s="4" t="s">
        <v>0</v>
      </c>
      <c r="CT1" s="1"/>
      <c r="CU1" s="1"/>
      <c r="CV1" s="1"/>
      <c r="CW1" s="1"/>
      <c r="CX1" s="1" t="s">
        <v>1</v>
      </c>
      <c r="CY1" s="5">
        <v>9</v>
      </c>
      <c r="CZ1" s="209" t="s">
        <v>2</v>
      </c>
      <c r="DA1" s="209"/>
      <c r="DB1" s="6">
        <v>1447</v>
      </c>
      <c r="DC1" s="1"/>
      <c r="DD1" s="2"/>
      <c r="DE1" s="4" t="s">
        <v>0</v>
      </c>
      <c r="DF1" s="1"/>
      <c r="DG1" s="1"/>
      <c r="DH1" s="1"/>
      <c r="DI1" s="1"/>
      <c r="DJ1" s="1" t="s">
        <v>1</v>
      </c>
      <c r="DK1" s="5">
        <v>10</v>
      </c>
      <c r="DL1" s="209" t="s">
        <v>2</v>
      </c>
      <c r="DM1" s="209"/>
      <c r="DN1" s="6">
        <v>1447</v>
      </c>
      <c r="DO1" s="1"/>
      <c r="DP1" s="2"/>
      <c r="DQ1" s="4" t="s">
        <v>0</v>
      </c>
      <c r="DR1" s="1"/>
      <c r="DS1" s="1"/>
      <c r="DT1" s="1"/>
      <c r="DU1" s="1"/>
      <c r="DV1" s="1" t="s">
        <v>1</v>
      </c>
      <c r="DW1" s="5">
        <v>11</v>
      </c>
      <c r="DX1" s="209" t="s">
        <v>2</v>
      </c>
      <c r="DY1" s="209"/>
      <c r="DZ1" s="6">
        <v>1447</v>
      </c>
      <c r="EA1" s="1"/>
      <c r="EC1" s="4" t="s">
        <v>0</v>
      </c>
      <c r="ED1" s="1"/>
      <c r="EE1" s="1"/>
      <c r="EF1" s="1"/>
      <c r="EG1" s="1"/>
      <c r="EH1" s="1" t="s">
        <v>1</v>
      </c>
      <c r="EI1" s="5">
        <v>12</v>
      </c>
      <c r="EJ1" s="209" t="s">
        <v>2</v>
      </c>
      <c r="EK1" s="209"/>
      <c r="EL1" s="6">
        <v>1447</v>
      </c>
      <c r="EM1" s="1"/>
      <c r="EO1" s="4" t="s">
        <v>0</v>
      </c>
      <c r="EP1" s="1"/>
      <c r="EQ1" s="1"/>
      <c r="ER1" s="1"/>
      <c r="ES1" s="1"/>
      <c r="ET1" s="1"/>
      <c r="EU1" s="5"/>
      <c r="EV1" s="209" t="s">
        <v>2</v>
      </c>
      <c r="EW1" s="209"/>
      <c r="EX1" s="6">
        <v>1447</v>
      </c>
      <c r="EY1" s="1"/>
    </row>
    <row r="2" spans="1:155" s="91" customFormat="1" ht="17.100000000000001" customHeight="1" thickBot="1" x14ac:dyDescent="0.25">
      <c r="A2" s="90" t="s">
        <v>3</v>
      </c>
      <c r="B2" s="90"/>
      <c r="C2" s="179" t="s">
        <v>55</v>
      </c>
      <c r="D2" s="179"/>
      <c r="E2" s="179"/>
      <c r="G2" s="92"/>
      <c r="H2" s="206"/>
      <c r="I2" s="206"/>
      <c r="J2" s="93"/>
      <c r="M2" s="90" t="s">
        <v>3</v>
      </c>
      <c r="N2" s="90"/>
      <c r="O2" s="179" t="s">
        <v>55</v>
      </c>
      <c r="P2" s="179"/>
      <c r="Q2" s="179"/>
      <c r="S2" s="92"/>
      <c r="T2" s="206"/>
      <c r="U2" s="206"/>
      <c r="V2" s="93"/>
      <c r="Y2" s="90" t="s">
        <v>3</v>
      </c>
      <c r="Z2" s="90"/>
      <c r="AA2" s="179" t="s">
        <v>55</v>
      </c>
      <c r="AB2" s="179"/>
      <c r="AC2" s="179"/>
      <c r="AE2" s="92"/>
      <c r="AF2" s="206"/>
      <c r="AG2" s="206"/>
      <c r="AH2" s="93"/>
      <c r="AK2" s="90" t="s">
        <v>3</v>
      </c>
      <c r="AL2" s="90"/>
      <c r="AM2" s="179" t="s">
        <v>55</v>
      </c>
      <c r="AN2" s="179"/>
      <c r="AO2" s="179"/>
      <c r="AQ2" s="92"/>
      <c r="AR2" s="206"/>
      <c r="AS2" s="206"/>
      <c r="AT2" s="93"/>
      <c r="AW2" s="90" t="s">
        <v>3</v>
      </c>
      <c r="AX2" s="90"/>
      <c r="AY2" s="179" t="s">
        <v>55</v>
      </c>
      <c r="AZ2" s="179"/>
      <c r="BA2" s="179"/>
      <c r="BC2" s="92"/>
      <c r="BD2" s="206"/>
      <c r="BE2" s="206"/>
      <c r="BF2" s="93"/>
      <c r="BI2" s="90" t="s">
        <v>3</v>
      </c>
      <c r="BJ2" s="90"/>
      <c r="BK2" s="179" t="s">
        <v>55</v>
      </c>
      <c r="BL2" s="179"/>
      <c r="BM2" s="179"/>
      <c r="BO2" s="92"/>
      <c r="BP2" s="206"/>
      <c r="BQ2" s="206"/>
      <c r="BR2" s="93"/>
      <c r="BU2" s="90" t="s">
        <v>3</v>
      </c>
      <c r="BV2" s="90"/>
      <c r="BW2" s="179" t="s">
        <v>55</v>
      </c>
      <c r="BX2" s="179"/>
      <c r="BY2" s="179"/>
      <c r="CA2" s="92"/>
      <c r="CB2" s="206"/>
      <c r="CC2" s="206"/>
      <c r="CD2" s="93"/>
      <c r="CG2" s="90" t="s">
        <v>3</v>
      </c>
      <c r="CH2" s="90"/>
      <c r="CI2" s="179" t="s">
        <v>55</v>
      </c>
      <c r="CJ2" s="179"/>
      <c r="CK2" s="179"/>
      <c r="CM2" s="92"/>
      <c r="CN2" s="206"/>
      <c r="CO2" s="206"/>
      <c r="CP2" s="93"/>
      <c r="CS2" s="90" t="s">
        <v>3</v>
      </c>
      <c r="CT2" s="90"/>
      <c r="CU2" s="179" t="s">
        <v>55</v>
      </c>
      <c r="CV2" s="179"/>
      <c r="CW2" s="179"/>
      <c r="CY2" s="92"/>
      <c r="CZ2" s="206"/>
      <c r="DA2" s="206"/>
      <c r="DB2" s="93"/>
      <c r="DE2" s="90" t="s">
        <v>3</v>
      </c>
      <c r="DF2" s="90"/>
      <c r="DG2" s="179" t="s">
        <v>55</v>
      </c>
      <c r="DH2" s="179"/>
      <c r="DI2" s="179"/>
      <c r="DK2" s="92"/>
      <c r="DL2" s="206"/>
      <c r="DM2" s="206"/>
      <c r="DN2" s="93"/>
      <c r="DQ2" s="90" t="s">
        <v>3</v>
      </c>
      <c r="DR2" s="90"/>
      <c r="DS2" s="179" t="s">
        <v>55</v>
      </c>
      <c r="DT2" s="179"/>
      <c r="DU2" s="179"/>
      <c r="DW2" s="92"/>
      <c r="DX2" s="206"/>
      <c r="DY2" s="206"/>
      <c r="DZ2" s="93"/>
      <c r="EC2" s="90" t="s">
        <v>3</v>
      </c>
      <c r="ED2" s="90"/>
      <c r="EE2" s="179" t="s">
        <v>55</v>
      </c>
      <c r="EF2" s="179"/>
      <c r="EG2" s="179"/>
      <c r="EI2" s="92"/>
      <c r="EJ2" s="206"/>
      <c r="EK2" s="206"/>
      <c r="EL2" s="93"/>
      <c r="EO2" s="90" t="s">
        <v>3</v>
      </c>
      <c r="EP2" s="90"/>
      <c r="EQ2" s="241" t="str">
        <f>EE2</f>
        <v>الربيع والتوفيق</v>
      </c>
      <c r="ER2" s="241"/>
      <c r="ES2" s="241"/>
      <c r="EU2" s="92"/>
      <c r="EV2" s="206"/>
      <c r="EW2" s="206"/>
      <c r="EX2" s="93"/>
    </row>
    <row r="3" spans="1:155" ht="17.100000000000001" customHeight="1" thickTop="1" thickBot="1" x14ac:dyDescent="0.25">
      <c r="A3" s="156" t="s">
        <v>4</v>
      </c>
      <c r="B3" s="187"/>
      <c r="C3" s="187"/>
      <c r="D3" s="187"/>
      <c r="E3" s="157"/>
      <c r="F3" s="156" t="s">
        <v>5</v>
      </c>
      <c r="G3" s="157"/>
      <c r="I3" s="102" t="s">
        <v>6</v>
      </c>
      <c r="J3" s="143" t="s">
        <v>7</v>
      </c>
      <c r="K3" s="202">
        <v>147</v>
      </c>
      <c r="M3" s="156" t="s">
        <v>4</v>
      </c>
      <c r="N3" s="187"/>
      <c r="O3" s="187"/>
      <c r="P3" s="187"/>
      <c r="Q3" s="157"/>
      <c r="R3" s="156" t="s">
        <v>5</v>
      </c>
      <c r="S3" s="157"/>
      <c r="U3" s="102" t="s">
        <v>6</v>
      </c>
      <c r="V3" s="202" t="s">
        <v>7</v>
      </c>
      <c r="W3" s="204">
        <v>97</v>
      </c>
      <c r="Y3" s="156" t="s">
        <v>4</v>
      </c>
      <c r="Z3" s="187"/>
      <c r="AA3" s="187"/>
      <c r="AB3" s="187"/>
      <c r="AC3" s="157"/>
      <c r="AD3" s="156" t="s">
        <v>5</v>
      </c>
      <c r="AE3" s="157"/>
      <c r="AG3" s="102" t="s">
        <v>6</v>
      </c>
      <c r="AH3" s="143" t="s">
        <v>7</v>
      </c>
      <c r="AI3" s="202">
        <v>78</v>
      </c>
      <c r="AK3" s="156" t="s">
        <v>4</v>
      </c>
      <c r="AL3" s="187"/>
      <c r="AM3" s="187"/>
      <c r="AN3" s="187"/>
      <c r="AO3" s="157"/>
      <c r="AP3" s="156" t="s">
        <v>5</v>
      </c>
      <c r="AQ3" s="157"/>
      <c r="AS3" s="102" t="s">
        <v>6</v>
      </c>
      <c r="AT3" s="143" t="s">
        <v>7</v>
      </c>
      <c r="AU3" s="165">
        <v>151</v>
      </c>
      <c r="AW3" s="156" t="s">
        <v>4</v>
      </c>
      <c r="AX3" s="187"/>
      <c r="AY3" s="187"/>
      <c r="AZ3" s="187"/>
      <c r="BA3" s="157"/>
      <c r="BB3" s="156" t="s">
        <v>5</v>
      </c>
      <c r="BC3" s="157"/>
      <c r="BE3" s="102" t="s">
        <v>6</v>
      </c>
      <c r="BF3" s="143" t="s">
        <v>7</v>
      </c>
      <c r="BG3" s="165">
        <v>126</v>
      </c>
      <c r="BI3" s="156" t="s">
        <v>4</v>
      </c>
      <c r="BJ3" s="187"/>
      <c r="BK3" s="187"/>
      <c r="BL3" s="187"/>
      <c r="BM3" s="157"/>
      <c r="BN3" s="156" t="s">
        <v>5</v>
      </c>
      <c r="BO3" s="157"/>
      <c r="BQ3" s="102" t="s">
        <v>6</v>
      </c>
      <c r="BR3" s="143" t="s">
        <v>7</v>
      </c>
      <c r="BS3" s="165">
        <v>62</v>
      </c>
      <c r="BU3" s="156" t="s">
        <v>4</v>
      </c>
      <c r="BV3" s="187"/>
      <c r="BW3" s="187"/>
      <c r="BX3" s="187"/>
      <c r="BY3" s="157"/>
      <c r="BZ3" s="156" t="s">
        <v>5</v>
      </c>
      <c r="CA3" s="157"/>
      <c r="CC3" s="102" t="s">
        <v>6</v>
      </c>
      <c r="CD3" s="143" t="s">
        <v>7</v>
      </c>
      <c r="CE3" s="165">
        <v>154</v>
      </c>
      <c r="CG3" s="156" t="s">
        <v>4</v>
      </c>
      <c r="CH3" s="187"/>
      <c r="CI3" s="187"/>
      <c r="CJ3" s="187"/>
      <c r="CK3" s="157"/>
      <c r="CL3" s="156" t="s">
        <v>5</v>
      </c>
      <c r="CM3" s="157"/>
      <c r="CO3" s="102" t="s">
        <v>6</v>
      </c>
      <c r="CP3" s="143" t="s">
        <v>7</v>
      </c>
      <c r="CQ3" s="165">
        <v>62</v>
      </c>
      <c r="CS3" s="156" t="s">
        <v>4</v>
      </c>
      <c r="CT3" s="187"/>
      <c r="CU3" s="187"/>
      <c r="CV3" s="187"/>
      <c r="CW3" s="157"/>
      <c r="CX3" s="156" t="s">
        <v>5</v>
      </c>
      <c r="CY3" s="157"/>
      <c r="DA3" s="102" t="s">
        <v>6</v>
      </c>
      <c r="DB3" s="143" t="s">
        <v>7</v>
      </c>
      <c r="DC3" s="165">
        <v>0</v>
      </c>
      <c r="DD3" s="2"/>
      <c r="DE3" s="156" t="s">
        <v>4</v>
      </c>
      <c r="DF3" s="187"/>
      <c r="DG3" s="187"/>
      <c r="DH3" s="187"/>
      <c r="DI3" s="157"/>
      <c r="DJ3" s="156" t="s">
        <v>5</v>
      </c>
      <c r="DK3" s="157"/>
      <c r="DM3" s="102" t="s">
        <v>6</v>
      </c>
      <c r="DN3" s="143" t="s">
        <v>7</v>
      </c>
      <c r="DO3" s="165">
        <v>0</v>
      </c>
      <c r="DP3" s="2"/>
      <c r="DQ3" s="156" t="s">
        <v>4</v>
      </c>
      <c r="DR3" s="187"/>
      <c r="DS3" s="187"/>
      <c r="DT3" s="187"/>
      <c r="DU3" s="157"/>
      <c r="DV3" s="156" t="s">
        <v>5</v>
      </c>
      <c r="DW3" s="157"/>
      <c r="DY3" s="102" t="s">
        <v>6</v>
      </c>
      <c r="DZ3" s="143" t="s">
        <v>7</v>
      </c>
      <c r="EA3" s="165">
        <v>0</v>
      </c>
      <c r="EC3" s="156" t="s">
        <v>4</v>
      </c>
      <c r="ED3" s="187"/>
      <c r="EE3" s="187"/>
      <c r="EF3" s="187"/>
      <c r="EG3" s="157"/>
      <c r="EH3" s="156" t="s">
        <v>5</v>
      </c>
      <c r="EI3" s="157"/>
      <c r="EK3" s="102" t="s">
        <v>6</v>
      </c>
      <c r="EL3" s="143" t="s">
        <v>7</v>
      </c>
      <c r="EM3" s="165">
        <v>0</v>
      </c>
      <c r="EO3" s="156" t="s">
        <v>4</v>
      </c>
      <c r="EP3" s="187"/>
      <c r="EQ3" s="187"/>
      <c r="ER3" s="187"/>
      <c r="ES3" s="157"/>
      <c r="ET3" s="156" t="s">
        <v>5</v>
      </c>
      <c r="EU3" s="157"/>
      <c r="EW3" s="121" t="s">
        <v>6</v>
      </c>
      <c r="EX3" s="229" t="s">
        <v>7</v>
      </c>
      <c r="EY3" s="229">
        <f>K3+W3+AI3+AU3+BG3+BS3+CE3+CQ3+DC3+DO3+EA3+EM3</f>
        <v>877</v>
      </c>
    </row>
    <row r="4" spans="1:155" ht="17.100000000000001" customHeight="1" thickTop="1" thickBot="1" x14ac:dyDescent="0.25">
      <c r="A4" s="111" t="s">
        <v>8</v>
      </c>
      <c r="B4" s="174"/>
      <c r="C4" s="174"/>
      <c r="D4" s="155" t="s">
        <v>9</v>
      </c>
      <c r="E4" s="141"/>
      <c r="F4" s="190">
        <v>0</v>
      </c>
      <c r="G4" s="191"/>
      <c r="I4" s="103"/>
      <c r="J4" s="140"/>
      <c r="K4" s="203"/>
      <c r="M4" s="111" t="s">
        <v>8</v>
      </c>
      <c r="N4" s="174"/>
      <c r="O4" s="174"/>
      <c r="P4" s="155" t="s">
        <v>9</v>
      </c>
      <c r="Q4" s="141"/>
      <c r="R4" s="190">
        <v>0</v>
      </c>
      <c r="S4" s="191"/>
      <c r="U4" s="103"/>
      <c r="V4" s="203"/>
      <c r="W4" s="205"/>
      <c r="Y4" s="111" t="s">
        <v>8</v>
      </c>
      <c r="Z4" s="174"/>
      <c r="AA4" s="174"/>
      <c r="AB4" s="155" t="s">
        <v>9</v>
      </c>
      <c r="AC4" s="141"/>
      <c r="AD4" s="190">
        <v>0</v>
      </c>
      <c r="AE4" s="191"/>
      <c r="AG4" s="103"/>
      <c r="AH4" s="140"/>
      <c r="AI4" s="203"/>
      <c r="AK4" s="111" t="s">
        <v>8</v>
      </c>
      <c r="AL4" s="174"/>
      <c r="AM4" s="174"/>
      <c r="AN4" s="155" t="s">
        <v>9</v>
      </c>
      <c r="AO4" s="141"/>
      <c r="AP4" s="190">
        <v>0</v>
      </c>
      <c r="AQ4" s="191"/>
      <c r="AS4" s="103"/>
      <c r="AT4" s="140"/>
      <c r="AU4" s="166"/>
      <c r="AW4" s="111" t="s">
        <v>8</v>
      </c>
      <c r="AX4" s="174"/>
      <c r="AY4" s="174"/>
      <c r="AZ4" s="155" t="s">
        <v>9</v>
      </c>
      <c r="BA4" s="141"/>
      <c r="BB4" s="190">
        <v>0</v>
      </c>
      <c r="BC4" s="191"/>
      <c r="BE4" s="103"/>
      <c r="BF4" s="140"/>
      <c r="BG4" s="166"/>
      <c r="BI4" s="111" t="s">
        <v>8</v>
      </c>
      <c r="BJ4" s="174"/>
      <c r="BK4" s="174"/>
      <c r="BL4" s="155" t="s">
        <v>9</v>
      </c>
      <c r="BM4" s="141"/>
      <c r="BN4" s="190">
        <v>0</v>
      </c>
      <c r="BO4" s="191"/>
      <c r="BQ4" s="103"/>
      <c r="BR4" s="140"/>
      <c r="BS4" s="166"/>
      <c r="BU4" s="111" t="s">
        <v>8</v>
      </c>
      <c r="BV4" s="174"/>
      <c r="BW4" s="174"/>
      <c r="BX4" s="155" t="s">
        <v>9</v>
      </c>
      <c r="BY4" s="141"/>
      <c r="BZ4" s="197">
        <v>0</v>
      </c>
      <c r="CA4" s="198"/>
      <c r="CC4" s="103"/>
      <c r="CD4" s="140"/>
      <c r="CE4" s="166"/>
      <c r="CG4" s="111" t="s">
        <v>8</v>
      </c>
      <c r="CH4" s="174"/>
      <c r="CI4" s="174"/>
      <c r="CJ4" s="155" t="s">
        <v>9</v>
      </c>
      <c r="CK4" s="141"/>
      <c r="CL4" s="210">
        <v>0</v>
      </c>
      <c r="CM4" s="211"/>
      <c r="CO4" s="103"/>
      <c r="CP4" s="140"/>
      <c r="CQ4" s="166"/>
      <c r="CS4" s="111" t="s">
        <v>8</v>
      </c>
      <c r="CT4" s="174"/>
      <c r="CU4" s="174"/>
      <c r="CV4" s="155" t="s">
        <v>9</v>
      </c>
      <c r="CW4" s="141"/>
      <c r="CX4" s="155">
        <v>0</v>
      </c>
      <c r="CY4" s="141"/>
      <c r="DA4" s="103"/>
      <c r="DB4" s="140"/>
      <c r="DC4" s="166"/>
      <c r="DD4" s="2"/>
      <c r="DE4" s="111" t="s">
        <v>8</v>
      </c>
      <c r="DF4" s="174"/>
      <c r="DG4" s="174"/>
      <c r="DH4" s="155" t="s">
        <v>9</v>
      </c>
      <c r="DI4" s="141"/>
      <c r="DJ4" s="155">
        <v>0</v>
      </c>
      <c r="DK4" s="141"/>
      <c r="DM4" s="103"/>
      <c r="DN4" s="140"/>
      <c r="DO4" s="166"/>
      <c r="DP4" s="2"/>
      <c r="DQ4" s="111" t="s">
        <v>8</v>
      </c>
      <c r="DR4" s="174"/>
      <c r="DS4" s="174"/>
      <c r="DT4" s="155" t="s">
        <v>9</v>
      </c>
      <c r="DU4" s="141"/>
      <c r="DV4" s="155">
        <v>0</v>
      </c>
      <c r="DW4" s="141"/>
      <c r="DY4" s="103"/>
      <c r="DZ4" s="140"/>
      <c r="EA4" s="166"/>
      <c r="EC4" s="111" t="s">
        <v>8</v>
      </c>
      <c r="ED4" s="174"/>
      <c r="EE4" s="174"/>
      <c r="EF4" s="155" t="s">
        <v>9</v>
      </c>
      <c r="EG4" s="141"/>
      <c r="EH4" s="155">
        <v>0</v>
      </c>
      <c r="EI4" s="141"/>
      <c r="EK4" s="103"/>
      <c r="EL4" s="140"/>
      <c r="EM4" s="166"/>
      <c r="EO4" s="111" t="s">
        <v>8</v>
      </c>
      <c r="EP4" s="174"/>
      <c r="EQ4" s="124"/>
      <c r="ER4" s="155" t="s">
        <v>9</v>
      </c>
      <c r="ES4" s="141"/>
      <c r="ET4" s="156">
        <f>F4+R4+AD4+AP4+BB4+BN4+BZ4+CL4+CX4+DJ4+DV4+EH4</f>
        <v>0</v>
      </c>
      <c r="EU4" s="157"/>
      <c r="EW4" s="122"/>
      <c r="EX4" s="139"/>
      <c r="EY4" s="237"/>
    </row>
    <row r="5" spans="1:155" ht="17.100000000000001" customHeight="1" thickBot="1" x14ac:dyDescent="0.25">
      <c r="A5" s="113"/>
      <c r="B5" s="175"/>
      <c r="C5" s="175"/>
      <c r="D5" s="154" t="s">
        <v>10</v>
      </c>
      <c r="E5" s="142"/>
      <c r="F5" s="182">
        <v>11</v>
      </c>
      <c r="G5" s="183"/>
      <c r="I5" s="103"/>
      <c r="J5" s="140" t="s">
        <v>11</v>
      </c>
      <c r="K5" s="166" t="s">
        <v>66</v>
      </c>
      <c r="M5" s="113"/>
      <c r="N5" s="175"/>
      <c r="O5" s="175"/>
      <c r="P5" s="154" t="s">
        <v>10</v>
      </c>
      <c r="Q5" s="142"/>
      <c r="R5" s="182">
        <v>19</v>
      </c>
      <c r="S5" s="183"/>
      <c r="U5" s="103"/>
      <c r="V5" s="140" t="s">
        <v>11</v>
      </c>
      <c r="W5" s="166">
        <v>148</v>
      </c>
      <c r="Y5" s="113"/>
      <c r="Z5" s="175"/>
      <c r="AA5" s="175"/>
      <c r="AB5" s="154" t="s">
        <v>10</v>
      </c>
      <c r="AC5" s="142"/>
      <c r="AD5" s="182">
        <v>0</v>
      </c>
      <c r="AE5" s="183"/>
      <c r="AG5" s="103"/>
      <c r="AH5" s="140" t="s">
        <v>11</v>
      </c>
      <c r="AI5" s="166">
        <v>109</v>
      </c>
      <c r="AK5" s="113"/>
      <c r="AL5" s="175"/>
      <c r="AM5" s="175"/>
      <c r="AN5" s="154" t="s">
        <v>10</v>
      </c>
      <c r="AO5" s="142"/>
      <c r="AP5" s="182">
        <v>0</v>
      </c>
      <c r="AQ5" s="183"/>
      <c r="AS5" s="103"/>
      <c r="AT5" s="140" t="s">
        <v>11</v>
      </c>
      <c r="AU5" s="166">
        <v>201</v>
      </c>
      <c r="AW5" s="113"/>
      <c r="AX5" s="175"/>
      <c r="AY5" s="175"/>
      <c r="AZ5" s="154" t="s">
        <v>10</v>
      </c>
      <c r="BA5" s="142"/>
      <c r="BB5" s="182">
        <v>0</v>
      </c>
      <c r="BC5" s="183"/>
      <c r="BE5" s="103"/>
      <c r="BF5" s="140" t="s">
        <v>11</v>
      </c>
      <c r="BG5" s="166">
        <v>184</v>
      </c>
      <c r="BI5" s="113"/>
      <c r="BJ5" s="175"/>
      <c r="BK5" s="175"/>
      <c r="BL5" s="154" t="s">
        <v>10</v>
      </c>
      <c r="BM5" s="142"/>
      <c r="BN5" s="216"/>
      <c r="BO5" s="217"/>
      <c r="BQ5" s="103"/>
      <c r="BR5" s="140" t="s">
        <v>11</v>
      </c>
      <c r="BS5" s="166">
        <v>83</v>
      </c>
      <c r="BU5" s="113"/>
      <c r="BV5" s="175"/>
      <c r="BW5" s="175"/>
      <c r="BX5" s="154" t="s">
        <v>10</v>
      </c>
      <c r="BY5" s="142"/>
      <c r="BZ5" s="195">
        <v>17</v>
      </c>
      <c r="CA5" s="196"/>
      <c r="CC5" s="103"/>
      <c r="CD5" s="140" t="s">
        <v>11</v>
      </c>
      <c r="CE5" s="166">
        <v>232</v>
      </c>
      <c r="CG5" s="113"/>
      <c r="CH5" s="175"/>
      <c r="CI5" s="175"/>
      <c r="CJ5" s="154" t="s">
        <v>10</v>
      </c>
      <c r="CK5" s="142"/>
      <c r="CL5" s="212">
        <v>17</v>
      </c>
      <c r="CM5" s="213"/>
      <c r="CO5" s="103"/>
      <c r="CP5" s="140" t="s">
        <v>11</v>
      </c>
      <c r="CQ5" s="166">
        <v>83</v>
      </c>
      <c r="CS5" s="113"/>
      <c r="CT5" s="175"/>
      <c r="CU5" s="175"/>
      <c r="CV5" s="154" t="s">
        <v>10</v>
      </c>
      <c r="CW5" s="142"/>
      <c r="CX5" s="154">
        <v>0</v>
      </c>
      <c r="CY5" s="142"/>
      <c r="DA5" s="103"/>
      <c r="DB5" s="140" t="s">
        <v>11</v>
      </c>
      <c r="DC5" s="166">
        <v>0</v>
      </c>
      <c r="DD5" s="2"/>
      <c r="DE5" s="113"/>
      <c r="DF5" s="175"/>
      <c r="DG5" s="175"/>
      <c r="DH5" s="154" t="s">
        <v>10</v>
      </c>
      <c r="DI5" s="142"/>
      <c r="DJ5" s="154">
        <v>0</v>
      </c>
      <c r="DK5" s="142"/>
      <c r="DM5" s="103"/>
      <c r="DN5" s="140" t="s">
        <v>11</v>
      </c>
      <c r="DO5" s="166">
        <v>0</v>
      </c>
      <c r="DP5" s="2"/>
      <c r="DQ5" s="113"/>
      <c r="DR5" s="175"/>
      <c r="DS5" s="175"/>
      <c r="DT5" s="154" t="s">
        <v>10</v>
      </c>
      <c r="DU5" s="142"/>
      <c r="DV5" s="154">
        <v>0</v>
      </c>
      <c r="DW5" s="142"/>
      <c r="DY5" s="103"/>
      <c r="DZ5" s="140" t="s">
        <v>11</v>
      </c>
      <c r="EA5" s="166">
        <v>0</v>
      </c>
      <c r="EC5" s="113"/>
      <c r="ED5" s="175"/>
      <c r="EE5" s="175"/>
      <c r="EF5" s="154" t="s">
        <v>10</v>
      </c>
      <c r="EG5" s="142"/>
      <c r="EH5" s="154">
        <v>0</v>
      </c>
      <c r="EI5" s="142"/>
      <c r="EK5" s="103"/>
      <c r="EL5" s="140" t="s">
        <v>11</v>
      </c>
      <c r="EM5" s="166">
        <v>0</v>
      </c>
      <c r="EO5" s="113"/>
      <c r="EP5" s="175"/>
      <c r="EQ5" s="112"/>
      <c r="ER5" s="154" t="s">
        <v>10</v>
      </c>
      <c r="ES5" s="142"/>
      <c r="ET5" s="156">
        <f t="shared" ref="ET5:ET25" si="0">F5+R5+AD5+AP5+BB5+BN5+BZ5+CL5+CX5+DJ5+DV5+EH5</f>
        <v>64</v>
      </c>
      <c r="EU5" s="157"/>
      <c r="EW5" s="122"/>
      <c r="EX5" s="238" t="s">
        <v>11</v>
      </c>
      <c r="EY5" s="229" t="e">
        <f>K5+W5+AI5+AU5+BG5+BS5+CE5+CQ5+DC5+DO5+EA5+EM5</f>
        <v>#VALUE!</v>
      </c>
    </row>
    <row r="6" spans="1:155" ht="17.100000000000001" customHeight="1" thickBot="1" x14ac:dyDescent="0.25">
      <c r="A6" s="125"/>
      <c r="B6" s="176"/>
      <c r="C6" s="176"/>
      <c r="D6" s="177" t="s">
        <v>12</v>
      </c>
      <c r="E6" s="178"/>
      <c r="F6" s="192">
        <v>0</v>
      </c>
      <c r="G6" s="193"/>
      <c r="I6" s="151"/>
      <c r="J6" s="144"/>
      <c r="K6" s="180"/>
      <c r="M6" s="125"/>
      <c r="N6" s="176"/>
      <c r="O6" s="176"/>
      <c r="P6" s="177" t="s">
        <v>12</v>
      </c>
      <c r="Q6" s="178"/>
      <c r="R6" s="192">
        <v>0</v>
      </c>
      <c r="S6" s="193"/>
      <c r="U6" s="151"/>
      <c r="V6" s="144"/>
      <c r="W6" s="180"/>
      <c r="Y6" s="125"/>
      <c r="Z6" s="176"/>
      <c r="AA6" s="176"/>
      <c r="AB6" s="177" t="s">
        <v>12</v>
      </c>
      <c r="AC6" s="178"/>
      <c r="AD6" s="192">
        <v>10</v>
      </c>
      <c r="AE6" s="193"/>
      <c r="AG6" s="151"/>
      <c r="AH6" s="144"/>
      <c r="AI6" s="180"/>
      <c r="AK6" s="125"/>
      <c r="AL6" s="176"/>
      <c r="AM6" s="176"/>
      <c r="AN6" s="177" t="s">
        <v>12</v>
      </c>
      <c r="AO6" s="178"/>
      <c r="AP6" s="192">
        <v>0</v>
      </c>
      <c r="AQ6" s="193"/>
      <c r="AS6" s="151"/>
      <c r="AT6" s="144"/>
      <c r="AU6" s="180"/>
      <c r="AW6" s="125"/>
      <c r="AX6" s="176"/>
      <c r="AY6" s="176"/>
      <c r="AZ6" s="177" t="s">
        <v>12</v>
      </c>
      <c r="BA6" s="178"/>
      <c r="BB6" s="192">
        <v>30</v>
      </c>
      <c r="BC6" s="193"/>
      <c r="BE6" s="151"/>
      <c r="BF6" s="144"/>
      <c r="BG6" s="180"/>
      <c r="BI6" s="125"/>
      <c r="BJ6" s="176"/>
      <c r="BK6" s="176"/>
      <c r="BL6" s="177" t="s">
        <v>12</v>
      </c>
      <c r="BM6" s="178"/>
      <c r="BN6" s="192">
        <v>0</v>
      </c>
      <c r="BO6" s="193"/>
      <c r="BQ6" s="151"/>
      <c r="BR6" s="144"/>
      <c r="BS6" s="180"/>
      <c r="BU6" s="125"/>
      <c r="BV6" s="176"/>
      <c r="BW6" s="176"/>
      <c r="BX6" s="177" t="s">
        <v>12</v>
      </c>
      <c r="BY6" s="178"/>
      <c r="BZ6" s="199">
        <v>0</v>
      </c>
      <c r="CA6" s="200"/>
      <c r="CC6" s="151"/>
      <c r="CD6" s="144"/>
      <c r="CE6" s="180"/>
      <c r="CG6" s="125"/>
      <c r="CH6" s="176"/>
      <c r="CI6" s="176"/>
      <c r="CJ6" s="177" t="s">
        <v>12</v>
      </c>
      <c r="CK6" s="178"/>
      <c r="CL6" s="214">
        <v>0</v>
      </c>
      <c r="CM6" s="215"/>
      <c r="CO6" s="151"/>
      <c r="CP6" s="144"/>
      <c r="CQ6" s="180"/>
      <c r="CS6" s="125"/>
      <c r="CT6" s="176"/>
      <c r="CU6" s="176"/>
      <c r="CV6" s="177" t="s">
        <v>12</v>
      </c>
      <c r="CW6" s="178"/>
      <c r="CX6" s="177">
        <v>0</v>
      </c>
      <c r="CY6" s="178"/>
      <c r="DA6" s="151"/>
      <c r="DB6" s="144"/>
      <c r="DC6" s="180"/>
      <c r="DD6" s="2"/>
      <c r="DE6" s="125"/>
      <c r="DF6" s="176"/>
      <c r="DG6" s="176"/>
      <c r="DH6" s="177" t="s">
        <v>12</v>
      </c>
      <c r="DI6" s="178"/>
      <c r="DJ6" s="177">
        <v>0</v>
      </c>
      <c r="DK6" s="178"/>
      <c r="DM6" s="151"/>
      <c r="DN6" s="144"/>
      <c r="DO6" s="180"/>
      <c r="DP6" s="2"/>
      <c r="DQ6" s="125"/>
      <c r="DR6" s="176"/>
      <c r="DS6" s="176"/>
      <c r="DT6" s="177" t="s">
        <v>12</v>
      </c>
      <c r="DU6" s="178"/>
      <c r="DV6" s="177">
        <v>0</v>
      </c>
      <c r="DW6" s="178"/>
      <c r="DY6" s="151"/>
      <c r="DZ6" s="144"/>
      <c r="EA6" s="180"/>
      <c r="EC6" s="125"/>
      <c r="ED6" s="176"/>
      <c r="EE6" s="176"/>
      <c r="EF6" s="177" t="s">
        <v>12</v>
      </c>
      <c r="EG6" s="178"/>
      <c r="EH6" s="177">
        <v>0</v>
      </c>
      <c r="EI6" s="178"/>
      <c r="EK6" s="151"/>
      <c r="EL6" s="144"/>
      <c r="EM6" s="180"/>
      <c r="EO6" s="125"/>
      <c r="EP6" s="176"/>
      <c r="EQ6" s="126"/>
      <c r="ER6" s="177" t="s">
        <v>12</v>
      </c>
      <c r="ES6" s="178"/>
      <c r="ET6" s="156">
        <f t="shared" si="0"/>
        <v>40</v>
      </c>
      <c r="EU6" s="157"/>
      <c r="EW6" s="123"/>
      <c r="EX6" s="237"/>
      <c r="EY6" s="237"/>
    </row>
    <row r="7" spans="1:155" ht="17.100000000000001" customHeight="1" thickTop="1" thickBot="1" x14ac:dyDescent="0.25">
      <c r="A7" s="158" t="s">
        <v>13</v>
      </c>
      <c r="B7" s="111" t="s">
        <v>14</v>
      </c>
      <c r="C7" s="174"/>
      <c r="D7" s="155" t="s">
        <v>29</v>
      </c>
      <c r="E7" s="141"/>
      <c r="F7" s="190">
        <v>40</v>
      </c>
      <c r="G7" s="191"/>
      <c r="I7" s="102" t="s">
        <v>15</v>
      </c>
      <c r="J7" s="143" t="s">
        <v>7</v>
      </c>
      <c r="K7" s="165">
        <v>35</v>
      </c>
      <c r="M7" s="158" t="s">
        <v>13</v>
      </c>
      <c r="N7" s="111" t="s">
        <v>14</v>
      </c>
      <c r="O7" s="174"/>
      <c r="P7" s="155" t="s">
        <v>29</v>
      </c>
      <c r="Q7" s="141"/>
      <c r="R7" s="190">
        <v>11</v>
      </c>
      <c r="S7" s="191"/>
      <c r="U7" s="102" t="s">
        <v>15</v>
      </c>
      <c r="V7" s="143" t="s">
        <v>7</v>
      </c>
      <c r="W7" s="165">
        <v>26</v>
      </c>
      <c r="Y7" s="158" t="s">
        <v>13</v>
      </c>
      <c r="Z7" s="111" t="s">
        <v>14</v>
      </c>
      <c r="AA7" s="174"/>
      <c r="AB7" s="155" t="s">
        <v>29</v>
      </c>
      <c r="AC7" s="141"/>
      <c r="AD7" s="190">
        <v>30</v>
      </c>
      <c r="AE7" s="191"/>
      <c r="AG7" s="102" t="s">
        <v>15</v>
      </c>
      <c r="AH7" s="143" t="s">
        <v>7</v>
      </c>
      <c r="AI7" s="165">
        <v>18</v>
      </c>
      <c r="AK7" s="158" t="s">
        <v>13</v>
      </c>
      <c r="AL7" s="111" t="s">
        <v>14</v>
      </c>
      <c r="AM7" s="174"/>
      <c r="AN7" s="155" t="s">
        <v>29</v>
      </c>
      <c r="AO7" s="141"/>
      <c r="AP7" s="190">
        <v>29</v>
      </c>
      <c r="AQ7" s="191"/>
      <c r="AS7" s="102" t="s">
        <v>15</v>
      </c>
      <c r="AT7" s="143" t="s">
        <v>7</v>
      </c>
      <c r="AU7" s="165">
        <v>68</v>
      </c>
      <c r="AW7" s="158" t="s">
        <v>13</v>
      </c>
      <c r="AX7" s="111" t="s">
        <v>14</v>
      </c>
      <c r="AY7" s="174"/>
      <c r="AZ7" s="155" t="s">
        <v>29</v>
      </c>
      <c r="BA7" s="141"/>
      <c r="BB7" s="190">
        <v>39</v>
      </c>
      <c r="BC7" s="191"/>
      <c r="BE7" s="102" t="s">
        <v>15</v>
      </c>
      <c r="BF7" s="143" t="s">
        <v>7</v>
      </c>
      <c r="BG7" s="165">
        <v>59</v>
      </c>
      <c r="BI7" s="158" t="s">
        <v>13</v>
      </c>
      <c r="BJ7" s="111" t="s">
        <v>14</v>
      </c>
      <c r="BK7" s="174"/>
      <c r="BL7" s="155" t="s">
        <v>29</v>
      </c>
      <c r="BM7" s="141"/>
      <c r="BN7" s="190">
        <v>0</v>
      </c>
      <c r="BO7" s="191"/>
      <c r="BQ7" s="102" t="s">
        <v>15</v>
      </c>
      <c r="BR7" s="143" t="s">
        <v>7</v>
      </c>
      <c r="BS7" s="165">
        <v>16</v>
      </c>
      <c r="BU7" s="158" t="s">
        <v>13</v>
      </c>
      <c r="BV7" s="111" t="s">
        <v>14</v>
      </c>
      <c r="BW7" s="174"/>
      <c r="BX7" s="155" t="s">
        <v>29</v>
      </c>
      <c r="BY7" s="141"/>
      <c r="BZ7" s="197">
        <v>27</v>
      </c>
      <c r="CA7" s="198"/>
      <c r="CC7" s="102" t="s">
        <v>15</v>
      </c>
      <c r="CD7" s="143" t="s">
        <v>7</v>
      </c>
      <c r="CE7" s="165">
        <v>19</v>
      </c>
      <c r="CG7" s="158" t="s">
        <v>13</v>
      </c>
      <c r="CH7" s="111" t="s">
        <v>14</v>
      </c>
      <c r="CI7" s="174"/>
      <c r="CJ7" s="155" t="s">
        <v>29</v>
      </c>
      <c r="CK7" s="141"/>
      <c r="CL7" s="210">
        <v>0</v>
      </c>
      <c r="CM7" s="211"/>
      <c r="CO7" s="102" t="s">
        <v>15</v>
      </c>
      <c r="CP7" s="143" t="s">
        <v>7</v>
      </c>
      <c r="CQ7" s="165">
        <v>16</v>
      </c>
      <c r="CS7" s="158" t="s">
        <v>13</v>
      </c>
      <c r="CT7" s="111" t="s">
        <v>14</v>
      </c>
      <c r="CU7" s="174"/>
      <c r="CV7" s="155" t="s">
        <v>29</v>
      </c>
      <c r="CW7" s="141"/>
      <c r="CX7" s="155">
        <v>0</v>
      </c>
      <c r="CY7" s="141"/>
      <c r="DA7" s="102" t="s">
        <v>15</v>
      </c>
      <c r="DB7" s="143" t="s">
        <v>7</v>
      </c>
      <c r="DC7" s="165">
        <v>0</v>
      </c>
      <c r="DD7" s="2"/>
      <c r="DE7" s="158" t="s">
        <v>13</v>
      </c>
      <c r="DF7" s="111" t="s">
        <v>14</v>
      </c>
      <c r="DG7" s="174"/>
      <c r="DH7" s="155" t="s">
        <v>29</v>
      </c>
      <c r="DI7" s="141"/>
      <c r="DJ7" s="155">
        <v>0</v>
      </c>
      <c r="DK7" s="141"/>
      <c r="DM7" s="102" t="s">
        <v>15</v>
      </c>
      <c r="DN7" s="143" t="s">
        <v>7</v>
      </c>
      <c r="DO7" s="165">
        <v>0</v>
      </c>
      <c r="DP7" s="2"/>
      <c r="DQ7" s="158" t="s">
        <v>13</v>
      </c>
      <c r="DR7" s="111" t="s">
        <v>14</v>
      </c>
      <c r="DS7" s="174"/>
      <c r="DT7" s="155" t="s">
        <v>29</v>
      </c>
      <c r="DU7" s="141"/>
      <c r="DV7" s="155">
        <v>0</v>
      </c>
      <c r="DW7" s="141"/>
      <c r="DY7" s="102" t="s">
        <v>15</v>
      </c>
      <c r="DZ7" s="143" t="s">
        <v>7</v>
      </c>
      <c r="EA7" s="165">
        <v>0</v>
      </c>
      <c r="EC7" s="158" t="s">
        <v>13</v>
      </c>
      <c r="ED7" s="111" t="s">
        <v>14</v>
      </c>
      <c r="EE7" s="174"/>
      <c r="EF7" s="155" t="s">
        <v>29</v>
      </c>
      <c r="EG7" s="141"/>
      <c r="EH7" s="155">
        <v>0</v>
      </c>
      <c r="EI7" s="141"/>
      <c r="EK7" s="102" t="s">
        <v>15</v>
      </c>
      <c r="EL7" s="143" t="s">
        <v>7</v>
      </c>
      <c r="EM7" s="165">
        <v>0</v>
      </c>
      <c r="EO7" s="232" t="s">
        <v>13</v>
      </c>
      <c r="EP7" s="111" t="s">
        <v>14</v>
      </c>
      <c r="EQ7" s="124"/>
      <c r="ER7" s="155" t="s">
        <v>29</v>
      </c>
      <c r="ES7" s="141"/>
      <c r="ET7" s="156">
        <f t="shared" si="0"/>
        <v>176</v>
      </c>
      <c r="EU7" s="157"/>
      <c r="EW7" s="121" t="s">
        <v>15</v>
      </c>
      <c r="EX7" s="229" t="s">
        <v>7</v>
      </c>
      <c r="EY7" s="229">
        <f>K7+W7+AI7+AU7+BG7+BS7+CE7+CQ7+DC7+DO7+EA7+EM7</f>
        <v>257</v>
      </c>
    </row>
    <row r="8" spans="1:155" ht="17.100000000000001" customHeight="1" thickBot="1" x14ac:dyDescent="0.25">
      <c r="A8" s="159"/>
      <c r="B8" s="113"/>
      <c r="C8" s="175"/>
      <c r="D8" s="154" t="s">
        <v>16</v>
      </c>
      <c r="E8" s="142"/>
      <c r="F8" s="182">
        <v>0</v>
      </c>
      <c r="G8" s="183"/>
      <c r="I8" s="103"/>
      <c r="J8" s="140"/>
      <c r="K8" s="166"/>
      <c r="M8" s="159"/>
      <c r="N8" s="113"/>
      <c r="O8" s="175"/>
      <c r="P8" s="154" t="s">
        <v>16</v>
      </c>
      <c r="Q8" s="142"/>
      <c r="R8" s="182">
        <v>2</v>
      </c>
      <c r="S8" s="183"/>
      <c r="U8" s="103"/>
      <c r="V8" s="140"/>
      <c r="W8" s="166"/>
      <c r="Y8" s="159"/>
      <c r="Z8" s="113"/>
      <c r="AA8" s="175"/>
      <c r="AB8" s="154" t="s">
        <v>16</v>
      </c>
      <c r="AC8" s="142"/>
      <c r="AD8" s="182">
        <v>12</v>
      </c>
      <c r="AE8" s="183"/>
      <c r="AG8" s="103"/>
      <c r="AH8" s="140"/>
      <c r="AI8" s="166"/>
      <c r="AK8" s="159"/>
      <c r="AL8" s="113"/>
      <c r="AM8" s="175"/>
      <c r="AN8" s="154" t="s">
        <v>16</v>
      </c>
      <c r="AO8" s="142"/>
      <c r="AP8" s="182">
        <v>3</v>
      </c>
      <c r="AQ8" s="183"/>
      <c r="AS8" s="103"/>
      <c r="AT8" s="140"/>
      <c r="AU8" s="166"/>
      <c r="AW8" s="159"/>
      <c r="AX8" s="113"/>
      <c r="AY8" s="175"/>
      <c r="AZ8" s="154" t="s">
        <v>16</v>
      </c>
      <c r="BA8" s="142"/>
      <c r="BB8" s="182">
        <v>31</v>
      </c>
      <c r="BC8" s="183"/>
      <c r="BE8" s="103"/>
      <c r="BF8" s="140"/>
      <c r="BG8" s="166"/>
      <c r="BI8" s="159"/>
      <c r="BJ8" s="113"/>
      <c r="BK8" s="175"/>
      <c r="BL8" s="154" t="s">
        <v>16</v>
      </c>
      <c r="BM8" s="142"/>
      <c r="BN8" s="182">
        <v>9</v>
      </c>
      <c r="BO8" s="183"/>
      <c r="BQ8" s="103"/>
      <c r="BR8" s="140"/>
      <c r="BS8" s="166"/>
      <c r="BU8" s="159"/>
      <c r="BV8" s="113"/>
      <c r="BW8" s="175"/>
      <c r="BX8" s="154" t="s">
        <v>16</v>
      </c>
      <c r="BY8" s="142"/>
      <c r="BZ8" s="195">
        <v>6</v>
      </c>
      <c r="CA8" s="196"/>
      <c r="CC8" s="103"/>
      <c r="CD8" s="140"/>
      <c r="CE8" s="166"/>
      <c r="CG8" s="159"/>
      <c r="CH8" s="113"/>
      <c r="CI8" s="175"/>
      <c r="CJ8" s="154" t="s">
        <v>16</v>
      </c>
      <c r="CK8" s="142"/>
      <c r="CL8" s="212">
        <v>9</v>
      </c>
      <c r="CM8" s="213"/>
      <c r="CO8" s="103"/>
      <c r="CP8" s="140"/>
      <c r="CQ8" s="166"/>
      <c r="CS8" s="159"/>
      <c r="CT8" s="113"/>
      <c r="CU8" s="175"/>
      <c r="CV8" s="154" t="s">
        <v>16</v>
      </c>
      <c r="CW8" s="142"/>
      <c r="CX8" s="154">
        <v>0</v>
      </c>
      <c r="CY8" s="142"/>
      <c r="DA8" s="103"/>
      <c r="DB8" s="140"/>
      <c r="DC8" s="166"/>
      <c r="DD8" s="2"/>
      <c r="DE8" s="159"/>
      <c r="DF8" s="113"/>
      <c r="DG8" s="175"/>
      <c r="DH8" s="154" t="s">
        <v>16</v>
      </c>
      <c r="DI8" s="142"/>
      <c r="DJ8" s="154">
        <v>0</v>
      </c>
      <c r="DK8" s="142"/>
      <c r="DM8" s="103"/>
      <c r="DN8" s="140"/>
      <c r="DO8" s="166"/>
      <c r="DP8" s="2"/>
      <c r="DQ8" s="159"/>
      <c r="DR8" s="113"/>
      <c r="DS8" s="175"/>
      <c r="DT8" s="154" t="s">
        <v>16</v>
      </c>
      <c r="DU8" s="142"/>
      <c r="DV8" s="154">
        <v>0</v>
      </c>
      <c r="DW8" s="142"/>
      <c r="DY8" s="103"/>
      <c r="DZ8" s="140"/>
      <c r="EA8" s="166"/>
      <c r="EC8" s="159"/>
      <c r="ED8" s="113"/>
      <c r="EE8" s="175"/>
      <c r="EF8" s="154" t="s">
        <v>16</v>
      </c>
      <c r="EG8" s="142"/>
      <c r="EH8" s="154">
        <v>0</v>
      </c>
      <c r="EI8" s="142"/>
      <c r="EK8" s="103"/>
      <c r="EL8" s="140"/>
      <c r="EM8" s="166"/>
      <c r="EO8" s="233"/>
      <c r="EP8" s="113"/>
      <c r="EQ8" s="112"/>
      <c r="ER8" s="154" t="s">
        <v>16</v>
      </c>
      <c r="ES8" s="142"/>
      <c r="ET8" s="156">
        <f t="shared" si="0"/>
        <v>72</v>
      </c>
      <c r="EU8" s="157"/>
      <c r="EW8" s="122"/>
      <c r="EX8" s="139"/>
      <c r="EY8" s="237"/>
    </row>
    <row r="9" spans="1:155" ht="17.100000000000001" customHeight="1" thickBot="1" x14ac:dyDescent="0.25">
      <c r="A9" s="159"/>
      <c r="B9" s="125"/>
      <c r="C9" s="176"/>
      <c r="D9" s="177" t="s">
        <v>17</v>
      </c>
      <c r="E9" s="178"/>
      <c r="F9" s="192">
        <v>0</v>
      </c>
      <c r="G9" s="193"/>
      <c r="I9" s="103"/>
      <c r="J9" s="140" t="s">
        <v>11</v>
      </c>
      <c r="K9" s="166">
        <v>60</v>
      </c>
      <c r="M9" s="159"/>
      <c r="N9" s="125"/>
      <c r="O9" s="176"/>
      <c r="P9" s="177" t="s">
        <v>17</v>
      </c>
      <c r="Q9" s="178"/>
      <c r="R9" s="192">
        <v>0</v>
      </c>
      <c r="S9" s="193"/>
      <c r="U9" s="103"/>
      <c r="V9" s="140" t="s">
        <v>11</v>
      </c>
      <c r="W9" s="166">
        <v>71</v>
      </c>
      <c r="Y9" s="159"/>
      <c r="Z9" s="125"/>
      <c r="AA9" s="176"/>
      <c r="AB9" s="177" t="s">
        <v>17</v>
      </c>
      <c r="AC9" s="178"/>
      <c r="AD9" s="192">
        <v>0</v>
      </c>
      <c r="AE9" s="193"/>
      <c r="AG9" s="103"/>
      <c r="AH9" s="140" t="s">
        <v>11</v>
      </c>
      <c r="AI9" s="166">
        <v>31</v>
      </c>
      <c r="AK9" s="159"/>
      <c r="AL9" s="125"/>
      <c r="AM9" s="176"/>
      <c r="AN9" s="177" t="s">
        <v>17</v>
      </c>
      <c r="AO9" s="178"/>
      <c r="AP9" s="192">
        <v>0</v>
      </c>
      <c r="AQ9" s="193"/>
      <c r="AS9" s="103"/>
      <c r="AT9" s="140" t="s">
        <v>11</v>
      </c>
      <c r="AU9" s="166">
        <v>73</v>
      </c>
      <c r="AW9" s="159"/>
      <c r="AX9" s="125"/>
      <c r="AY9" s="176"/>
      <c r="AZ9" s="177" t="s">
        <v>17</v>
      </c>
      <c r="BA9" s="178"/>
      <c r="BB9" s="192">
        <v>0</v>
      </c>
      <c r="BC9" s="193"/>
      <c r="BE9" s="103"/>
      <c r="BF9" s="140" t="s">
        <v>11</v>
      </c>
      <c r="BG9" s="166">
        <v>71</v>
      </c>
      <c r="BI9" s="159"/>
      <c r="BJ9" s="125"/>
      <c r="BK9" s="176"/>
      <c r="BL9" s="177" t="s">
        <v>17</v>
      </c>
      <c r="BM9" s="178"/>
      <c r="BN9" s="192">
        <v>0</v>
      </c>
      <c r="BO9" s="193"/>
      <c r="BQ9" s="103"/>
      <c r="BR9" s="140" t="s">
        <v>11</v>
      </c>
      <c r="BS9" s="166">
        <v>30</v>
      </c>
      <c r="BU9" s="159"/>
      <c r="BV9" s="125"/>
      <c r="BW9" s="176"/>
      <c r="BX9" s="177" t="s">
        <v>17</v>
      </c>
      <c r="BY9" s="178"/>
      <c r="BZ9" s="199">
        <v>0</v>
      </c>
      <c r="CA9" s="200"/>
      <c r="CC9" s="103"/>
      <c r="CD9" s="140" t="s">
        <v>11</v>
      </c>
      <c r="CE9" s="166">
        <v>33</v>
      </c>
      <c r="CG9" s="159"/>
      <c r="CH9" s="125"/>
      <c r="CI9" s="176"/>
      <c r="CJ9" s="177" t="s">
        <v>17</v>
      </c>
      <c r="CK9" s="178"/>
      <c r="CL9" s="214">
        <v>0</v>
      </c>
      <c r="CM9" s="215"/>
      <c r="CO9" s="103"/>
      <c r="CP9" s="140" t="s">
        <v>11</v>
      </c>
      <c r="CQ9" s="166">
        <v>30</v>
      </c>
      <c r="CS9" s="159"/>
      <c r="CT9" s="125"/>
      <c r="CU9" s="176"/>
      <c r="CV9" s="177" t="s">
        <v>17</v>
      </c>
      <c r="CW9" s="178"/>
      <c r="CX9" s="177">
        <v>0</v>
      </c>
      <c r="CY9" s="178"/>
      <c r="DA9" s="103"/>
      <c r="DB9" s="140" t="s">
        <v>11</v>
      </c>
      <c r="DC9" s="166">
        <v>0</v>
      </c>
      <c r="DD9" s="2"/>
      <c r="DE9" s="159"/>
      <c r="DF9" s="125"/>
      <c r="DG9" s="176"/>
      <c r="DH9" s="177" t="s">
        <v>17</v>
      </c>
      <c r="DI9" s="178"/>
      <c r="DJ9" s="177">
        <v>0</v>
      </c>
      <c r="DK9" s="178"/>
      <c r="DM9" s="103"/>
      <c r="DN9" s="140" t="s">
        <v>11</v>
      </c>
      <c r="DO9" s="166">
        <v>0</v>
      </c>
      <c r="DP9" s="2"/>
      <c r="DQ9" s="159"/>
      <c r="DR9" s="125"/>
      <c r="DS9" s="176"/>
      <c r="DT9" s="177" t="s">
        <v>17</v>
      </c>
      <c r="DU9" s="178"/>
      <c r="DV9" s="177">
        <v>0</v>
      </c>
      <c r="DW9" s="178"/>
      <c r="DY9" s="103"/>
      <c r="DZ9" s="140" t="s">
        <v>11</v>
      </c>
      <c r="EA9" s="166">
        <v>0</v>
      </c>
      <c r="EC9" s="159"/>
      <c r="ED9" s="125"/>
      <c r="EE9" s="176"/>
      <c r="EF9" s="177" t="s">
        <v>17</v>
      </c>
      <c r="EG9" s="178"/>
      <c r="EH9" s="177">
        <v>0</v>
      </c>
      <c r="EI9" s="178"/>
      <c r="EK9" s="103"/>
      <c r="EL9" s="140" t="s">
        <v>11</v>
      </c>
      <c r="EM9" s="166">
        <v>0</v>
      </c>
      <c r="EO9" s="233"/>
      <c r="EP9" s="125"/>
      <c r="EQ9" s="126"/>
      <c r="ER9" s="177" t="s">
        <v>17</v>
      </c>
      <c r="ES9" s="178"/>
      <c r="ET9" s="156">
        <f t="shared" si="0"/>
        <v>0</v>
      </c>
      <c r="EU9" s="157"/>
      <c r="EW9" s="122"/>
      <c r="EX9" s="238" t="s">
        <v>11</v>
      </c>
      <c r="EY9" s="229">
        <f>K9+W9+AI9+AU9+BG9+BS9+CE9+CQ9+DC9+DO9+EA9+EM9</f>
        <v>399</v>
      </c>
    </row>
    <row r="10" spans="1:155" ht="17.100000000000001" customHeight="1" thickTop="1" thickBot="1" x14ac:dyDescent="0.25">
      <c r="A10" s="159"/>
      <c r="B10" s="111" t="s">
        <v>18</v>
      </c>
      <c r="C10" s="174"/>
      <c r="D10" s="155" t="s">
        <v>19</v>
      </c>
      <c r="E10" s="141"/>
      <c r="F10" s="190">
        <v>0</v>
      </c>
      <c r="G10" s="191"/>
      <c r="I10" s="103"/>
      <c r="J10" s="144"/>
      <c r="K10" s="180"/>
      <c r="M10" s="159"/>
      <c r="N10" s="111" t="s">
        <v>18</v>
      </c>
      <c r="O10" s="174"/>
      <c r="P10" s="155" t="s">
        <v>19</v>
      </c>
      <c r="Q10" s="141"/>
      <c r="R10" s="190">
        <v>0</v>
      </c>
      <c r="S10" s="191"/>
      <c r="U10" s="103"/>
      <c r="V10" s="144"/>
      <c r="W10" s="180"/>
      <c r="Y10" s="159"/>
      <c r="Z10" s="111" t="s">
        <v>18</v>
      </c>
      <c r="AA10" s="174"/>
      <c r="AB10" s="155" t="s">
        <v>19</v>
      </c>
      <c r="AC10" s="141"/>
      <c r="AD10" s="190">
        <v>0</v>
      </c>
      <c r="AE10" s="191"/>
      <c r="AG10" s="103"/>
      <c r="AH10" s="144"/>
      <c r="AI10" s="180"/>
      <c r="AK10" s="159"/>
      <c r="AL10" s="111" t="s">
        <v>18</v>
      </c>
      <c r="AM10" s="174"/>
      <c r="AN10" s="155" t="s">
        <v>19</v>
      </c>
      <c r="AO10" s="141"/>
      <c r="AP10" s="190">
        <v>0</v>
      </c>
      <c r="AQ10" s="191"/>
      <c r="AS10" s="103"/>
      <c r="AT10" s="144"/>
      <c r="AU10" s="180"/>
      <c r="AW10" s="159"/>
      <c r="AX10" s="111" t="s">
        <v>18</v>
      </c>
      <c r="AY10" s="174"/>
      <c r="AZ10" s="155" t="s">
        <v>19</v>
      </c>
      <c r="BA10" s="141"/>
      <c r="BB10" s="190">
        <v>0</v>
      </c>
      <c r="BC10" s="191"/>
      <c r="BE10" s="103"/>
      <c r="BF10" s="144"/>
      <c r="BG10" s="180"/>
      <c r="BI10" s="159"/>
      <c r="BJ10" s="111" t="s">
        <v>18</v>
      </c>
      <c r="BK10" s="174"/>
      <c r="BL10" s="155" t="s">
        <v>19</v>
      </c>
      <c r="BM10" s="141"/>
      <c r="BN10" s="190">
        <v>0</v>
      </c>
      <c r="BO10" s="191"/>
      <c r="BQ10" s="103"/>
      <c r="BR10" s="144"/>
      <c r="BS10" s="180"/>
      <c r="BU10" s="159"/>
      <c r="BV10" s="111" t="s">
        <v>18</v>
      </c>
      <c r="BW10" s="174"/>
      <c r="BX10" s="155" t="s">
        <v>19</v>
      </c>
      <c r="BY10" s="141"/>
      <c r="BZ10" s="197">
        <v>0</v>
      </c>
      <c r="CA10" s="198"/>
      <c r="CC10" s="103"/>
      <c r="CD10" s="144"/>
      <c r="CE10" s="180"/>
      <c r="CG10" s="159"/>
      <c r="CH10" s="111" t="s">
        <v>18</v>
      </c>
      <c r="CI10" s="174"/>
      <c r="CJ10" s="155" t="s">
        <v>19</v>
      </c>
      <c r="CK10" s="141"/>
      <c r="CL10" s="210">
        <v>0</v>
      </c>
      <c r="CM10" s="211"/>
      <c r="CO10" s="103"/>
      <c r="CP10" s="144"/>
      <c r="CQ10" s="180"/>
      <c r="CS10" s="159"/>
      <c r="CT10" s="111" t="s">
        <v>18</v>
      </c>
      <c r="CU10" s="174"/>
      <c r="CV10" s="155" t="s">
        <v>19</v>
      </c>
      <c r="CW10" s="141"/>
      <c r="CX10" s="155">
        <v>0</v>
      </c>
      <c r="CY10" s="141"/>
      <c r="DA10" s="103"/>
      <c r="DB10" s="144"/>
      <c r="DC10" s="180"/>
      <c r="DD10" s="2"/>
      <c r="DE10" s="159"/>
      <c r="DF10" s="111" t="s">
        <v>18</v>
      </c>
      <c r="DG10" s="174"/>
      <c r="DH10" s="155" t="s">
        <v>19</v>
      </c>
      <c r="DI10" s="141"/>
      <c r="DJ10" s="155">
        <v>0</v>
      </c>
      <c r="DK10" s="141"/>
      <c r="DM10" s="103"/>
      <c r="DN10" s="144"/>
      <c r="DO10" s="180"/>
      <c r="DP10" s="2"/>
      <c r="DQ10" s="159"/>
      <c r="DR10" s="111" t="s">
        <v>18</v>
      </c>
      <c r="DS10" s="174"/>
      <c r="DT10" s="155" t="s">
        <v>19</v>
      </c>
      <c r="DU10" s="141"/>
      <c r="DV10" s="155">
        <v>0</v>
      </c>
      <c r="DW10" s="141"/>
      <c r="DY10" s="103"/>
      <c r="DZ10" s="144"/>
      <c r="EA10" s="180"/>
      <c r="EC10" s="159"/>
      <c r="ED10" s="111" t="s">
        <v>18</v>
      </c>
      <c r="EE10" s="174"/>
      <c r="EF10" s="155" t="s">
        <v>19</v>
      </c>
      <c r="EG10" s="141"/>
      <c r="EH10" s="155">
        <v>0</v>
      </c>
      <c r="EI10" s="141"/>
      <c r="EK10" s="103"/>
      <c r="EL10" s="144"/>
      <c r="EM10" s="180"/>
      <c r="EO10" s="233"/>
      <c r="EP10" s="111" t="s">
        <v>18</v>
      </c>
      <c r="EQ10" s="124"/>
      <c r="ER10" s="155" t="s">
        <v>19</v>
      </c>
      <c r="ES10" s="141"/>
      <c r="ET10" s="156">
        <f t="shared" si="0"/>
        <v>0</v>
      </c>
      <c r="EU10" s="157"/>
      <c r="EW10" s="123"/>
      <c r="EX10" s="237"/>
      <c r="EY10" s="139"/>
    </row>
    <row r="11" spans="1:155" ht="17.100000000000001" customHeight="1" thickBot="1" x14ac:dyDescent="0.25">
      <c r="A11" s="159"/>
      <c r="B11" s="125"/>
      <c r="C11" s="176"/>
      <c r="D11" s="177" t="s">
        <v>20</v>
      </c>
      <c r="E11" s="178"/>
      <c r="F11" s="192">
        <v>0</v>
      </c>
      <c r="G11" s="193"/>
      <c r="I11" s="167" t="s">
        <v>21</v>
      </c>
      <c r="J11" s="168"/>
      <c r="K11" s="172">
        <f>SUM(K3:K10)</f>
        <v>242</v>
      </c>
      <c r="M11" s="159"/>
      <c r="N11" s="125"/>
      <c r="O11" s="176"/>
      <c r="P11" s="177" t="s">
        <v>20</v>
      </c>
      <c r="Q11" s="178"/>
      <c r="R11" s="192">
        <v>0</v>
      </c>
      <c r="S11" s="193"/>
      <c r="U11" s="167" t="s">
        <v>21</v>
      </c>
      <c r="V11" s="168"/>
      <c r="W11" s="172">
        <f>SUM(W3:W10)</f>
        <v>342</v>
      </c>
      <c r="Y11" s="159"/>
      <c r="Z11" s="125"/>
      <c r="AA11" s="176"/>
      <c r="AB11" s="177" t="s">
        <v>20</v>
      </c>
      <c r="AC11" s="178"/>
      <c r="AD11" s="192">
        <v>0</v>
      </c>
      <c r="AE11" s="193"/>
      <c r="AG11" s="167" t="s">
        <v>21</v>
      </c>
      <c r="AH11" s="168"/>
      <c r="AI11" s="172">
        <f>SUM(AI3:AI10)</f>
        <v>236</v>
      </c>
      <c r="AK11" s="159"/>
      <c r="AL11" s="125"/>
      <c r="AM11" s="176"/>
      <c r="AN11" s="177" t="s">
        <v>20</v>
      </c>
      <c r="AO11" s="178"/>
      <c r="AP11" s="192">
        <v>0</v>
      </c>
      <c r="AQ11" s="193"/>
      <c r="AS11" s="167" t="s">
        <v>21</v>
      </c>
      <c r="AT11" s="168"/>
      <c r="AU11" s="172">
        <f>SUM(AU3:AU10)</f>
        <v>493</v>
      </c>
      <c r="AW11" s="159"/>
      <c r="AX11" s="125"/>
      <c r="AY11" s="176"/>
      <c r="AZ11" s="177" t="s">
        <v>20</v>
      </c>
      <c r="BA11" s="178"/>
      <c r="BB11" s="192">
        <v>0</v>
      </c>
      <c r="BC11" s="193"/>
      <c r="BE11" s="167" t="s">
        <v>21</v>
      </c>
      <c r="BF11" s="168"/>
      <c r="BG11" s="172">
        <f>SUM(BG3:BG10)</f>
        <v>440</v>
      </c>
      <c r="BI11" s="159"/>
      <c r="BJ11" s="125"/>
      <c r="BK11" s="176"/>
      <c r="BL11" s="177" t="s">
        <v>20</v>
      </c>
      <c r="BM11" s="178"/>
      <c r="BN11" s="192">
        <v>0</v>
      </c>
      <c r="BO11" s="193"/>
      <c r="BQ11" s="167" t="s">
        <v>21</v>
      </c>
      <c r="BR11" s="168"/>
      <c r="BS11" s="172">
        <f>SUM(BS3:BS10)</f>
        <v>191</v>
      </c>
      <c r="BU11" s="159"/>
      <c r="BV11" s="125"/>
      <c r="BW11" s="176"/>
      <c r="BX11" s="177" t="s">
        <v>20</v>
      </c>
      <c r="BY11" s="178"/>
      <c r="BZ11" s="199">
        <v>0</v>
      </c>
      <c r="CA11" s="200"/>
      <c r="CC11" s="167" t="s">
        <v>21</v>
      </c>
      <c r="CD11" s="168"/>
      <c r="CE11" s="172">
        <f>SUM(CE3:CE10)</f>
        <v>438</v>
      </c>
      <c r="CG11" s="159"/>
      <c r="CH11" s="125"/>
      <c r="CI11" s="176"/>
      <c r="CJ11" s="177" t="s">
        <v>20</v>
      </c>
      <c r="CK11" s="178"/>
      <c r="CL11" s="214">
        <v>0</v>
      </c>
      <c r="CM11" s="215"/>
      <c r="CO11" s="167" t="s">
        <v>21</v>
      </c>
      <c r="CP11" s="168"/>
      <c r="CQ11" s="172">
        <f>SUM(CQ3:CQ10)</f>
        <v>191</v>
      </c>
      <c r="CS11" s="159"/>
      <c r="CT11" s="125"/>
      <c r="CU11" s="176"/>
      <c r="CV11" s="177" t="s">
        <v>20</v>
      </c>
      <c r="CW11" s="178"/>
      <c r="CX11" s="177">
        <v>0</v>
      </c>
      <c r="CY11" s="178"/>
      <c r="DA11" s="167" t="s">
        <v>21</v>
      </c>
      <c r="DB11" s="168"/>
      <c r="DC11" s="172">
        <f>SUM(DC3:DC10)</f>
        <v>0</v>
      </c>
      <c r="DD11" s="2"/>
      <c r="DE11" s="159"/>
      <c r="DF11" s="125"/>
      <c r="DG11" s="176"/>
      <c r="DH11" s="177" t="s">
        <v>20</v>
      </c>
      <c r="DI11" s="178"/>
      <c r="DJ11" s="177">
        <v>0</v>
      </c>
      <c r="DK11" s="178"/>
      <c r="DM11" s="167" t="s">
        <v>21</v>
      </c>
      <c r="DN11" s="168"/>
      <c r="DO11" s="172">
        <f>SUM(DO3:DO10)</f>
        <v>0</v>
      </c>
      <c r="DP11" s="2"/>
      <c r="DQ11" s="159"/>
      <c r="DR11" s="125"/>
      <c r="DS11" s="176"/>
      <c r="DT11" s="177" t="s">
        <v>20</v>
      </c>
      <c r="DU11" s="178"/>
      <c r="DV11" s="177">
        <v>0</v>
      </c>
      <c r="DW11" s="178"/>
      <c r="DY11" s="167" t="s">
        <v>21</v>
      </c>
      <c r="DZ11" s="168"/>
      <c r="EA11" s="172">
        <f>SUM(EA3:EA10)</f>
        <v>0</v>
      </c>
      <c r="EC11" s="159"/>
      <c r="ED11" s="125"/>
      <c r="EE11" s="176"/>
      <c r="EF11" s="177" t="s">
        <v>20</v>
      </c>
      <c r="EG11" s="178"/>
      <c r="EH11" s="177">
        <v>0</v>
      </c>
      <c r="EI11" s="178"/>
      <c r="EK11" s="167" t="s">
        <v>21</v>
      </c>
      <c r="EL11" s="168"/>
      <c r="EM11" s="172">
        <f>SUM(EM3:EM10)</f>
        <v>0</v>
      </c>
      <c r="EO11" s="233"/>
      <c r="EP11" s="125"/>
      <c r="EQ11" s="126"/>
      <c r="ER11" s="177" t="s">
        <v>20</v>
      </c>
      <c r="ES11" s="178"/>
      <c r="ET11" s="156">
        <f t="shared" si="0"/>
        <v>0</v>
      </c>
      <c r="EU11" s="157"/>
      <c r="EW11" s="167" t="s">
        <v>21</v>
      </c>
      <c r="EX11" s="239"/>
      <c r="EY11" s="240" t="e">
        <f>SUM(EY3:EY10)</f>
        <v>#VALUE!</v>
      </c>
    </row>
    <row r="12" spans="1:155" ht="17.100000000000001" customHeight="1" thickTop="1" thickBot="1" x14ac:dyDescent="0.25">
      <c r="A12" s="159"/>
      <c r="B12" s="111" t="s">
        <v>22</v>
      </c>
      <c r="C12" s="174"/>
      <c r="D12" s="155" t="s">
        <v>23</v>
      </c>
      <c r="E12" s="141"/>
      <c r="F12" s="190">
        <v>18</v>
      </c>
      <c r="G12" s="191"/>
      <c r="I12" s="169"/>
      <c r="J12" s="168"/>
      <c r="K12" s="172"/>
      <c r="M12" s="159"/>
      <c r="N12" s="111" t="s">
        <v>22</v>
      </c>
      <c r="O12" s="174"/>
      <c r="P12" s="155" t="s">
        <v>23</v>
      </c>
      <c r="Q12" s="141"/>
      <c r="R12" s="190">
        <v>11</v>
      </c>
      <c r="S12" s="191"/>
      <c r="U12" s="169"/>
      <c r="V12" s="168"/>
      <c r="W12" s="172"/>
      <c r="Y12" s="159"/>
      <c r="Z12" s="111" t="s">
        <v>22</v>
      </c>
      <c r="AA12" s="174"/>
      <c r="AB12" s="155" t="s">
        <v>23</v>
      </c>
      <c r="AC12" s="141"/>
      <c r="AD12" s="190">
        <v>21</v>
      </c>
      <c r="AE12" s="191"/>
      <c r="AG12" s="169"/>
      <c r="AH12" s="168"/>
      <c r="AI12" s="172"/>
      <c r="AK12" s="159"/>
      <c r="AL12" s="111" t="s">
        <v>22</v>
      </c>
      <c r="AM12" s="174"/>
      <c r="AN12" s="155" t="s">
        <v>23</v>
      </c>
      <c r="AO12" s="141"/>
      <c r="AP12" s="190">
        <v>12</v>
      </c>
      <c r="AQ12" s="191"/>
      <c r="AS12" s="169"/>
      <c r="AT12" s="168"/>
      <c r="AU12" s="172"/>
      <c r="AW12" s="159"/>
      <c r="AX12" s="111" t="s">
        <v>22</v>
      </c>
      <c r="AY12" s="174"/>
      <c r="AZ12" s="155" t="s">
        <v>23</v>
      </c>
      <c r="BA12" s="141"/>
      <c r="BB12" s="190">
        <v>16</v>
      </c>
      <c r="BC12" s="191"/>
      <c r="BE12" s="169"/>
      <c r="BF12" s="168"/>
      <c r="BG12" s="172"/>
      <c r="BI12" s="159"/>
      <c r="BJ12" s="111" t="s">
        <v>22</v>
      </c>
      <c r="BK12" s="174"/>
      <c r="BL12" s="155" t="s">
        <v>23</v>
      </c>
      <c r="BM12" s="141"/>
      <c r="BN12" s="190">
        <v>5</v>
      </c>
      <c r="BO12" s="191"/>
      <c r="BQ12" s="169"/>
      <c r="BR12" s="168"/>
      <c r="BS12" s="172"/>
      <c r="BU12" s="159"/>
      <c r="BV12" s="111" t="s">
        <v>22</v>
      </c>
      <c r="BW12" s="174"/>
      <c r="BX12" s="155" t="s">
        <v>23</v>
      </c>
      <c r="BY12" s="141"/>
      <c r="BZ12" s="197">
        <v>11</v>
      </c>
      <c r="CA12" s="198"/>
      <c r="CC12" s="169"/>
      <c r="CD12" s="168"/>
      <c r="CE12" s="172"/>
      <c r="CG12" s="159"/>
      <c r="CH12" s="111" t="s">
        <v>22</v>
      </c>
      <c r="CI12" s="174"/>
      <c r="CJ12" s="155" t="s">
        <v>23</v>
      </c>
      <c r="CK12" s="141"/>
      <c r="CL12" s="210">
        <v>5</v>
      </c>
      <c r="CM12" s="211"/>
      <c r="CO12" s="169"/>
      <c r="CP12" s="168"/>
      <c r="CQ12" s="172"/>
      <c r="CS12" s="159"/>
      <c r="CT12" s="111" t="s">
        <v>22</v>
      </c>
      <c r="CU12" s="174"/>
      <c r="CV12" s="155" t="s">
        <v>23</v>
      </c>
      <c r="CW12" s="141"/>
      <c r="CX12" s="155">
        <v>0</v>
      </c>
      <c r="CY12" s="141"/>
      <c r="DA12" s="169"/>
      <c r="DB12" s="168"/>
      <c r="DC12" s="172"/>
      <c r="DD12" s="2"/>
      <c r="DE12" s="159"/>
      <c r="DF12" s="111" t="s">
        <v>22</v>
      </c>
      <c r="DG12" s="174"/>
      <c r="DH12" s="155" t="s">
        <v>23</v>
      </c>
      <c r="DI12" s="141"/>
      <c r="DJ12" s="155">
        <v>0</v>
      </c>
      <c r="DK12" s="141"/>
      <c r="DM12" s="169"/>
      <c r="DN12" s="168"/>
      <c r="DO12" s="172"/>
      <c r="DP12" s="2"/>
      <c r="DQ12" s="159"/>
      <c r="DR12" s="111" t="s">
        <v>22</v>
      </c>
      <c r="DS12" s="174"/>
      <c r="DT12" s="155" t="s">
        <v>23</v>
      </c>
      <c r="DU12" s="141"/>
      <c r="DV12" s="155">
        <v>0</v>
      </c>
      <c r="DW12" s="141"/>
      <c r="DY12" s="169"/>
      <c r="DZ12" s="168"/>
      <c r="EA12" s="172"/>
      <c r="EC12" s="159"/>
      <c r="ED12" s="111" t="s">
        <v>22</v>
      </c>
      <c r="EE12" s="174"/>
      <c r="EF12" s="155" t="s">
        <v>23</v>
      </c>
      <c r="EG12" s="141"/>
      <c r="EH12" s="155">
        <v>0</v>
      </c>
      <c r="EI12" s="141"/>
      <c r="EK12" s="169"/>
      <c r="EL12" s="168"/>
      <c r="EM12" s="172"/>
      <c r="EO12" s="233"/>
      <c r="EP12" s="111" t="s">
        <v>22</v>
      </c>
      <c r="EQ12" s="124"/>
      <c r="ER12" s="155" t="s">
        <v>23</v>
      </c>
      <c r="ES12" s="141"/>
      <c r="ET12" s="156">
        <f t="shared" si="0"/>
        <v>99</v>
      </c>
      <c r="EU12" s="157"/>
      <c r="EW12" s="169"/>
      <c r="EX12" s="168"/>
      <c r="EY12" s="172"/>
    </row>
    <row r="13" spans="1:155" ht="17.100000000000001" customHeight="1" thickBot="1" x14ac:dyDescent="0.25">
      <c r="A13" s="159"/>
      <c r="B13" s="113"/>
      <c r="C13" s="175"/>
      <c r="D13" s="154" t="s">
        <v>24</v>
      </c>
      <c r="E13" s="142"/>
      <c r="F13" s="182">
        <v>0</v>
      </c>
      <c r="G13" s="183"/>
      <c r="I13" s="170"/>
      <c r="J13" s="171"/>
      <c r="K13" s="173"/>
      <c r="M13" s="159"/>
      <c r="N13" s="113"/>
      <c r="O13" s="175"/>
      <c r="P13" s="154" t="s">
        <v>24</v>
      </c>
      <c r="Q13" s="142"/>
      <c r="R13" s="182">
        <v>0</v>
      </c>
      <c r="S13" s="183"/>
      <c r="U13" s="170"/>
      <c r="V13" s="171"/>
      <c r="W13" s="173"/>
      <c r="Y13" s="159"/>
      <c r="Z13" s="113"/>
      <c r="AA13" s="175"/>
      <c r="AB13" s="154" t="s">
        <v>24</v>
      </c>
      <c r="AC13" s="142"/>
      <c r="AD13" s="182">
        <v>0</v>
      </c>
      <c r="AE13" s="183"/>
      <c r="AG13" s="170"/>
      <c r="AH13" s="171"/>
      <c r="AI13" s="173"/>
      <c r="AK13" s="159"/>
      <c r="AL13" s="113"/>
      <c r="AM13" s="175"/>
      <c r="AN13" s="154" t="s">
        <v>24</v>
      </c>
      <c r="AO13" s="142"/>
      <c r="AP13" s="182">
        <v>0</v>
      </c>
      <c r="AQ13" s="183"/>
      <c r="AS13" s="170"/>
      <c r="AT13" s="171"/>
      <c r="AU13" s="173"/>
      <c r="AW13" s="159"/>
      <c r="AX13" s="113"/>
      <c r="AY13" s="175"/>
      <c r="AZ13" s="154" t="s">
        <v>24</v>
      </c>
      <c r="BA13" s="142"/>
      <c r="BB13" s="182">
        <v>0</v>
      </c>
      <c r="BC13" s="183"/>
      <c r="BE13" s="170"/>
      <c r="BF13" s="171"/>
      <c r="BG13" s="173"/>
      <c r="BI13" s="159"/>
      <c r="BJ13" s="113"/>
      <c r="BK13" s="175"/>
      <c r="BL13" s="154" t="s">
        <v>24</v>
      </c>
      <c r="BM13" s="142"/>
      <c r="BN13" s="182">
        <v>0</v>
      </c>
      <c r="BO13" s="183"/>
      <c r="BQ13" s="170"/>
      <c r="BR13" s="171"/>
      <c r="BS13" s="173"/>
      <c r="BU13" s="159"/>
      <c r="BV13" s="113"/>
      <c r="BW13" s="175"/>
      <c r="BX13" s="154" t="s">
        <v>24</v>
      </c>
      <c r="BY13" s="142"/>
      <c r="BZ13" s="195">
        <v>0</v>
      </c>
      <c r="CA13" s="196"/>
      <c r="CC13" s="170"/>
      <c r="CD13" s="171"/>
      <c r="CE13" s="173"/>
      <c r="CG13" s="159"/>
      <c r="CH13" s="113"/>
      <c r="CI13" s="175"/>
      <c r="CJ13" s="154" t="s">
        <v>24</v>
      </c>
      <c r="CK13" s="142"/>
      <c r="CL13" s="212">
        <v>0</v>
      </c>
      <c r="CM13" s="213"/>
      <c r="CO13" s="170"/>
      <c r="CP13" s="171"/>
      <c r="CQ13" s="173"/>
      <c r="CS13" s="159"/>
      <c r="CT13" s="113"/>
      <c r="CU13" s="175"/>
      <c r="CV13" s="154" t="s">
        <v>24</v>
      </c>
      <c r="CW13" s="142"/>
      <c r="CX13" s="154">
        <v>0</v>
      </c>
      <c r="CY13" s="142"/>
      <c r="DA13" s="170"/>
      <c r="DB13" s="171"/>
      <c r="DC13" s="173"/>
      <c r="DD13" s="2"/>
      <c r="DE13" s="159"/>
      <c r="DF13" s="113"/>
      <c r="DG13" s="175"/>
      <c r="DH13" s="154" t="s">
        <v>24</v>
      </c>
      <c r="DI13" s="142"/>
      <c r="DJ13" s="154">
        <v>0</v>
      </c>
      <c r="DK13" s="142"/>
      <c r="DM13" s="170"/>
      <c r="DN13" s="171"/>
      <c r="DO13" s="173"/>
      <c r="DP13" s="2"/>
      <c r="DQ13" s="159"/>
      <c r="DR13" s="113"/>
      <c r="DS13" s="175"/>
      <c r="DT13" s="154" t="s">
        <v>24</v>
      </c>
      <c r="DU13" s="142"/>
      <c r="DV13" s="154">
        <v>0</v>
      </c>
      <c r="DW13" s="142"/>
      <c r="DY13" s="170"/>
      <c r="DZ13" s="171"/>
      <c r="EA13" s="173"/>
      <c r="EC13" s="159"/>
      <c r="ED13" s="113"/>
      <c r="EE13" s="175"/>
      <c r="EF13" s="154" t="s">
        <v>24</v>
      </c>
      <c r="EG13" s="142"/>
      <c r="EH13" s="154">
        <v>0</v>
      </c>
      <c r="EI13" s="142"/>
      <c r="EK13" s="170"/>
      <c r="EL13" s="171"/>
      <c r="EM13" s="173"/>
      <c r="EO13" s="233"/>
      <c r="EP13" s="113"/>
      <c r="EQ13" s="112"/>
      <c r="ER13" s="154" t="s">
        <v>24</v>
      </c>
      <c r="ES13" s="142"/>
      <c r="ET13" s="156">
        <f t="shared" si="0"/>
        <v>0</v>
      </c>
      <c r="EU13" s="157"/>
      <c r="EW13" s="170"/>
      <c r="EX13" s="171"/>
      <c r="EY13" s="173"/>
    </row>
    <row r="14" spans="1:155" ht="17.100000000000001" customHeight="1" thickBot="1" x14ac:dyDescent="0.25">
      <c r="A14" s="159"/>
      <c r="B14" s="113"/>
      <c r="C14" s="175"/>
      <c r="D14" s="154" t="s">
        <v>25</v>
      </c>
      <c r="E14" s="142"/>
      <c r="F14" s="182">
        <v>40</v>
      </c>
      <c r="G14" s="183"/>
      <c r="I14" s="111" t="s">
        <v>26</v>
      </c>
      <c r="J14" s="124"/>
      <c r="K14" s="162">
        <v>443</v>
      </c>
      <c r="M14" s="159"/>
      <c r="N14" s="113"/>
      <c r="O14" s="175"/>
      <c r="P14" s="154" t="s">
        <v>25</v>
      </c>
      <c r="Q14" s="142"/>
      <c r="R14" s="182">
        <v>35</v>
      </c>
      <c r="S14" s="183"/>
      <c r="U14" s="111" t="s">
        <v>26</v>
      </c>
      <c r="V14" s="124"/>
      <c r="W14" s="162">
        <v>342</v>
      </c>
      <c r="Y14" s="159"/>
      <c r="Z14" s="113"/>
      <c r="AA14" s="175"/>
      <c r="AB14" s="154" t="s">
        <v>25</v>
      </c>
      <c r="AC14" s="142"/>
      <c r="AD14" s="182">
        <v>35</v>
      </c>
      <c r="AE14" s="183"/>
      <c r="AG14" s="111" t="s">
        <v>26</v>
      </c>
      <c r="AH14" s="124"/>
      <c r="AI14" s="162">
        <v>236</v>
      </c>
      <c r="AK14" s="159"/>
      <c r="AL14" s="113"/>
      <c r="AM14" s="175"/>
      <c r="AN14" s="154" t="s">
        <v>25</v>
      </c>
      <c r="AO14" s="142"/>
      <c r="AP14" s="182">
        <v>122</v>
      </c>
      <c r="AQ14" s="183"/>
      <c r="AS14" s="111" t="s">
        <v>26</v>
      </c>
      <c r="AT14" s="124"/>
      <c r="AU14" s="162">
        <v>493</v>
      </c>
      <c r="AW14" s="159"/>
      <c r="AX14" s="113"/>
      <c r="AY14" s="175"/>
      <c r="AZ14" s="154" t="s">
        <v>25</v>
      </c>
      <c r="BA14" s="142"/>
      <c r="BB14" s="182">
        <v>51</v>
      </c>
      <c r="BC14" s="183"/>
      <c r="BE14" s="111" t="s">
        <v>26</v>
      </c>
      <c r="BF14" s="124"/>
      <c r="BG14" s="162">
        <v>130</v>
      </c>
      <c r="BI14" s="159"/>
      <c r="BJ14" s="113"/>
      <c r="BK14" s="175"/>
      <c r="BL14" s="154" t="s">
        <v>25</v>
      </c>
      <c r="BM14" s="142"/>
      <c r="BN14" s="182">
        <v>34</v>
      </c>
      <c r="BO14" s="183"/>
      <c r="BQ14" s="111" t="s">
        <v>26</v>
      </c>
      <c r="BR14" s="124"/>
      <c r="BS14" s="162">
        <v>191</v>
      </c>
      <c r="BU14" s="159"/>
      <c r="BV14" s="113"/>
      <c r="BW14" s="175"/>
      <c r="BX14" s="154" t="s">
        <v>25</v>
      </c>
      <c r="BY14" s="142"/>
      <c r="BZ14" s="195">
        <v>37</v>
      </c>
      <c r="CA14" s="196"/>
      <c r="CC14" s="111" t="s">
        <v>26</v>
      </c>
      <c r="CD14" s="124"/>
      <c r="CE14" s="162">
        <v>438</v>
      </c>
      <c r="CG14" s="159"/>
      <c r="CH14" s="113"/>
      <c r="CI14" s="175"/>
      <c r="CJ14" s="154" t="s">
        <v>25</v>
      </c>
      <c r="CK14" s="142"/>
      <c r="CL14" s="212">
        <v>34</v>
      </c>
      <c r="CM14" s="213"/>
      <c r="CO14" s="111" t="s">
        <v>26</v>
      </c>
      <c r="CP14" s="124"/>
      <c r="CQ14" s="162">
        <v>191</v>
      </c>
      <c r="CS14" s="159"/>
      <c r="CT14" s="113"/>
      <c r="CU14" s="175"/>
      <c r="CV14" s="154" t="s">
        <v>25</v>
      </c>
      <c r="CW14" s="142"/>
      <c r="CX14" s="154">
        <v>0</v>
      </c>
      <c r="CY14" s="142"/>
      <c r="DA14" s="111" t="s">
        <v>26</v>
      </c>
      <c r="DB14" s="124"/>
      <c r="DC14" s="162">
        <v>0</v>
      </c>
      <c r="DD14" s="2"/>
      <c r="DE14" s="159"/>
      <c r="DF14" s="113"/>
      <c r="DG14" s="175"/>
      <c r="DH14" s="154" t="s">
        <v>25</v>
      </c>
      <c r="DI14" s="142"/>
      <c r="DJ14" s="154">
        <v>0</v>
      </c>
      <c r="DK14" s="142"/>
      <c r="DM14" s="111" t="s">
        <v>26</v>
      </c>
      <c r="DN14" s="124"/>
      <c r="DO14" s="162">
        <v>0</v>
      </c>
      <c r="DP14" s="2"/>
      <c r="DQ14" s="159"/>
      <c r="DR14" s="113"/>
      <c r="DS14" s="175"/>
      <c r="DT14" s="154" t="s">
        <v>25</v>
      </c>
      <c r="DU14" s="142"/>
      <c r="DV14" s="154">
        <v>0</v>
      </c>
      <c r="DW14" s="142"/>
      <c r="DY14" s="111" t="s">
        <v>26</v>
      </c>
      <c r="DZ14" s="124"/>
      <c r="EA14" s="162">
        <v>0</v>
      </c>
      <c r="EC14" s="159"/>
      <c r="ED14" s="113"/>
      <c r="EE14" s="175"/>
      <c r="EF14" s="154" t="s">
        <v>25</v>
      </c>
      <c r="EG14" s="142"/>
      <c r="EH14" s="154">
        <v>0</v>
      </c>
      <c r="EI14" s="142"/>
      <c r="EK14" s="111" t="s">
        <v>26</v>
      </c>
      <c r="EL14" s="124"/>
      <c r="EM14" s="162">
        <v>0</v>
      </c>
      <c r="EO14" s="233"/>
      <c r="EP14" s="113"/>
      <c r="EQ14" s="112"/>
      <c r="ER14" s="154" t="s">
        <v>25</v>
      </c>
      <c r="ES14" s="142"/>
      <c r="ET14" s="156">
        <f t="shared" si="0"/>
        <v>388</v>
      </c>
      <c r="EU14" s="157"/>
      <c r="EW14" s="111" t="s">
        <v>26</v>
      </c>
      <c r="EX14" s="124"/>
      <c r="EY14" s="162">
        <f>K14+W14+AI14+AU14+BG14+BS14+CE14+CQ14+DC14+DO14+EA14+EM14</f>
        <v>2464</v>
      </c>
    </row>
    <row r="15" spans="1:155" ht="17.100000000000001" customHeight="1" thickBot="1" x14ac:dyDescent="0.25">
      <c r="A15" s="159"/>
      <c r="B15" s="125"/>
      <c r="C15" s="176"/>
      <c r="D15" s="177" t="s">
        <v>27</v>
      </c>
      <c r="E15" s="178"/>
      <c r="F15" s="192">
        <v>96</v>
      </c>
      <c r="G15" s="193"/>
      <c r="I15" s="113"/>
      <c r="J15" s="112"/>
      <c r="K15" s="163"/>
      <c r="M15" s="159"/>
      <c r="N15" s="125"/>
      <c r="O15" s="176"/>
      <c r="P15" s="177" t="s">
        <v>27</v>
      </c>
      <c r="Q15" s="178"/>
      <c r="R15" s="192">
        <v>41</v>
      </c>
      <c r="S15" s="193"/>
      <c r="U15" s="113"/>
      <c r="V15" s="112"/>
      <c r="W15" s="163"/>
      <c r="Y15" s="159"/>
      <c r="Z15" s="125"/>
      <c r="AA15" s="176"/>
      <c r="AB15" s="177" t="s">
        <v>27</v>
      </c>
      <c r="AC15" s="178"/>
      <c r="AD15" s="192">
        <v>122</v>
      </c>
      <c r="AE15" s="193"/>
      <c r="AG15" s="113"/>
      <c r="AH15" s="112"/>
      <c r="AI15" s="163"/>
      <c r="AK15" s="159"/>
      <c r="AL15" s="125"/>
      <c r="AM15" s="176"/>
      <c r="AN15" s="177" t="s">
        <v>27</v>
      </c>
      <c r="AO15" s="178"/>
      <c r="AP15" s="192">
        <v>95</v>
      </c>
      <c r="AQ15" s="193"/>
      <c r="AS15" s="113"/>
      <c r="AT15" s="112"/>
      <c r="AU15" s="163"/>
      <c r="AW15" s="159"/>
      <c r="AX15" s="125"/>
      <c r="AY15" s="176"/>
      <c r="AZ15" s="177" t="s">
        <v>27</v>
      </c>
      <c r="BA15" s="178"/>
      <c r="BB15" s="192">
        <v>72</v>
      </c>
      <c r="BC15" s="193"/>
      <c r="BE15" s="113"/>
      <c r="BF15" s="112"/>
      <c r="BG15" s="163"/>
      <c r="BI15" s="159"/>
      <c r="BJ15" s="125"/>
      <c r="BK15" s="176"/>
      <c r="BL15" s="177" t="s">
        <v>27</v>
      </c>
      <c r="BM15" s="178"/>
      <c r="BN15" s="192">
        <v>47</v>
      </c>
      <c r="BO15" s="193"/>
      <c r="BQ15" s="113"/>
      <c r="BR15" s="112"/>
      <c r="BS15" s="163"/>
      <c r="BU15" s="159"/>
      <c r="BV15" s="125"/>
      <c r="BW15" s="176"/>
      <c r="BX15" s="177" t="s">
        <v>27</v>
      </c>
      <c r="BY15" s="178"/>
      <c r="BZ15" s="199">
        <v>86</v>
      </c>
      <c r="CA15" s="200"/>
      <c r="CC15" s="113"/>
      <c r="CD15" s="112"/>
      <c r="CE15" s="163"/>
      <c r="CG15" s="159"/>
      <c r="CH15" s="125"/>
      <c r="CI15" s="176"/>
      <c r="CJ15" s="177" t="s">
        <v>27</v>
      </c>
      <c r="CK15" s="178"/>
      <c r="CL15" s="214">
        <v>47</v>
      </c>
      <c r="CM15" s="215"/>
      <c r="CO15" s="113"/>
      <c r="CP15" s="112"/>
      <c r="CQ15" s="163"/>
      <c r="CS15" s="159"/>
      <c r="CT15" s="125"/>
      <c r="CU15" s="176"/>
      <c r="CV15" s="177" t="s">
        <v>27</v>
      </c>
      <c r="CW15" s="178"/>
      <c r="CX15" s="177">
        <v>0</v>
      </c>
      <c r="CY15" s="178"/>
      <c r="DA15" s="113"/>
      <c r="DB15" s="112"/>
      <c r="DC15" s="163"/>
      <c r="DD15" s="2"/>
      <c r="DE15" s="159"/>
      <c r="DF15" s="125"/>
      <c r="DG15" s="176"/>
      <c r="DH15" s="177" t="s">
        <v>27</v>
      </c>
      <c r="DI15" s="178"/>
      <c r="DJ15" s="177">
        <v>0</v>
      </c>
      <c r="DK15" s="178"/>
      <c r="DM15" s="113"/>
      <c r="DN15" s="112"/>
      <c r="DO15" s="163"/>
      <c r="DP15" s="2"/>
      <c r="DQ15" s="159"/>
      <c r="DR15" s="125"/>
      <c r="DS15" s="176"/>
      <c r="DT15" s="177" t="s">
        <v>27</v>
      </c>
      <c r="DU15" s="178"/>
      <c r="DV15" s="177">
        <v>0</v>
      </c>
      <c r="DW15" s="178"/>
      <c r="DY15" s="113"/>
      <c r="DZ15" s="112"/>
      <c r="EA15" s="163"/>
      <c r="EC15" s="159"/>
      <c r="ED15" s="125"/>
      <c r="EE15" s="176"/>
      <c r="EF15" s="177" t="s">
        <v>27</v>
      </c>
      <c r="EG15" s="178"/>
      <c r="EH15" s="177">
        <v>0</v>
      </c>
      <c r="EI15" s="178"/>
      <c r="EK15" s="113"/>
      <c r="EL15" s="112"/>
      <c r="EM15" s="163"/>
      <c r="EO15" s="233"/>
      <c r="EP15" s="125"/>
      <c r="EQ15" s="126"/>
      <c r="ER15" s="177" t="s">
        <v>27</v>
      </c>
      <c r="ES15" s="178"/>
      <c r="ET15" s="156">
        <f t="shared" si="0"/>
        <v>606</v>
      </c>
      <c r="EU15" s="157"/>
      <c r="EW15" s="113"/>
      <c r="EX15" s="112"/>
      <c r="EY15" s="163"/>
    </row>
    <row r="16" spans="1:155" ht="17.100000000000001" customHeight="1" thickTop="1" thickBot="1" x14ac:dyDescent="0.25">
      <c r="A16" s="159"/>
      <c r="B16" s="111" t="s">
        <v>28</v>
      </c>
      <c r="C16" s="174"/>
      <c r="D16" s="155" t="s">
        <v>29</v>
      </c>
      <c r="E16" s="141"/>
      <c r="F16" s="190">
        <v>0</v>
      </c>
      <c r="G16" s="191"/>
      <c r="I16" s="125"/>
      <c r="J16" s="126"/>
      <c r="K16" s="164"/>
      <c r="M16" s="159"/>
      <c r="N16" s="111" t="s">
        <v>28</v>
      </c>
      <c r="O16" s="174"/>
      <c r="P16" s="155" t="s">
        <v>29</v>
      </c>
      <c r="Q16" s="141"/>
      <c r="R16" s="190">
        <v>0</v>
      </c>
      <c r="S16" s="191"/>
      <c r="U16" s="125"/>
      <c r="V16" s="126"/>
      <c r="W16" s="164"/>
      <c r="Y16" s="159"/>
      <c r="Z16" s="111" t="s">
        <v>28</v>
      </c>
      <c r="AA16" s="174"/>
      <c r="AB16" s="155" t="s">
        <v>29</v>
      </c>
      <c r="AC16" s="141"/>
      <c r="AD16" s="190">
        <v>4</v>
      </c>
      <c r="AE16" s="191"/>
      <c r="AG16" s="125"/>
      <c r="AH16" s="126"/>
      <c r="AI16" s="164"/>
      <c r="AK16" s="159"/>
      <c r="AL16" s="111" t="s">
        <v>28</v>
      </c>
      <c r="AM16" s="174"/>
      <c r="AN16" s="155" t="s">
        <v>29</v>
      </c>
      <c r="AO16" s="141"/>
      <c r="AP16" s="190">
        <v>0</v>
      </c>
      <c r="AQ16" s="191"/>
      <c r="AS16" s="125"/>
      <c r="AT16" s="126"/>
      <c r="AU16" s="164"/>
      <c r="AW16" s="159"/>
      <c r="AX16" s="111" t="s">
        <v>28</v>
      </c>
      <c r="AY16" s="174"/>
      <c r="AZ16" s="155" t="s">
        <v>29</v>
      </c>
      <c r="BA16" s="141"/>
      <c r="BB16" s="190">
        <v>2</v>
      </c>
      <c r="BC16" s="191"/>
      <c r="BE16" s="125"/>
      <c r="BF16" s="126"/>
      <c r="BG16" s="164"/>
      <c r="BI16" s="159"/>
      <c r="BJ16" s="111" t="s">
        <v>28</v>
      </c>
      <c r="BK16" s="174"/>
      <c r="BL16" s="155" t="s">
        <v>29</v>
      </c>
      <c r="BM16" s="141"/>
      <c r="BN16" s="190">
        <v>0</v>
      </c>
      <c r="BO16" s="191"/>
      <c r="BQ16" s="125"/>
      <c r="BR16" s="126"/>
      <c r="BS16" s="164"/>
      <c r="BU16" s="159"/>
      <c r="BV16" s="111" t="s">
        <v>28</v>
      </c>
      <c r="BW16" s="174"/>
      <c r="BX16" s="155" t="s">
        <v>29</v>
      </c>
      <c r="BY16" s="141"/>
      <c r="BZ16" s="197">
        <v>0</v>
      </c>
      <c r="CA16" s="198"/>
      <c r="CC16" s="125"/>
      <c r="CD16" s="126"/>
      <c r="CE16" s="164"/>
      <c r="CG16" s="159"/>
      <c r="CH16" s="111" t="s">
        <v>28</v>
      </c>
      <c r="CI16" s="174"/>
      <c r="CJ16" s="155" t="s">
        <v>29</v>
      </c>
      <c r="CK16" s="141"/>
      <c r="CL16" s="210">
        <v>0</v>
      </c>
      <c r="CM16" s="211"/>
      <c r="CO16" s="125"/>
      <c r="CP16" s="126"/>
      <c r="CQ16" s="164"/>
      <c r="CS16" s="159"/>
      <c r="CT16" s="111" t="s">
        <v>28</v>
      </c>
      <c r="CU16" s="174"/>
      <c r="CV16" s="155" t="s">
        <v>29</v>
      </c>
      <c r="CW16" s="141"/>
      <c r="CX16" s="155">
        <v>0</v>
      </c>
      <c r="CY16" s="141"/>
      <c r="DA16" s="125"/>
      <c r="DB16" s="126"/>
      <c r="DC16" s="164"/>
      <c r="DD16" s="2"/>
      <c r="DE16" s="159"/>
      <c r="DF16" s="111" t="s">
        <v>28</v>
      </c>
      <c r="DG16" s="174"/>
      <c r="DH16" s="155" t="s">
        <v>29</v>
      </c>
      <c r="DI16" s="141"/>
      <c r="DJ16" s="155">
        <v>0</v>
      </c>
      <c r="DK16" s="141"/>
      <c r="DM16" s="125"/>
      <c r="DN16" s="126"/>
      <c r="DO16" s="164"/>
      <c r="DP16" s="2"/>
      <c r="DQ16" s="159"/>
      <c r="DR16" s="111" t="s">
        <v>28</v>
      </c>
      <c r="DS16" s="174"/>
      <c r="DT16" s="155" t="s">
        <v>29</v>
      </c>
      <c r="DU16" s="141"/>
      <c r="DV16" s="155">
        <v>0</v>
      </c>
      <c r="DW16" s="141"/>
      <c r="DY16" s="125"/>
      <c r="DZ16" s="126"/>
      <c r="EA16" s="164"/>
      <c r="EC16" s="159"/>
      <c r="ED16" s="111" t="s">
        <v>28</v>
      </c>
      <c r="EE16" s="174"/>
      <c r="EF16" s="155" t="s">
        <v>29</v>
      </c>
      <c r="EG16" s="141"/>
      <c r="EH16" s="155">
        <v>0</v>
      </c>
      <c r="EI16" s="141"/>
      <c r="EK16" s="125"/>
      <c r="EL16" s="126"/>
      <c r="EM16" s="164"/>
      <c r="EO16" s="233"/>
      <c r="EP16" s="111" t="s">
        <v>28</v>
      </c>
      <c r="EQ16" s="124"/>
      <c r="ER16" s="155" t="s">
        <v>29</v>
      </c>
      <c r="ES16" s="141"/>
      <c r="ET16" s="156">
        <f t="shared" si="0"/>
        <v>6</v>
      </c>
      <c r="EU16" s="157"/>
      <c r="EW16" s="125"/>
      <c r="EX16" s="126"/>
      <c r="EY16" s="164"/>
    </row>
    <row r="17" spans="1:156" ht="17.100000000000001" customHeight="1" thickBot="1" x14ac:dyDescent="0.25">
      <c r="A17" s="159"/>
      <c r="B17" s="113"/>
      <c r="C17" s="175"/>
      <c r="D17" s="154" t="s">
        <v>30</v>
      </c>
      <c r="E17" s="142"/>
      <c r="F17" s="182">
        <v>17</v>
      </c>
      <c r="G17" s="183"/>
      <c r="I17" s="111" t="s">
        <v>31</v>
      </c>
      <c r="J17" s="124"/>
      <c r="K17" s="162">
        <v>0</v>
      </c>
      <c r="M17" s="159"/>
      <c r="N17" s="113"/>
      <c r="O17" s="175"/>
      <c r="P17" s="154" t="s">
        <v>30</v>
      </c>
      <c r="Q17" s="142"/>
      <c r="R17" s="182">
        <v>2</v>
      </c>
      <c r="S17" s="183"/>
      <c r="U17" s="111" t="s">
        <v>31</v>
      </c>
      <c r="V17" s="124"/>
      <c r="W17" s="162">
        <v>0</v>
      </c>
      <c r="Y17" s="159"/>
      <c r="Z17" s="113"/>
      <c r="AA17" s="175"/>
      <c r="AB17" s="154" t="s">
        <v>30</v>
      </c>
      <c r="AC17" s="142"/>
      <c r="AD17" s="182">
        <v>21</v>
      </c>
      <c r="AE17" s="183"/>
      <c r="AG17" s="111" t="s">
        <v>31</v>
      </c>
      <c r="AH17" s="124"/>
      <c r="AI17" s="162">
        <v>0</v>
      </c>
      <c r="AK17" s="159"/>
      <c r="AL17" s="113"/>
      <c r="AM17" s="175"/>
      <c r="AN17" s="154" t="s">
        <v>30</v>
      </c>
      <c r="AO17" s="142"/>
      <c r="AP17" s="182">
        <v>31</v>
      </c>
      <c r="AQ17" s="183"/>
      <c r="AS17" s="111" t="s">
        <v>31</v>
      </c>
      <c r="AT17" s="124"/>
      <c r="AU17" s="162">
        <v>0</v>
      </c>
      <c r="AW17" s="159"/>
      <c r="AX17" s="113"/>
      <c r="AY17" s="175"/>
      <c r="AZ17" s="154" t="s">
        <v>30</v>
      </c>
      <c r="BA17" s="142"/>
      <c r="BB17" s="182">
        <v>23</v>
      </c>
      <c r="BC17" s="183"/>
      <c r="BE17" s="111" t="s">
        <v>31</v>
      </c>
      <c r="BF17" s="124"/>
      <c r="BG17" s="162">
        <v>310</v>
      </c>
      <c r="BI17" s="159"/>
      <c r="BJ17" s="113"/>
      <c r="BK17" s="175"/>
      <c r="BL17" s="154" t="s">
        <v>30</v>
      </c>
      <c r="BM17" s="142"/>
      <c r="BN17" s="182">
        <v>11</v>
      </c>
      <c r="BO17" s="183"/>
      <c r="BQ17" s="111" t="s">
        <v>31</v>
      </c>
      <c r="BR17" s="124"/>
      <c r="BS17" s="162">
        <v>0</v>
      </c>
      <c r="BU17" s="159"/>
      <c r="BV17" s="113"/>
      <c r="BW17" s="175"/>
      <c r="BX17" s="154" t="s">
        <v>30</v>
      </c>
      <c r="BY17" s="142"/>
      <c r="BZ17" s="195">
        <v>12</v>
      </c>
      <c r="CA17" s="196"/>
      <c r="CC17" s="111" t="s">
        <v>31</v>
      </c>
      <c r="CD17" s="124"/>
      <c r="CE17" s="162">
        <v>0</v>
      </c>
      <c r="CG17" s="159"/>
      <c r="CH17" s="113"/>
      <c r="CI17" s="175"/>
      <c r="CJ17" s="154" t="s">
        <v>30</v>
      </c>
      <c r="CK17" s="142"/>
      <c r="CL17" s="212">
        <v>11</v>
      </c>
      <c r="CM17" s="213"/>
      <c r="CO17" s="111" t="s">
        <v>31</v>
      </c>
      <c r="CP17" s="124"/>
      <c r="CQ17" s="162">
        <v>0</v>
      </c>
      <c r="CS17" s="159"/>
      <c r="CT17" s="113"/>
      <c r="CU17" s="175"/>
      <c r="CV17" s="154" t="s">
        <v>30</v>
      </c>
      <c r="CW17" s="142"/>
      <c r="CX17" s="154">
        <v>0</v>
      </c>
      <c r="CY17" s="142"/>
      <c r="DA17" s="111" t="s">
        <v>31</v>
      </c>
      <c r="DB17" s="124"/>
      <c r="DC17" s="162">
        <v>0</v>
      </c>
      <c r="DD17" s="2"/>
      <c r="DE17" s="159"/>
      <c r="DF17" s="113"/>
      <c r="DG17" s="175"/>
      <c r="DH17" s="154" t="s">
        <v>30</v>
      </c>
      <c r="DI17" s="142"/>
      <c r="DJ17" s="154">
        <v>0</v>
      </c>
      <c r="DK17" s="142"/>
      <c r="DM17" s="111" t="s">
        <v>31</v>
      </c>
      <c r="DN17" s="124"/>
      <c r="DO17" s="162">
        <v>0</v>
      </c>
      <c r="DP17" s="2"/>
      <c r="DQ17" s="159"/>
      <c r="DR17" s="113"/>
      <c r="DS17" s="175"/>
      <c r="DT17" s="154" t="s">
        <v>30</v>
      </c>
      <c r="DU17" s="142"/>
      <c r="DV17" s="154">
        <v>0</v>
      </c>
      <c r="DW17" s="142"/>
      <c r="DY17" s="111" t="s">
        <v>31</v>
      </c>
      <c r="DZ17" s="124"/>
      <c r="EA17" s="162">
        <v>0</v>
      </c>
      <c r="EC17" s="159"/>
      <c r="ED17" s="113"/>
      <c r="EE17" s="175"/>
      <c r="EF17" s="154" t="s">
        <v>30</v>
      </c>
      <c r="EG17" s="142"/>
      <c r="EH17" s="154">
        <v>0</v>
      </c>
      <c r="EI17" s="142"/>
      <c r="EK17" s="111" t="s">
        <v>31</v>
      </c>
      <c r="EL17" s="124"/>
      <c r="EM17" s="162">
        <v>0</v>
      </c>
      <c r="EO17" s="233"/>
      <c r="EP17" s="113"/>
      <c r="EQ17" s="112"/>
      <c r="ER17" s="154" t="s">
        <v>30</v>
      </c>
      <c r="ES17" s="142"/>
      <c r="ET17" s="156">
        <f t="shared" si="0"/>
        <v>128</v>
      </c>
      <c r="EU17" s="157"/>
      <c r="EW17" s="111" t="s">
        <v>31</v>
      </c>
      <c r="EX17" s="124"/>
      <c r="EY17" s="162">
        <f>K17+W17+AI17+AU17+BG17+BS17+CE17+CQ17+DC17+DO17+EA17+EM17</f>
        <v>310</v>
      </c>
    </row>
    <row r="18" spans="1:156" ht="17.100000000000001" customHeight="1" thickBot="1" x14ac:dyDescent="0.25">
      <c r="A18" s="159"/>
      <c r="B18" s="125"/>
      <c r="C18" s="176"/>
      <c r="D18" s="177" t="s">
        <v>32</v>
      </c>
      <c r="E18" s="178"/>
      <c r="F18" s="192">
        <v>0</v>
      </c>
      <c r="G18" s="193"/>
      <c r="I18" s="113"/>
      <c r="J18" s="112"/>
      <c r="K18" s="163"/>
      <c r="M18" s="159"/>
      <c r="N18" s="125"/>
      <c r="O18" s="176"/>
      <c r="P18" s="177" t="s">
        <v>32</v>
      </c>
      <c r="Q18" s="178"/>
      <c r="R18" s="192">
        <v>0</v>
      </c>
      <c r="S18" s="193"/>
      <c r="U18" s="113"/>
      <c r="V18" s="112"/>
      <c r="W18" s="163"/>
      <c r="Y18" s="159"/>
      <c r="Z18" s="125"/>
      <c r="AA18" s="176"/>
      <c r="AB18" s="177" t="s">
        <v>32</v>
      </c>
      <c r="AC18" s="178"/>
      <c r="AD18" s="192">
        <v>0</v>
      </c>
      <c r="AE18" s="193"/>
      <c r="AG18" s="113"/>
      <c r="AH18" s="112"/>
      <c r="AI18" s="163"/>
      <c r="AK18" s="159"/>
      <c r="AL18" s="125"/>
      <c r="AM18" s="176"/>
      <c r="AN18" s="177" t="s">
        <v>32</v>
      </c>
      <c r="AO18" s="178"/>
      <c r="AP18" s="192">
        <v>0</v>
      </c>
      <c r="AQ18" s="193"/>
      <c r="AS18" s="113"/>
      <c r="AT18" s="112"/>
      <c r="AU18" s="163"/>
      <c r="AW18" s="159"/>
      <c r="AX18" s="125"/>
      <c r="AY18" s="176"/>
      <c r="AZ18" s="177" t="s">
        <v>32</v>
      </c>
      <c r="BA18" s="178"/>
      <c r="BB18" s="192">
        <v>0</v>
      </c>
      <c r="BC18" s="193"/>
      <c r="BE18" s="113"/>
      <c r="BF18" s="112"/>
      <c r="BG18" s="163"/>
      <c r="BI18" s="159"/>
      <c r="BJ18" s="125"/>
      <c r="BK18" s="176"/>
      <c r="BL18" s="177" t="s">
        <v>32</v>
      </c>
      <c r="BM18" s="178"/>
      <c r="BN18" s="192">
        <v>0</v>
      </c>
      <c r="BO18" s="193"/>
      <c r="BQ18" s="113"/>
      <c r="BR18" s="112"/>
      <c r="BS18" s="163"/>
      <c r="BU18" s="159"/>
      <c r="BV18" s="125"/>
      <c r="BW18" s="176"/>
      <c r="BX18" s="177" t="s">
        <v>32</v>
      </c>
      <c r="BY18" s="178"/>
      <c r="BZ18" s="199">
        <v>0</v>
      </c>
      <c r="CA18" s="200"/>
      <c r="CC18" s="113"/>
      <c r="CD18" s="112"/>
      <c r="CE18" s="163"/>
      <c r="CG18" s="159"/>
      <c r="CH18" s="125"/>
      <c r="CI18" s="176"/>
      <c r="CJ18" s="177" t="s">
        <v>32</v>
      </c>
      <c r="CK18" s="178"/>
      <c r="CL18" s="214">
        <v>0</v>
      </c>
      <c r="CM18" s="215"/>
      <c r="CO18" s="113"/>
      <c r="CP18" s="112"/>
      <c r="CQ18" s="163"/>
      <c r="CS18" s="159"/>
      <c r="CT18" s="125"/>
      <c r="CU18" s="176"/>
      <c r="CV18" s="177" t="s">
        <v>32</v>
      </c>
      <c r="CW18" s="178"/>
      <c r="CX18" s="177">
        <v>0</v>
      </c>
      <c r="CY18" s="178"/>
      <c r="DA18" s="113"/>
      <c r="DB18" s="112"/>
      <c r="DC18" s="163"/>
      <c r="DD18" s="2"/>
      <c r="DE18" s="159"/>
      <c r="DF18" s="125"/>
      <c r="DG18" s="176"/>
      <c r="DH18" s="177" t="s">
        <v>32</v>
      </c>
      <c r="DI18" s="178"/>
      <c r="DJ18" s="177">
        <v>0</v>
      </c>
      <c r="DK18" s="178"/>
      <c r="DM18" s="113"/>
      <c r="DN18" s="112"/>
      <c r="DO18" s="163"/>
      <c r="DP18" s="2"/>
      <c r="DQ18" s="159"/>
      <c r="DR18" s="125"/>
      <c r="DS18" s="176"/>
      <c r="DT18" s="177" t="s">
        <v>32</v>
      </c>
      <c r="DU18" s="178"/>
      <c r="DV18" s="177">
        <v>0</v>
      </c>
      <c r="DW18" s="178"/>
      <c r="DY18" s="113"/>
      <c r="DZ18" s="112"/>
      <c r="EA18" s="163"/>
      <c r="EC18" s="159"/>
      <c r="ED18" s="125"/>
      <c r="EE18" s="176"/>
      <c r="EF18" s="177" t="s">
        <v>32</v>
      </c>
      <c r="EG18" s="178"/>
      <c r="EH18" s="177">
        <v>0</v>
      </c>
      <c r="EI18" s="178"/>
      <c r="EK18" s="113"/>
      <c r="EL18" s="112"/>
      <c r="EM18" s="163"/>
      <c r="EO18" s="233"/>
      <c r="EP18" s="125"/>
      <c r="EQ18" s="126"/>
      <c r="ER18" s="177" t="s">
        <v>32</v>
      </c>
      <c r="ES18" s="178"/>
      <c r="ET18" s="156">
        <f t="shared" si="0"/>
        <v>0</v>
      </c>
      <c r="EU18" s="157"/>
      <c r="EW18" s="113"/>
      <c r="EX18" s="112"/>
      <c r="EY18" s="163"/>
    </row>
    <row r="19" spans="1:156" ht="17.100000000000001" customHeight="1" thickTop="1" thickBot="1" x14ac:dyDescent="0.25">
      <c r="A19" s="159"/>
      <c r="B19" s="111" t="s">
        <v>33</v>
      </c>
      <c r="C19" s="174"/>
      <c r="D19" s="155" t="s">
        <v>34</v>
      </c>
      <c r="E19" s="141"/>
      <c r="F19" s="190">
        <v>0</v>
      </c>
      <c r="G19" s="191"/>
      <c r="I19" s="125"/>
      <c r="J19" s="126"/>
      <c r="K19" s="164"/>
      <c r="M19" s="159"/>
      <c r="N19" s="111" t="s">
        <v>33</v>
      </c>
      <c r="O19" s="174"/>
      <c r="P19" s="155" t="s">
        <v>34</v>
      </c>
      <c r="Q19" s="141"/>
      <c r="R19" s="190">
        <v>9</v>
      </c>
      <c r="S19" s="191"/>
      <c r="U19" s="125"/>
      <c r="V19" s="126"/>
      <c r="W19" s="164"/>
      <c r="Y19" s="159"/>
      <c r="Z19" s="111" t="s">
        <v>33</v>
      </c>
      <c r="AA19" s="174"/>
      <c r="AB19" s="155" t="s">
        <v>34</v>
      </c>
      <c r="AC19" s="141"/>
      <c r="AD19" s="190">
        <v>28</v>
      </c>
      <c r="AE19" s="191"/>
      <c r="AG19" s="125"/>
      <c r="AH19" s="126"/>
      <c r="AI19" s="164"/>
      <c r="AK19" s="159"/>
      <c r="AL19" s="111" t="s">
        <v>33</v>
      </c>
      <c r="AM19" s="174"/>
      <c r="AN19" s="155" t="s">
        <v>34</v>
      </c>
      <c r="AO19" s="141"/>
      <c r="AP19" s="190">
        <v>60</v>
      </c>
      <c r="AQ19" s="191"/>
      <c r="AS19" s="125"/>
      <c r="AT19" s="126"/>
      <c r="AU19" s="164"/>
      <c r="AW19" s="159"/>
      <c r="AX19" s="111" t="s">
        <v>33</v>
      </c>
      <c r="AY19" s="174"/>
      <c r="AZ19" s="155" t="s">
        <v>34</v>
      </c>
      <c r="BA19" s="141"/>
      <c r="BB19" s="190">
        <v>44</v>
      </c>
      <c r="BC19" s="191"/>
      <c r="BE19" s="125"/>
      <c r="BF19" s="126"/>
      <c r="BG19" s="164"/>
      <c r="BI19" s="159"/>
      <c r="BJ19" s="111" t="s">
        <v>33</v>
      </c>
      <c r="BK19" s="174"/>
      <c r="BL19" s="155" t="s">
        <v>34</v>
      </c>
      <c r="BM19" s="141"/>
      <c r="BN19" s="190">
        <v>0</v>
      </c>
      <c r="BO19" s="191"/>
      <c r="BQ19" s="125"/>
      <c r="BR19" s="126"/>
      <c r="BS19" s="164"/>
      <c r="BU19" s="159"/>
      <c r="BV19" s="111" t="s">
        <v>33</v>
      </c>
      <c r="BW19" s="174"/>
      <c r="BX19" s="155" t="s">
        <v>34</v>
      </c>
      <c r="BY19" s="141"/>
      <c r="BZ19" s="197">
        <v>12</v>
      </c>
      <c r="CA19" s="198"/>
      <c r="CC19" s="125"/>
      <c r="CD19" s="126"/>
      <c r="CE19" s="164"/>
      <c r="CG19" s="159"/>
      <c r="CH19" s="111" t="s">
        <v>33</v>
      </c>
      <c r="CI19" s="174"/>
      <c r="CJ19" s="155" t="s">
        <v>34</v>
      </c>
      <c r="CK19" s="141"/>
      <c r="CL19" s="210">
        <v>0</v>
      </c>
      <c r="CM19" s="211"/>
      <c r="CO19" s="125"/>
      <c r="CP19" s="126"/>
      <c r="CQ19" s="164"/>
      <c r="CS19" s="159"/>
      <c r="CT19" s="111" t="s">
        <v>33</v>
      </c>
      <c r="CU19" s="174"/>
      <c r="CV19" s="155" t="s">
        <v>34</v>
      </c>
      <c r="CW19" s="141"/>
      <c r="CX19" s="155">
        <v>0</v>
      </c>
      <c r="CY19" s="141"/>
      <c r="DA19" s="125"/>
      <c r="DB19" s="126"/>
      <c r="DC19" s="164"/>
      <c r="DD19" s="2"/>
      <c r="DE19" s="159"/>
      <c r="DF19" s="111" t="s">
        <v>33</v>
      </c>
      <c r="DG19" s="174"/>
      <c r="DH19" s="155" t="s">
        <v>34</v>
      </c>
      <c r="DI19" s="141"/>
      <c r="DJ19" s="155">
        <v>0</v>
      </c>
      <c r="DK19" s="141"/>
      <c r="DM19" s="125"/>
      <c r="DN19" s="126"/>
      <c r="DO19" s="164"/>
      <c r="DP19" s="2"/>
      <c r="DQ19" s="159"/>
      <c r="DR19" s="111" t="s">
        <v>33</v>
      </c>
      <c r="DS19" s="174"/>
      <c r="DT19" s="155" t="s">
        <v>34</v>
      </c>
      <c r="DU19" s="141"/>
      <c r="DV19" s="155">
        <v>0</v>
      </c>
      <c r="DW19" s="141"/>
      <c r="DY19" s="125"/>
      <c r="DZ19" s="126"/>
      <c r="EA19" s="164"/>
      <c r="EC19" s="159"/>
      <c r="ED19" s="111" t="s">
        <v>33</v>
      </c>
      <c r="EE19" s="174"/>
      <c r="EF19" s="155" t="s">
        <v>34</v>
      </c>
      <c r="EG19" s="141"/>
      <c r="EH19" s="155">
        <v>0</v>
      </c>
      <c r="EI19" s="141"/>
      <c r="EK19" s="125"/>
      <c r="EL19" s="126"/>
      <c r="EM19" s="164"/>
      <c r="EO19" s="233"/>
      <c r="EP19" s="111" t="s">
        <v>33</v>
      </c>
      <c r="EQ19" s="124"/>
      <c r="ER19" s="155" t="s">
        <v>34</v>
      </c>
      <c r="ES19" s="141"/>
      <c r="ET19" s="156">
        <f t="shared" si="0"/>
        <v>153</v>
      </c>
      <c r="EU19" s="157"/>
      <c r="EW19" s="125"/>
      <c r="EX19" s="126"/>
      <c r="EY19" s="164"/>
    </row>
    <row r="20" spans="1:156" ht="17.100000000000001" customHeight="1" thickBot="1" x14ac:dyDescent="0.25">
      <c r="A20" s="159"/>
      <c r="B20" s="125"/>
      <c r="C20" s="176"/>
      <c r="D20" s="177" t="s">
        <v>35</v>
      </c>
      <c r="E20" s="178"/>
      <c r="F20" s="192">
        <v>0</v>
      </c>
      <c r="G20" s="193"/>
      <c r="I20" s="7"/>
      <c r="J20" s="8"/>
      <c r="K20" s="9">
        <f>SUM(K14:K19)</f>
        <v>443</v>
      </c>
      <c r="M20" s="159"/>
      <c r="N20" s="125"/>
      <c r="O20" s="176"/>
      <c r="P20" s="177" t="s">
        <v>35</v>
      </c>
      <c r="Q20" s="178"/>
      <c r="R20" s="192">
        <v>0</v>
      </c>
      <c r="S20" s="193"/>
      <c r="U20" s="7"/>
      <c r="V20" s="8"/>
      <c r="W20" s="9">
        <f>SUM(W14:W19)</f>
        <v>342</v>
      </c>
      <c r="Y20" s="159"/>
      <c r="Z20" s="125"/>
      <c r="AA20" s="176"/>
      <c r="AB20" s="177" t="s">
        <v>35</v>
      </c>
      <c r="AC20" s="178"/>
      <c r="AD20" s="192">
        <v>0</v>
      </c>
      <c r="AE20" s="193"/>
      <c r="AG20" s="7"/>
      <c r="AH20" s="8"/>
      <c r="AI20" s="9">
        <f>SUM(AI14:AI19)</f>
        <v>236</v>
      </c>
      <c r="AK20" s="159"/>
      <c r="AL20" s="125"/>
      <c r="AM20" s="176"/>
      <c r="AN20" s="177" t="s">
        <v>35</v>
      </c>
      <c r="AO20" s="178"/>
      <c r="AP20" s="192">
        <v>0</v>
      </c>
      <c r="AQ20" s="193"/>
      <c r="AS20" s="7"/>
      <c r="AT20" s="8"/>
      <c r="AU20" s="9">
        <f>SUM(AU14:AU19)</f>
        <v>493</v>
      </c>
      <c r="AW20" s="159"/>
      <c r="AX20" s="125"/>
      <c r="AY20" s="176"/>
      <c r="AZ20" s="177" t="s">
        <v>35</v>
      </c>
      <c r="BA20" s="178"/>
      <c r="BB20" s="192">
        <v>0</v>
      </c>
      <c r="BC20" s="193"/>
      <c r="BE20" s="7"/>
      <c r="BF20" s="8"/>
      <c r="BG20" s="9">
        <f>SUM(BG14:BG19)</f>
        <v>440</v>
      </c>
      <c r="BI20" s="159"/>
      <c r="BJ20" s="125"/>
      <c r="BK20" s="176"/>
      <c r="BL20" s="177" t="s">
        <v>35</v>
      </c>
      <c r="BM20" s="178"/>
      <c r="BN20" s="192">
        <v>0</v>
      </c>
      <c r="BO20" s="193"/>
      <c r="BQ20" s="7"/>
      <c r="BR20" s="8"/>
      <c r="BS20" s="9">
        <f>SUM(BS14:BS19)</f>
        <v>191</v>
      </c>
      <c r="BU20" s="159"/>
      <c r="BV20" s="125"/>
      <c r="BW20" s="176"/>
      <c r="BX20" s="177" t="s">
        <v>35</v>
      </c>
      <c r="BY20" s="178"/>
      <c r="BZ20" s="199">
        <v>0</v>
      </c>
      <c r="CA20" s="200"/>
      <c r="CC20" s="7"/>
      <c r="CD20" s="8"/>
      <c r="CE20" s="9">
        <f>SUM(CE14:CE19)</f>
        <v>438</v>
      </c>
      <c r="CG20" s="159"/>
      <c r="CH20" s="125"/>
      <c r="CI20" s="176"/>
      <c r="CJ20" s="177" t="s">
        <v>35</v>
      </c>
      <c r="CK20" s="178"/>
      <c r="CL20" s="214">
        <v>0</v>
      </c>
      <c r="CM20" s="215"/>
      <c r="CO20" s="7"/>
      <c r="CP20" s="8"/>
      <c r="CQ20" s="9">
        <f>SUM(CQ14:CQ19)</f>
        <v>191</v>
      </c>
      <c r="CS20" s="159"/>
      <c r="CT20" s="125"/>
      <c r="CU20" s="176"/>
      <c r="CV20" s="177" t="s">
        <v>35</v>
      </c>
      <c r="CW20" s="178"/>
      <c r="CX20" s="177">
        <v>0</v>
      </c>
      <c r="CY20" s="178"/>
      <c r="DA20" s="7"/>
      <c r="DB20" s="8"/>
      <c r="DC20" s="9">
        <f>SUM(DC14:DC19)</f>
        <v>0</v>
      </c>
      <c r="DD20" s="2"/>
      <c r="DE20" s="159"/>
      <c r="DF20" s="125"/>
      <c r="DG20" s="176"/>
      <c r="DH20" s="177" t="s">
        <v>35</v>
      </c>
      <c r="DI20" s="178"/>
      <c r="DJ20" s="177">
        <v>0</v>
      </c>
      <c r="DK20" s="178"/>
      <c r="DM20" s="7"/>
      <c r="DN20" s="8"/>
      <c r="DO20" s="9">
        <f>SUM(DO14:DO19)</f>
        <v>0</v>
      </c>
      <c r="DP20" s="2"/>
      <c r="DQ20" s="159"/>
      <c r="DR20" s="125"/>
      <c r="DS20" s="176"/>
      <c r="DT20" s="177" t="s">
        <v>35</v>
      </c>
      <c r="DU20" s="178"/>
      <c r="DV20" s="177">
        <v>0</v>
      </c>
      <c r="DW20" s="178"/>
      <c r="DY20" s="7"/>
      <c r="DZ20" s="8"/>
      <c r="EA20" s="9">
        <f>SUM(EA14:EA19)</f>
        <v>0</v>
      </c>
      <c r="EC20" s="159"/>
      <c r="ED20" s="125"/>
      <c r="EE20" s="176"/>
      <c r="EF20" s="177" t="s">
        <v>35</v>
      </c>
      <c r="EG20" s="178"/>
      <c r="EH20" s="177">
        <v>0</v>
      </c>
      <c r="EI20" s="178"/>
      <c r="EK20" s="7"/>
      <c r="EL20" s="8"/>
      <c r="EM20" s="9">
        <f>SUM(EM14:EM19)</f>
        <v>0</v>
      </c>
      <c r="EO20" s="233"/>
      <c r="EP20" s="125"/>
      <c r="EQ20" s="126"/>
      <c r="ER20" s="177" t="s">
        <v>35</v>
      </c>
      <c r="ES20" s="178"/>
      <c r="ET20" s="156">
        <f t="shared" si="0"/>
        <v>0</v>
      </c>
      <c r="EU20" s="157"/>
      <c r="EW20" s="7"/>
      <c r="EX20" s="8"/>
      <c r="EY20" s="9">
        <f>SUM(EY14:EY19)</f>
        <v>2774</v>
      </c>
    </row>
    <row r="21" spans="1:156" ht="17.100000000000001" customHeight="1" thickTop="1" thickBot="1" x14ac:dyDescent="0.25">
      <c r="A21" s="160"/>
      <c r="B21" s="102" t="s">
        <v>36</v>
      </c>
      <c r="C21" s="148"/>
      <c r="D21" s="148"/>
      <c r="E21" s="128"/>
      <c r="F21" s="184">
        <v>0</v>
      </c>
      <c r="G21" s="185"/>
      <c r="I21" s="111" t="s">
        <v>37</v>
      </c>
      <c r="J21" s="124"/>
      <c r="K21" s="162">
        <v>110</v>
      </c>
      <c r="M21" s="160"/>
      <c r="N21" s="102" t="s">
        <v>36</v>
      </c>
      <c r="O21" s="148"/>
      <c r="P21" s="148"/>
      <c r="Q21" s="128"/>
      <c r="R21" s="184">
        <v>0</v>
      </c>
      <c r="S21" s="185"/>
      <c r="U21" s="111" t="s">
        <v>37</v>
      </c>
      <c r="V21" s="124"/>
      <c r="W21" s="162">
        <v>55</v>
      </c>
      <c r="Y21" s="160"/>
      <c r="Z21" s="102" t="s">
        <v>36</v>
      </c>
      <c r="AA21" s="148"/>
      <c r="AB21" s="148"/>
      <c r="AC21" s="128"/>
      <c r="AD21" s="184">
        <v>0</v>
      </c>
      <c r="AE21" s="185"/>
      <c r="AG21" s="111" t="s">
        <v>37</v>
      </c>
      <c r="AH21" s="124"/>
      <c r="AI21" s="162">
        <v>96</v>
      </c>
      <c r="AK21" s="160"/>
      <c r="AL21" s="102" t="s">
        <v>36</v>
      </c>
      <c r="AM21" s="148"/>
      <c r="AN21" s="148"/>
      <c r="AO21" s="128"/>
      <c r="AP21" s="184">
        <v>0</v>
      </c>
      <c r="AQ21" s="185"/>
      <c r="AS21" s="111" t="s">
        <v>37</v>
      </c>
      <c r="AT21" s="124"/>
      <c r="AU21" s="162">
        <v>140</v>
      </c>
      <c r="AW21" s="160"/>
      <c r="AX21" s="102" t="s">
        <v>36</v>
      </c>
      <c r="AY21" s="148"/>
      <c r="AZ21" s="148"/>
      <c r="BA21" s="128"/>
      <c r="BB21" s="184">
        <v>0</v>
      </c>
      <c r="BC21" s="185"/>
      <c r="BE21" s="111" t="s">
        <v>37</v>
      </c>
      <c r="BF21" s="124"/>
      <c r="BG21" s="162">
        <v>0</v>
      </c>
      <c r="BI21" s="160"/>
      <c r="BJ21" s="102" t="s">
        <v>36</v>
      </c>
      <c r="BK21" s="148"/>
      <c r="BL21" s="148"/>
      <c r="BM21" s="128"/>
      <c r="BN21" s="184">
        <v>0</v>
      </c>
      <c r="BO21" s="185"/>
      <c r="BQ21" s="111" t="s">
        <v>37</v>
      </c>
      <c r="BR21" s="124"/>
      <c r="BS21" s="162">
        <v>191</v>
      </c>
      <c r="BU21" s="160"/>
      <c r="BV21" s="102" t="s">
        <v>36</v>
      </c>
      <c r="BW21" s="148"/>
      <c r="BX21" s="148"/>
      <c r="BY21" s="128"/>
      <c r="BZ21" s="218">
        <v>0</v>
      </c>
      <c r="CA21" s="219"/>
      <c r="CC21" s="111" t="s">
        <v>37</v>
      </c>
      <c r="CD21" s="124"/>
      <c r="CE21" s="162">
        <v>80</v>
      </c>
      <c r="CG21" s="160"/>
      <c r="CH21" s="102" t="s">
        <v>36</v>
      </c>
      <c r="CI21" s="148"/>
      <c r="CJ21" s="148"/>
      <c r="CK21" s="128"/>
      <c r="CL21" s="225">
        <v>0</v>
      </c>
      <c r="CM21" s="226"/>
      <c r="CO21" s="111" t="s">
        <v>37</v>
      </c>
      <c r="CP21" s="124"/>
      <c r="CQ21" s="162">
        <v>145</v>
      </c>
      <c r="CS21" s="160"/>
      <c r="CT21" s="102" t="s">
        <v>36</v>
      </c>
      <c r="CU21" s="148"/>
      <c r="CV21" s="148"/>
      <c r="CW21" s="128"/>
      <c r="CX21" s="156">
        <v>0</v>
      </c>
      <c r="CY21" s="157"/>
      <c r="DA21" s="111" t="s">
        <v>37</v>
      </c>
      <c r="DB21" s="124"/>
      <c r="DC21" s="162">
        <v>0</v>
      </c>
      <c r="DD21" s="2"/>
      <c r="DE21" s="160"/>
      <c r="DF21" s="102" t="s">
        <v>36</v>
      </c>
      <c r="DG21" s="148"/>
      <c r="DH21" s="148"/>
      <c r="DI21" s="128"/>
      <c r="DJ21" s="156">
        <v>0</v>
      </c>
      <c r="DK21" s="157"/>
      <c r="DM21" s="111" t="s">
        <v>37</v>
      </c>
      <c r="DN21" s="124"/>
      <c r="DO21" s="162">
        <v>0</v>
      </c>
      <c r="DP21" s="2"/>
      <c r="DQ21" s="160"/>
      <c r="DR21" s="102" t="s">
        <v>36</v>
      </c>
      <c r="DS21" s="148"/>
      <c r="DT21" s="148"/>
      <c r="DU21" s="128"/>
      <c r="DV21" s="156">
        <v>0</v>
      </c>
      <c r="DW21" s="157"/>
      <c r="DY21" s="111" t="s">
        <v>37</v>
      </c>
      <c r="DZ21" s="124"/>
      <c r="EA21" s="162">
        <v>0</v>
      </c>
      <c r="EC21" s="160"/>
      <c r="ED21" s="102" t="s">
        <v>36</v>
      </c>
      <c r="EE21" s="148"/>
      <c r="EF21" s="148"/>
      <c r="EG21" s="128"/>
      <c r="EH21" s="156">
        <v>0</v>
      </c>
      <c r="EI21" s="157"/>
      <c r="EK21" s="111" t="s">
        <v>37</v>
      </c>
      <c r="EL21" s="124"/>
      <c r="EM21" s="162">
        <v>0</v>
      </c>
      <c r="EO21" s="234"/>
      <c r="EP21" s="156" t="s">
        <v>36</v>
      </c>
      <c r="EQ21" s="187"/>
      <c r="ER21" s="187"/>
      <c r="ES21" s="157"/>
      <c r="ET21" s="156">
        <f t="shared" si="0"/>
        <v>0</v>
      </c>
      <c r="EU21" s="157"/>
      <c r="EW21" s="111" t="s">
        <v>37</v>
      </c>
      <c r="EX21" s="124"/>
      <c r="EY21" s="162">
        <f>K21+W21+AI21+AU21+BG21+BS21+CE21+CQ21+DC21+DO21+EA21+EM21</f>
        <v>817</v>
      </c>
    </row>
    <row r="22" spans="1:156" ht="17.100000000000001" customHeight="1" thickTop="1" thickBot="1" x14ac:dyDescent="0.25">
      <c r="A22" s="111" t="s">
        <v>38</v>
      </c>
      <c r="B22" s="174"/>
      <c r="C22" s="124"/>
      <c r="D22" s="155" t="s">
        <v>39</v>
      </c>
      <c r="E22" s="161"/>
      <c r="F22" s="190">
        <v>443</v>
      </c>
      <c r="G22" s="191"/>
      <c r="I22" s="113"/>
      <c r="J22" s="112"/>
      <c r="K22" s="163"/>
      <c r="M22" s="111" t="s">
        <v>38</v>
      </c>
      <c r="N22" s="174"/>
      <c r="O22" s="124"/>
      <c r="P22" s="155" t="s">
        <v>39</v>
      </c>
      <c r="Q22" s="161"/>
      <c r="R22" s="190">
        <v>342</v>
      </c>
      <c r="S22" s="191"/>
      <c r="U22" s="113"/>
      <c r="V22" s="112"/>
      <c r="W22" s="163"/>
      <c r="Y22" s="111" t="s">
        <v>38</v>
      </c>
      <c r="Z22" s="174"/>
      <c r="AA22" s="124"/>
      <c r="AB22" s="155" t="s">
        <v>39</v>
      </c>
      <c r="AC22" s="161"/>
      <c r="AD22" s="190">
        <v>245</v>
      </c>
      <c r="AE22" s="191"/>
      <c r="AG22" s="113"/>
      <c r="AH22" s="112"/>
      <c r="AI22" s="163"/>
      <c r="AK22" s="111" t="s">
        <v>38</v>
      </c>
      <c r="AL22" s="174"/>
      <c r="AM22" s="124"/>
      <c r="AN22" s="155" t="s">
        <v>39</v>
      </c>
      <c r="AO22" s="161"/>
      <c r="AP22" s="190">
        <v>493</v>
      </c>
      <c r="AQ22" s="191"/>
      <c r="AS22" s="113"/>
      <c r="AT22" s="112"/>
      <c r="AU22" s="163"/>
      <c r="AW22" s="111" t="s">
        <v>38</v>
      </c>
      <c r="AX22" s="174"/>
      <c r="AY22" s="124"/>
      <c r="AZ22" s="155" t="s">
        <v>39</v>
      </c>
      <c r="BA22" s="161"/>
      <c r="BB22" s="190">
        <v>440</v>
      </c>
      <c r="BC22" s="191"/>
      <c r="BE22" s="113"/>
      <c r="BF22" s="112"/>
      <c r="BG22" s="163"/>
      <c r="BI22" s="111" t="s">
        <v>38</v>
      </c>
      <c r="BJ22" s="174"/>
      <c r="BK22" s="124"/>
      <c r="BL22" s="155" t="s">
        <v>39</v>
      </c>
      <c r="BM22" s="161"/>
      <c r="BN22" s="190">
        <v>191</v>
      </c>
      <c r="BO22" s="191"/>
      <c r="BQ22" s="113"/>
      <c r="BR22" s="112"/>
      <c r="BS22" s="163"/>
      <c r="BU22" s="111" t="s">
        <v>38</v>
      </c>
      <c r="BV22" s="174"/>
      <c r="BW22" s="124"/>
      <c r="BX22" s="155" t="s">
        <v>39</v>
      </c>
      <c r="BY22" s="161"/>
      <c r="BZ22" s="197">
        <v>438</v>
      </c>
      <c r="CA22" s="207"/>
      <c r="CC22" s="113"/>
      <c r="CD22" s="112"/>
      <c r="CE22" s="163"/>
      <c r="CG22" s="111" t="s">
        <v>38</v>
      </c>
      <c r="CH22" s="174"/>
      <c r="CI22" s="124"/>
      <c r="CJ22" s="155" t="s">
        <v>39</v>
      </c>
      <c r="CK22" s="161"/>
      <c r="CL22" s="210">
        <v>191</v>
      </c>
      <c r="CM22" s="211"/>
      <c r="CO22" s="113"/>
      <c r="CP22" s="112"/>
      <c r="CQ22" s="163"/>
      <c r="CS22" s="111" t="s">
        <v>38</v>
      </c>
      <c r="CT22" s="174"/>
      <c r="CU22" s="124"/>
      <c r="CV22" s="155" t="s">
        <v>39</v>
      </c>
      <c r="CW22" s="161"/>
      <c r="CX22" s="155">
        <v>0</v>
      </c>
      <c r="CY22" s="141"/>
      <c r="DA22" s="113"/>
      <c r="DB22" s="112"/>
      <c r="DC22" s="163"/>
      <c r="DD22" s="2"/>
      <c r="DE22" s="111" t="s">
        <v>38</v>
      </c>
      <c r="DF22" s="174"/>
      <c r="DG22" s="124"/>
      <c r="DH22" s="155" t="s">
        <v>39</v>
      </c>
      <c r="DI22" s="161"/>
      <c r="DJ22" s="155">
        <v>0</v>
      </c>
      <c r="DK22" s="141"/>
      <c r="DM22" s="113"/>
      <c r="DN22" s="112"/>
      <c r="DO22" s="163"/>
      <c r="DP22" s="2"/>
      <c r="DQ22" s="111" t="s">
        <v>38</v>
      </c>
      <c r="DR22" s="174"/>
      <c r="DS22" s="124"/>
      <c r="DT22" s="155" t="s">
        <v>39</v>
      </c>
      <c r="DU22" s="161"/>
      <c r="DV22" s="155">
        <v>0</v>
      </c>
      <c r="DW22" s="141"/>
      <c r="DY22" s="113"/>
      <c r="DZ22" s="112"/>
      <c r="EA22" s="163"/>
      <c r="EC22" s="111" t="s">
        <v>38</v>
      </c>
      <c r="ED22" s="174"/>
      <c r="EE22" s="124"/>
      <c r="EF22" s="155" t="s">
        <v>39</v>
      </c>
      <c r="EG22" s="161"/>
      <c r="EH22" s="155">
        <v>0</v>
      </c>
      <c r="EI22" s="141"/>
      <c r="EK22" s="113"/>
      <c r="EL22" s="112"/>
      <c r="EM22" s="163"/>
      <c r="EO22" s="111" t="s">
        <v>38</v>
      </c>
      <c r="EP22" s="174"/>
      <c r="EQ22" s="124"/>
      <c r="ER22" s="155" t="s">
        <v>39</v>
      </c>
      <c r="ES22" s="141"/>
      <c r="ET22" s="156">
        <f t="shared" si="0"/>
        <v>2783</v>
      </c>
      <c r="EU22" s="157"/>
      <c r="EW22" s="113"/>
      <c r="EX22" s="112"/>
      <c r="EY22" s="163"/>
    </row>
    <row r="23" spans="1:156" ht="17.100000000000001" customHeight="1" thickBot="1" x14ac:dyDescent="0.25">
      <c r="A23" s="113"/>
      <c r="B23" s="175"/>
      <c r="C23" s="112"/>
      <c r="D23" s="154" t="s">
        <v>40</v>
      </c>
      <c r="E23" s="181"/>
      <c r="F23" s="182">
        <v>0</v>
      </c>
      <c r="G23" s="183"/>
      <c r="I23" s="125"/>
      <c r="J23" s="126"/>
      <c r="K23" s="164"/>
      <c r="M23" s="113"/>
      <c r="N23" s="175"/>
      <c r="O23" s="112"/>
      <c r="P23" s="154" t="s">
        <v>40</v>
      </c>
      <c r="Q23" s="181"/>
      <c r="R23" s="182">
        <v>0</v>
      </c>
      <c r="S23" s="183"/>
      <c r="U23" s="125"/>
      <c r="V23" s="126"/>
      <c r="W23" s="164"/>
      <c r="Y23" s="113"/>
      <c r="Z23" s="175"/>
      <c r="AA23" s="112"/>
      <c r="AB23" s="154" t="s">
        <v>40</v>
      </c>
      <c r="AC23" s="181"/>
      <c r="AD23" s="182">
        <v>0</v>
      </c>
      <c r="AE23" s="183"/>
      <c r="AG23" s="125"/>
      <c r="AH23" s="126"/>
      <c r="AI23" s="164"/>
      <c r="AK23" s="113"/>
      <c r="AL23" s="175"/>
      <c r="AM23" s="112"/>
      <c r="AN23" s="154" t="s">
        <v>40</v>
      </c>
      <c r="AO23" s="181"/>
      <c r="AP23" s="182">
        <v>0</v>
      </c>
      <c r="AQ23" s="183"/>
      <c r="AS23" s="125"/>
      <c r="AT23" s="126"/>
      <c r="AU23" s="164"/>
      <c r="AW23" s="113"/>
      <c r="AX23" s="175"/>
      <c r="AY23" s="112"/>
      <c r="AZ23" s="154" t="s">
        <v>40</v>
      </c>
      <c r="BA23" s="181"/>
      <c r="BB23" s="182">
        <v>12</v>
      </c>
      <c r="BC23" s="183"/>
      <c r="BE23" s="125"/>
      <c r="BF23" s="126"/>
      <c r="BG23" s="164"/>
      <c r="BI23" s="113"/>
      <c r="BJ23" s="175"/>
      <c r="BK23" s="112"/>
      <c r="BL23" s="154" t="s">
        <v>40</v>
      </c>
      <c r="BM23" s="181"/>
      <c r="BN23" s="182">
        <v>0</v>
      </c>
      <c r="BO23" s="183"/>
      <c r="BQ23" s="125"/>
      <c r="BR23" s="126"/>
      <c r="BS23" s="164"/>
      <c r="BU23" s="113"/>
      <c r="BV23" s="175"/>
      <c r="BW23" s="112"/>
      <c r="BX23" s="154" t="s">
        <v>40</v>
      </c>
      <c r="BY23" s="181"/>
      <c r="BZ23" s="195">
        <v>0</v>
      </c>
      <c r="CA23" s="208"/>
      <c r="CC23" s="125"/>
      <c r="CD23" s="126"/>
      <c r="CE23" s="164"/>
      <c r="CG23" s="113"/>
      <c r="CH23" s="175"/>
      <c r="CI23" s="112"/>
      <c r="CJ23" s="154" t="s">
        <v>40</v>
      </c>
      <c r="CK23" s="181"/>
      <c r="CL23" s="212">
        <v>0</v>
      </c>
      <c r="CM23" s="213"/>
      <c r="CO23" s="125"/>
      <c r="CP23" s="126"/>
      <c r="CQ23" s="164"/>
      <c r="CS23" s="113"/>
      <c r="CT23" s="175"/>
      <c r="CU23" s="112"/>
      <c r="CV23" s="154" t="s">
        <v>40</v>
      </c>
      <c r="CW23" s="181"/>
      <c r="CX23" s="154">
        <v>0</v>
      </c>
      <c r="CY23" s="142"/>
      <c r="DA23" s="125"/>
      <c r="DB23" s="126"/>
      <c r="DC23" s="164"/>
      <c r="DD23" s="2"/>
      <c r="DE23" s="113"/>
      <c r="DF23" s="175"/>
      <c r="DG23" s="112"/>
      <c r="DH23" s="154" t="s">
        <v>40</v>
      </c>
      <c r="DI23" s="181"/>
      <c r="DJ23" s="154">
        <v>0</v>
      </c>
      <c r="DK23" s="142"/>
      <c r="DM23" s="125"/>
      <c r="DN23" s="126"/>
      <c r="DO23" s="164"/>
      <c r="DP23" s="2"/>
      <c r="DQ23" s="113"/>
      <c r="DR23" s="175"/>
      <c r="DS23" s="112"/>
      <c r="DT23" s="154" t="s">
        <v>40</v>
      </c>
      <c r="DU23" s="181"/>
      <c r="DV23" s="154">
        <v>0</v>
      </c>
      <c r="DW23" s="142"/>
      <c r="DY23" s="125"/>
      <c r="DZ23" s="126"/>
      <c r="EA23" s="164"/>
      <c r="EC23" s="113"/>
      <c r="ED23" s="175"/>
      <c r="EE23" s="112"/>
      <c r="EF23" s="154" t="s">
        <v>40</v>
      </c>
      <c r="EG23" s="181"/>
      <c r="EH23" s="154">
        <v>0</v>
      </c>
      <c r="EI23" s="142"/>
      <c r="EK23" s="125"/>
      <c r="EL23" s="126"/>
      <c r="EM23" s="164"/>
      <c r="EO23" s="113"/>
      <c r="EP23" s="175"/>
      <c r="EQ23" s="112"/>
      <c r="ER23" s="154" t="s">
        <v>40</v>
      </c>
      <c r="ES23" s="142"/>
      <c r="ET23" s="156">
        <f t="shared" si="0"/>
        <v>12</v>
      </c>
      <c r="EU23" s="157"/>
      <c r="EW23" s="125"/>
      <c r="EX23" s="126"/>
      <c r="EY23" s="164"/>
    </row>
    <row r="24" spans="1:156" ht="17.100000000000001" customHeight="1" thickBot="1" x14ac:dyDescent="0.25">
      <c r="A24" s="113"/>
      <c r="B24" s="175"/>
      <c r="C24" s="112"/>
      <c r="D24" s="154" t="s">
        <v>41</v>
      </c>
      <c r="E24" s="181"/>
      <c r="F24" s="182">
        <v>0</v>
      </c>
      <c r="G24" s="183"/>
      <c r="I24" s="111" t="s">
        <v>20</v>
      </c>
      <c r="J24" s="124"/>
      <c r="K24" s="162">
        <v>333</v>
      </c>
      <c r="M24" s="113"/>
      <c r="N24" s="175"/>
      <c r="O24" s="112"/>
      <c r="P24" s="154" t="s">
        <v>41</v>
      </c>
      <c r="Q24" s="181"/>
      <c r="R24" s="182">
        <v>2</v>
      </c>
      <c r="S24" s="183"/>
      <c r="U24" s="111" t="s">
        <v>20</v>
      </c>
      <c r="V24" s="124"/>
      <c r="W24" s="162">
        <v>287</v>
      </c>
      <c r="Y24" s="113"/>
      <c r="Z24" s="175"/>
      <c r="AA24" s="112"/>
      <c r="AB24" s="154" t="s">
        <v>41</v>
      </c>
      <c r="AC24" s="181"/>
      <c r="AD24" s="182">
        <v>3</v>
      </c>
      <c r="AE24" s="183"/>
      <c r="AG24" s="111" t="s">
        <v>20</v>
      </c>
      <c r="AH24" s="124"/>
      <c r="AI24" s="162">
        <v>140</v>
      </c>
      <c r="AK24" s="113"/>
      <c r="AL24" s="175"/>
      <c r="AM24" s="112"/>
      <c r="AN24" s="154" t="s">
        <v>41</v>
      </c>
      <c r="AO24" s="181"/>
      <c r="AP24" s="182">
        <v>3</v>
      </c>
      <c r="AQ24" s="183"/>
      <c r="AS24" s="111" t="s">
        <v>20</v>
      </c>
      <c r="AT24" s="124"/>
      <c r="AU24" s="162">
        <v>353</v>
      </c>
      <c r="AW24" s="113"/>
      <c r="AX24" s="175"/>
      <c r="AY24" s="112"/>
      <c r="AZ24" s="154" t="s">
        <v>41</v>
      </c>
      <c r="BA24" s="181"/>
      <c r="BB24" s="182">
        <v>2</v>
      </c>
      <c r="BC24" s="183"/>
      <c r="BE24" s="111" t="s">
        <v>20</v>
      </c>
      <c r="BF24" s="124"/>
      <c r="BG24" s="162">
        <v>0</v>
      </c>
      <c r="BI24" s="113"/>
      <c r="BJ24" s="175"/>
      <c r="BK24" s="112"/>
      <c r="BL24" s="154" t="s">
        <v>41</v>
      </c>
      <c r="BM24" s="181"/>
      <c r="BN24" s="182">
        <v>0</v>
      </c>
      <c r="BO24" s="183"/>
      <c r="BQ24" s="111" t="s">
        <v>20</v>
      </c>
      <c r="BR24" s="124"/>
      <c r="BS24" s="162">
        <v>0</v>
      </c>
      <c r="BU24" s="113"/>
      <c r="BV24" s="175"/>
      <c r="BW24" s="112"/>
      <c r="BX24" s="154" t="s">
        <v>41</v>
      </c>
      <c r="BY24" s="181"/>
      <c r="BZ24" s="195">
        <v>11</v>
      </c>
      <c r="CA24" s="208"/>
      <c r="CC24" s="111" t="s">
        <v>20</v>
      </c>
      <c r="CD24" s="124"/>
      <c r="CE24" s="162">
        <v>358</v>
      </c>
      <c r="CG24" s="113"/>
      <c r="CH24" s="175"/>
      <c r="CI24" s="112"/>
      <c r="CJ24" s="154" t="s">
        <v>41</v>
      </c>
      <c r="CK24" s="181"/>
      <c r="CL24" s="212">
        <v>0</v>
      </c>
      <c r="CM24" s="213"/>
      <c r="CO24" s="111" t="s">
        <v>20</v>
      </c>
      <c r="CP24" s="124"/>
      <c r="CQ24" s="162">
        <v>46</v>
      </c>
      <c r="CS24" s="113"/>
      <c r="CT24" s="175"/>
      <c r="CU24" s="112"/>
      <c r="CV24" s="154" t="s">
        <v>41</v>
      </c>
      <c r="CW24" s="181"/>
      <c r="CX24" s="154">
        <v>0</v>
      </c>
      <c r="CY24" s="142"/>
      <c r="DA24" s="111" t="s">
        <v>20</v>
      </c>
      <c r="DB24" s="124"/>
      <c r="DC24" s="162">
        <v>0</v>
      </c>
      <c r="DD24" s="2"/>
      <c r="DE24" s="113"/>
      <c r="DF24" s="175"/>
      <c r="DG24" s="112"/>
      <c r="DH24" s="154" t="s">
        <v>41</v>
      </c>
      <c r="DI24" s="181"/>
      <c r="DJ24" s="154">
        <v>0</v>
      </c>
      <c r="DK24" s="142"/>
      <c r="DM24" s="111" t="s">
        <v>20</v>
      </c>
      <c r="DN24" s="124"/>
      <c r="DO24" s="162">
        <v>0</v>
      </c>
      <c r="DP24" s="2"/>
      <c r="DQ24" s="113"/>
      <c r="DR24" s="175"/>
      <c r="DS24" s="112"/>
      <c r="DT24" s="154" t="s">
        <v>41</v>
      </c>
      <c r="DU24" s="181"/>
      <c r="DV24" s="154">
        <v>0</v>
      </c>
      <c r="DW24" s="142"/>
      <c r="DY24" s="111" t="s">
        <v>20</v>
      </c>
      <c r="DZ24" s="124"/>
      <c r="EA24" s="162">
        <v>0</v>
      </c>
      <c r="EC24" s="113"/>
      <c r="ED24" s="175"/>
      <c r="EE24" s="112"/>
      <c r="EF24" s="154" t="s">
        <v>41</v>
      </c>
      <c r="EG24" s="181"/>
      <c r="EH24" s="154">
        <v>0</v>
      </c>
      <c r="EI24" s="142"/>
      <c r="EK24" s="111" t="s">
        <v>20</v>
      </c>
      <c r="EL24" s="124"/>
      <c r="EM24" s="162">
        <v>0</v>
      </c>
      <c r="EO24" s="113"/>
      <c r="EP24" s="175"/>
      <c r="EQ24" s="112"/>
      <c r="ER24" s="154" t="s">
        <v>41</v>
      </c>
      <c r="ES24" s="142"/>
      <c r="ET24" s="156">
        <f t="shared" si="0"/>
        <v>21</v>
      </c>
      <c r="EU24" s="157"/>
      <c r="EW24" s="111" t="s">
        <v>20</v>
      </c>
      <c r="EX24" s="124"/>
      <c r="EY24" s="162">
        <f>K24+W24+AI24+AU24+BG24+BS24+CE24+CQ24+DC24+DO24+EA24+EM24</f>
        <v>1517</v>
      </c>
    </row>
    <row r="25" spans="1:156" ht="17.100000000000001" customHeight="1" thickBot="1" x14ac:dyDescent="0.25">
      <c r="A25" s="125"/>
      <c r="B25" s="175"/>
      <c r="C25" s="112"/>
      <c r="D25" s="188" t="s">
        <v>42</v>
      </c>
      <c r="E25" s="189"/>
      <c r="F25" s="192">
        <v>0</v>
      </c>
      <c r="G25" s="193"/>
      <c r="I25" s="113"/>
      <c r="J25" s="112"/>
      <c r="K25" s="163"/>
      <c r="M25" s="125"/>
      <c r="N25" s="175"/>
      <c r="O25" s="112"/>
      <c r="P25" s="188" t="s">
        <v>42</v>
      </c>
      <c r="Q25" s="189"/>
      <c r="R25" s="192">
        <v>4</v>
      </c>
      <c r="S25" s="193"/>
      <c r="U25" s="113"/>
      <c r="V25" s="112"/>
      <c r="W25" s="163"/>
      <c r="Y25" s="125"/>
      <c r="Z25" s="175"/>
      <c r="AA25" s="112"/>
      <c r="AB25" s="188" t="s">
        <v>42</v>
      </c>
      <c r="AC25" s="189"/>
      <c r="AD25" s="192">
        <v>13</v>
      </c>
      <c r="AE25" s="193"/>
      <c r="AG25" s="113"/>
      <c r="AH25" s="112"/>
      <c r="AI25" s="163"/>
      <c r="AK25" s="125"/>
      <c r="AL25" s="175"/>
      <c r="AM25" s="112"/>
      <c r="AN25" s="188" t="s">
        <v>42</v>
      </c>
      <c r="AO25" s="189"/>
      <c r="AP25" s="192">
        <v>24</v>
      </c>
      <c r="AQ25" s="193"/>
      <c r="AS25" s="113"/>
      <c r="AT25" s="112"/>
      <c r="AU25" s="163"/>
      <c r="AW25" s="125"/>
      <c r="AX25" s="175"/>
      <c r="AY25" s="112"/>
      <c r="AZ25" s="188" t="s">
        <v>42</v>
      </c>
      <c r="BA25" s="189"/>
      <c r="BB25" s="192">
        <v>21</v>
      </c>
      <c r="BC25" s="193"/>
      <c r="BE25" s="113"/>
      <c r="BF25" s="112"/>
      <c r="BG25" s="163"/>
      <c r="BI25" s="125"/>
      <c r="BJ25" s="175"/>
      <c r="BK25" s="112"/>
      <c r="BL25" s="188" t="s">
        <v>42</v>
      </c>
      <c r="BM25" s="189"/>
      <c r="BN25" s="192">
        <v>0</v>
      </c>
      <c r="BO25" s="193"/>
      <c r="BQ25" s="113"/>
      <c r="BR25" s="112"/>
      <c r="BS25" s="163"/>
      <c r="BU25" s="125"/>
      <c r="BV25" s="175"/>
      <c r="BW25" s="112"/>
      <c r="BX25" s="188" t="s">
        <v>42</v>
      </c>
      <c r="BY25" s="189"/>
      <c r="BZ25" s="223">
        <v>14</v>
      </c>
      <c r="CA25" s="224"/>
      <c r="CC25" s="113"/>
      <c r="CD25" s="112"/>
      <c r="CE25" s="163"/>
      <c r="CG25" s="125"/>
      <c r="CH25" s="175"/>
      <c r="CI25" s="112"/>
      <c r="CJ25" s="188" t="s">
        <v>42</v>
      </c>
      <c r="CK25" s="189"/>
      <c r="CL25" s="214">
        <v>0</v>
      </c>
      <c r="CM25" s="215"/>
      <c r="CO25" s="113"/>
      <c r="CP25" s="112"/>
      <c r="CQ25" s="163"/>
      <c r="CS25" s="125"/>
      <c r="CT25" s="175"/>
      <c r="CU25" s="112"/>
      <c r="CV25" s="188" t="s">
        <v>42</v>
      </c>
      <c r="CW25" s="189"/>
      <c r="CX25" s="188">
        <v>0</v>
      </c>
      <c r="CY25" s="194"/>
      <c r="DA25" s="113"/>
      <c r="DB25" s="112"/>
      <c r="DC25" s="163"/>
      <c r="DD25" s="2"/>
      <c r="DE25" s="125"/>
      <c r="DF25" s="175"/>
      <c r="DG25" s="112"/>
      <c r="DH25" s="188" t="s">
        <v>42</v>
      </c>
      <c r="DI25" s="189"/>
      <c r="DJ25" s="188">
        <v>0</v>
      </c>
      <c r="DK25" s="194"/>
      <c r="DM25" s="113"/>
      <c r="DN25" s="112"/>
      <c r="DO25" s="163"/>
      <c r="DP25" s="2"/>
      <c r="DQ25" s="125"/>
      <c r="DR25" s="175"/>
      <c r="DS25" s="112"/>
      <c r="DT25" s="188" t="s">
        <v>42</v>
      </c>
      <c r="DU25" s="189"/>
      <c r="DV25" s="188">
        <v>0</v>
      </c>
      <c r="DW25" s="194"/>
      <c r="DY25" s="113"/>
      <c r="DZ25" s="112"/>
      <c r="EA25" s="163"/>
      <c r="EC25" s="125"/>
      <c r="ED25" s="175"/>
      <c r="EE25" s="112"/>
      <c r="EF25" s="188" t="s">
        <v>42</v>
      </c>
      <c r="EG25" s="189"/>
      <c r="EH25" s="188">
        <v>0</v>
      </c>
      <c r="EI25" s="194"/>
      <c r="EK25" s="113"/>
      <c r="EL25" s="112"/>
      <c r="EM25" s="163"/>
      <c r="EO25" s="125"/>
      <c r="EP25" s="176"/>
      <c r="EQ25" s="126"/>
      <c r="ER25" s="177" t="s">
        <v>42</v>
      </c>
      <c r="ES25" s="178"/>
      <c r="ET25" s="156">
        <f t="shared" si="0"/>
        <v>76</v>
      </c>
      <c r="EU25" s="157"/>
      <c r="EW25" s="113"/>
      <c r="EX25" s="112"/>
      <c r="EY25" s="163"/>
    </row>
    <row r="26" spans="1:156" ht="17.100000000000001" customHeight="1" thickBot="1" x14ac:dyDescent="0.25">
      <c r="A26" s="111" t="s">
        <v>43</v>
      </c>
      <c r="B26" s="61">
        <f>1</f>
        <v>1</v>
      </c>
      <c r="C26" s="62">
        <v>2</v>
      </c>
      <c r="D26" s="62">
        <v>3</v>
      </c>
      <c r="E26" s="62">
        <v>4</v>
      </c>
      <c r="F26" s="62">
        <v>5</v>
      </c>
      <c r="G26" s="80">
        <v>6</v>
      </c>
      <c r="I26" s="125"/>
      <c r="J26" s="126"/>
      <c r="K26" s="164"/>
      <c r="M26" s="111" t="s">
        <v>43</v>
      </c>
      <c r="N26" s="61">
        <f>1</f>
        <v>1</v>
      </c>
      <c r="O26" s="62">
        <v>2</v>
      </c>
      <c r="P26" s="62">
        <v>3</v>
      </c>
      <c r="Q26" s="62">
        <v>4</v>
      </c>
      <c r="R26" s="62">
        <v>5</v>
      </c>
      <c r="S26" s="80">
        <v>6</v>
      </c>
      <c r="U26" s="125"/>
      <c r="V26" s="126"/>
      <c r="W26" s="164"/>
      <c r="Y26" s="111" t="s">
        <v>43</v>
      </c>
      <c r="Z26" s="61">
        <f>1</f>
        <v>1</v>
      </c>
      <c r="AA26" s="62">
        <v>2</v>
      </c>
      <c r="AB26" s="62">
        <v>3</v>
      </c>
      <c r="AC26" s="62">
        <v>4</v>
      </c>
      <c r="AD26" s="62">
        <v>5</v>
      </c>
      <c r="AE26" s="80">
        <v>6</v>
      </c>
      <c r="AG26" s="125"/>
      <c r="AH26" s="126"/>
      <c r="AI26" s="164"/>
      <c r="AK26" s="111" t="s">
        <v>43</v>
      </c>
      <c r="AL26" s="61">
        <f>1</f>
        <v>1</v>
      </c>
      <c r="AM26" s="62">
        <v>2</v>
      </c>
      <c r="AN26" s="62">
        <v>3</v>
      </c>
      <c r="AO26" s="62">
        <v>4</v>
      </c>
      <c r="AP26" s="62">
        <v>5</v>
      </c>
      <c r="AQ26" s="80">
        <v>6</v>
      </c>
      <c r="AS26" s="125"/>
      <c r="AT26" s="126"/>
      <c r="AU26" s="164"/>
      <c r="AW26" s="111" t="s">
        <v>43</v>
      </c>
      <c r="AX26" s="61">
        <f>1</f>
        <v>1</v>
      </c>
      <c r="AY26" s="62">
        <v>2</v>
      </c>
      <c r="AZ26" s="62">
        <v>3</v>
      </c>
      <c r="BA26" s="62">
        <v>4</v>
      </c>
      <c r="BB26" s="62">
        <v>5</v>
      </c>
      <c r="BC26" s="80">
        <v>6</v>
      </c>
      <c r="BE26" s="125"/>
      <c r="BF26" s="126"/>
      <c r="BG26" s="164"/>
      <c r="BI26" s="111" t="s">
        <v>43</v>
      </c>
      <c r="BJ26" s="61">
        <f>1</f>
        <v>1</v>
      </c>
      <c r="BK26" s="62">
        <v>2</v>
      </c>
      <c r="BL26" s="62">
        <v>3</v>
      </c>
      <c r="BM26" s="62">
        <v>4</v>
      </c>
      <c r="BN26" s="62">
        <v>5</v>
      </c>
      <c r="BO26" s="80">
        <v>6</v>
      </c>
      <c r="BQ26" s="125"/>
      <c r="BR26" s="126"/>
      <c r="BS26" s="164"/>
      <c r="BU26" s="111" t="s">
        <v>43</v>
      </c>
      <c r="BV26" s="61">
        <f>1</f>
        <v>1</v>
      </c>
      <c r="BW26" s="62">
        <v>2</v>
      </c>
      <c r="BX26" s="62">
        <v>3</v>
      </c>
      <c r="BY26" s="62">
        <v>4</v>
      </c>
      <c r="BZ26" s="62">
        <v>5</v>
      </c>
      <c r="CA26" s="80">
        <v>6</v>
      </c>
      <c r="CC26" s="125"/>
      <c r="CD26" s="126"/>
      <c r="CE26" s="164"/>
      <c r="CG26" s="111" t="s">
        <v>43</v>
      </c>
      <c r="CH26" s="61">
        <f>1</f>
        <v>1</v>
      </c>
      <c r="CI26" s="62">
        <v>2</v>
      </c>
      <c r="CJ26" s="62">
        <v>3</v>
      </c>
      <c r="CK26" s="62">
        <v>4</v>
      </c>
      <c r="CL26" s="62">
        <v>5</v>
      </c>
      <c r="CM26" s="80">
        <v>6</v>
      </c>
      <c r="CO26" s="125"/>
      <c r="CP26" s="126"/>
      <c r="CQ26" s="164"/>
      <c r="CS26" s="111" t="s">
        <v>43</v>
      </c>
      <c r="CT26" s="61">
        <f>1</f>
        <v>1</v>
      </c>
      <c r="CU26" s="62">
        <v>2</v>
      </c>
      <c r="CV26" s="62">
        <v>3</v>
      </c>
      <c r="CW26" s="62">
        <v>4</v>
      </c>
      <c r="CX26" s="62">
        <v>5</v>
      </c>
      <c r="CY26" s="80">
        <v>6</v>
      </c>
      <c r="DA26" s="125"/>
      <c r="DB26" s="126"/>
      <c r="DC26" s="164"/>
      <c r="DD26" s="2"/>
      <c r="DE26" s="111" t="s">
        <v>43</v>
      </c>
      <c r="DF26" s="61">
        <f>1</f>
        <v>1</v>
      </c>
      <c r="DG26" s="62">
        <v>2</v>
      </c>
      <c r="DH26" s="62">
        <v>3</v>
      </c>
      <c r="DI26" s="62">
        <v>4</v>
      </c>
      <c r="DJ26" s="62">
        <v>5</v>
      </c>
      <c r="DK26" s="80">
        <v>6</v>
      </c>
      <c r="DM26" s="125"/>
      <c r="DN26" s="126"/>
      <c r="DO26" s="164"/>
      <c r="DP26" s="2"/>
      <c r="DQ26" s="111" t="s">
        <v>43</v>
      </c>
      <c r="DR26" s="61">
        <f>1</f>
        <v>1</v>
      </c>
      <c r="DS26" s="62">
        <v>2</v>
      </c>
      <c r="DT26" s="62">
        <v>3</v>
      </c>
      <c r="DU26" s="62">
        <v>4</v>
      </c>
      <c r="DV26" s="62">
        <v>5</v>
      </c>
      <c r="DW26" s="80">
        <v>6</v>
      </c>
      <c r="DY26" s="125"/>
      <c r="DZ26" s="126"/>
      <c r="EA26" s="164"/>
      <c r="EC26" s="111" t="s">
        <v>43</v>
      </c>
      <c r="ED26" s="61">
        <f>1</f>
        <v>1</v>
      </c>
      <c r="EE26" s="62">
        <v>2</v>
      </c>
      <c r="EF26" s="62">
        <v>3</v>
      </c>
      <c r="EG26" s="62">
        <v>4</v>
      </c>
      <c r="EH26" s="62">
        <v>5</v>
      </c>
      <c r="EI26" s="80">
        <v>6</v>
      </c>
      <c r="EK26" s="125"/>
      <c r="EL26" s="126"/>
      <c r="EM26" s="164"/>
      <c r="EO26" s="229" t="s">
        <v>43</v>
      </c>
      <c r="EP26" s="61">
        <f>1</f>
        <v>1</v>
      </c>
      <c r="EQ26" s="62">
        <v>2</v>
      </c>
      <c r="ER26" s="62">
        <v>3</v>
      </c>
      <c r="ES26" s="62">
        <v>4</v>
      </c>
      <c r="ET26" s="62">
        <v>5</v>
      </c>
      <c r="EU26" s="80">
        <v>6</v>
      </c>
      <c r="EW26" s="125"/>
      <c r="EX26" s="126"/>
      <c r="EY26" s="164"/>
    </row>
    <row r="27" spans="1:156" ht="17.100000000000001" customHeight="1" thickTop="1" thickBot="1" x14ac:dyDescent="0.25">
      <c r="A27" s="125"/>
      <c r="B27" s="10">
        <v>30</v>
      </c>
      <c r="C27" s="11">
        <v>55</v>
      </c>
      <c r="D27" s="11">
        <v>0</v>
      </c>
      <c r="E27" s="11">
        <v>0</v>
      </c>
      <c r="F27" s="11">
        <v>0</v>
      </c>
      <c r="G27" s="12">
        <v>0</v>
      </c>
      <c r="H27" s="13"/>
      <c r="I27" s="14"/>
      <c r="J27" s="14"/>
      <c r="K27" s="9">
        <f>SUM(K21:K26)</f>
        <v>443</v>
      </c>
      <c r="M27" s="125"/>
      <c r="N27" s="94">
        <v>45</v>
      </c>
      <c r="O27" s="95">
        <v>17</v>
      </c>
      <c r="P27" s="95">
        <v>34</v>
      </c>
      <c r="Q27" s="95">
        <v>0</v>
      </c>
      <c r="R27" s="95">
        <v>0</v>
      </c>
      <c r="S27" s="96">
        <v>0</v>
      </c>
      <c r="T27" s="13"/>
      <c r="U27" s="14"/>
      <c r="V27" s="14"/>
      <c r="W27" s="9">
        <f>SUM(W21:W26)</f>
        <v>342</v>
      </c>
      <c r="Y27" s="125"/>
      <c r="Z27" s="94" t="s">
        <v>67</v>
      </c>
      <c r="AA27" s="95" t="s">
        <v>68</v>
      </c>
      <c r="AB27" s="95" t="s">
        <v>69</v>
      </c>
      <c r="AC27" s="11">
        <v>0</v>
      </c>
      <c r="AD27" s="11">
        <v>0</v>
      </c>
      <c r="AE27" s="12">
        <v>0</v>
      </c>
      <c r="AF27" s="13"/>
      <c r="AG27" s="14"/>
      <c r="AH27" s="14"/>
      <c r="AI27" s="9">
        <f>SUM(AI21:AI26)</f>
        <v>236</v>
      </c>
      <c r="AK27" s="125"/>
      <c r="AL27" s="10">
        <v>57</v>
      </c>
      <c r="AM27" s="11">
        <v>94</v>
      </c>
      <c r="AN27" s="11">
        <v>0</v>
      </c>
      <c r="AO27" s="11">
        <v>0</v>
      </c>
      <c r="AP27" s="11">
        <v>0</v>
      </c>
      <c r="AQ27" s="12">
        <v>0</v>
      </c>
      <c r="AR27" s="13"/>
      <c r="AS27" s="14"/>
      <c r="AT27" s="14"/>
      <c r="AU27" s="9">
        <f>SUM(AU21:AU26)</f>
        <v>493</v>
      </c>
      <c r="AW27" s="125"/>
      <c r="AX27" s="10">
        <v>45</v>
      </c>
      <c r="AY27" s="11">
        <v>60</v>
      </c>
      <c r="AZ27" s="11">
        <v>14</v>
      </c>
      <c r="BA27" s="11">
        <v>0</v>
      </c>
      <c r="BB27" s="11">
        <v>0</v>
      </c>
      <c r="BC27" s="12">
        <v>0</v>
      </c>
      <c r="BD27" s="13"/>
      <c r="BE27" s="14"/>
      <c r="BF27" s="14"/>
      <c r="BG27" s="9">
        <f>SUM(BG21:BG26)</f>
        <v>0</v>
      </c>
      <c r="BI27" s="125"/>
      <c r="BJ27" s="10">
        <v>6</v>
      </c>
      <c r="BK27" s="11">
        <v>10</v>
      </c>
      <c r="BL27" s="11">
        <v>3</v>
      </c>
      <c r="BM27" s="11">
        <v>0</v>
      </c>
      <c r="BN27" s="11">
        <v>0</v>
      </c>
      <c r="BO27" s="12">
        <v>0</v>
      </c>
      <c r="BP27" s="13"/>
      <c r="BQ27" s="14"/>
      <c r="BR27" s="14"/>
      <c r="BS27" s="9">
        <f>SUM(BS21:BS26)</f>
        <v>191</v>
      </c>
      <c r="BU27" s="125"/>
      <c r="BV27" s="10">
        <v>18</v>
      </c>
      <c r="BW27" s="11">
        <v>48</v>
      </c>
      <c r="BX27" s="11">
        <v>6</v>
      </c>
      <c r="BY27" s="11">
        <v>0</v>
      </c>
      <c r="BZ27" s="11">
        <v>0</v>
      </c>
      <c r="CA27" s="12">
        <v>0</v>
      </c>
      <c r="CB27" s="13"/>
      <c r="CC27" s="14"/>
      <c r="CD27" s="14"/>
      <c r="CE27" s="9">
        <f>SUM(CE21:CE26)</f>
        <v>438</v>
      </c>
      <c r="CG27" s="125"/>
      <c r="CH27" s="10">
        <v>6</v>
      </c>
      <c r="CI27" s="11">
        <v>10</v>
      </c>
      <c r="CJ27" s="11">
        <v>3</v>
      </c>
      <c r="CK27" s="11">
        <v>0</v>
      </c>
      <c r="CL27" s="11">
        <v>0</v>
      </c>
      <c r="CM27" s="12">
        <v>0</v>
      </c>
      <c r="CN27" s="13"/>
      <c r="CO27" s="14"/>
      <c r="CP27" s="14"/>
      <c r="CQ27" s="9">
        <f>SUM(CQ21:CQ26)</f>
        <v>191</v>
      </c>
      <c r="CS27" s="125"/>
      <c r="CT27" s="10">
        <v>0</v>
      </c>
      <c r="CU27" s="11">
        <v>0</v>
      </c>
      <c r="CV27" s="11">
        <v>0</v>
      </c>
      <c r="CW27" s="11">
        <v>0</v>
      </c>
      <c r="CX27" s="11">
        <v>0</v>
      </c>
      <c r="CY27" s="12">
        <v>0</v>
      </c>
      <c r="CZ27" s="13"/>
      <c r="DA27" s="14"/>
      <c r="DB27" s="14"/>
      <c r="DC27" s="9">
        <f>SUM(DC21:DC26)</f>
        <v>0</v>
      </c>
      <c r="DD27" s="2"/>
      <c r="DE27" s="125"/>
      <c r="DF27" s="10">
        <v>0</v>
      </c>
      <c r="DG27" s="11">
        <v>0</v>
      </c>
      <c r="DH27" s="11">
        <v>0</v>
      </c>
      <c r="DI27" s="11">
        <v>0</v>
      </c>
      <c r="DJ27" s="11">
        <v>0</v>
      </c>
      <c r="DK27" s="12">
        <v>0</v>
      </c>
      <c r="DL27" s="13"/>
      <c r="DM27" s="14"/>
      <c r="DN27" s="14"/>
      <c r="DO27" s="9">
        <f>SUM(DO21:DO26)</f>
        <v>0</v>
      </c>
      <c r="DP27" s="2"/>
      <c r="DQ27" s="125"/>
      <c r="DR27" s="10">
        <v>0</v>
      </c>
      <c r="DS27" s="11">
        <v>0</v>
      </c>
      <c r="DT27" s="11">
        <v>0</v>
      </c>
      <c r="DU27" s="11">
        <v>0</v>
      </c>
      <c r="DV27" s="11">
        <v>0</v>
      </c>
      <c r="DW27" s="12">
        <v>0</v>
      </c>
      <c r="DX27" s="13"/>
      <c r="DY27" s="14"/>
      <c r="DZ27" s="14"/>
      <c r="EA27" s="9">
        <f>SUM(EA21:EA26)</f>
        <v>0</v>
      </c>
      <c r="EC27" s="125"/>
      <c r="ED27" s="10">
        <v>0</v>
      </c>
      <c r="EE27" s="11">
        <v>0</v>
      </c>
      <c r="EF27" s="11">
        <v>0</v>
      </c>
      <c r="EG27" s="11">
        <v>0</v>
      </c>
      <c r="EH27" s="11">
        <v>0</v>
      </c>
      <c r="EI27" s="12">
        <v>0</v>
      </c>
      <c r="EJ27" s="13"/>
      <c r="EK27" s="14"/>
      <c r="EL27" s="14"/>
      <c r="EM27" s="9">
        <f>SUM(EM21:EM26)</f>
        <v>0</v>
      </c>
      <c r="EO27" s="237"/>
      <c r="EP27" s="10" t="e">
        <f t="shared" ref="EP27:EU27" si="1">B27+N27+Z27+AL27+AX27+BJ27+BV27+CH27+CT27+DF27+DR27+ED27</f>
        <v>#VALUE!</v>
      </c>
      <c r="EQ27" s="10" t="e">
        <f t="shared" si="1"/>
        <v>#VALUE!</v>
      </c>
      <c r="ER27" s="10" t="e">
        <f t="shared" si="1"/>
        <v>#VALUE!</v>
      </c>
      <c r="ES27" s="10">
        <f t="shared" si="1"/>
        <v>0</v>
      </c>
      <c r="ET27" s="10">
        <f t="shared" si="1"/>
        <v>0</v>
      </c>
      <c r="EU27" s="10">
        <f t="shared" si="1"/>
        <v>0</v>
      </c>
      <c r="EV27" s="13"/>
      <c r="EW27" s="14"/>
      <c r="EX27" s="14"/>
      <c r="EY27" s="9">
        <f>SUM(EY21:EY26)</f>
        <v>2334</v>
      </c>
    </row>
    <row r="28" spans="1:156" s="70" customFormat="1" ht="18" customHeight="1" thickBot="1" x14ac:dyDescent="0.25">
      <c r="A28" s="69" t="s">
        <v>3</v>
      </c>
      <c r="B28" s="69"/>
      <c r="C28" s="179" t="s">
        <v>56</v>
      </c>
      <c r="D28" s="179"/>
      <c r="E28" s="179"/>
      <c r="G28" s="71"/>
      <c r="H28" s="220"/>
      <c r="I28" s="220"/>
      <c r="J28" s="72"/>
      <c r="L28" s="81"/>
      <c r="M28" s="69" t="s">
        <v>3</v>
      </c>
      <c r="N28" s="69"/>
      <c r="O28" s="179" t="s">
        <v>56</v>
      </c>
      <c r="P28" s="179"/>
      <c r="Q28" s="179"/>
      <c r="S28" s="71"/>
      <c r="T28" s="220"/>
      <c r="U28" s="220"/>
      <c r="V28" s="72"/>
      <c r="X28" s="81"/>
      <c r="Y28" s="69" t="s">
        <v>3</v>
      </c>
      <c r="Z28" s="69"/>
      <c r="AA28" s="179" t="s">
        <v>56</v>
      </c>
      <c r="AB28" s="179"/>
      <c r="AC28" s="179"/>
      <c r="AE28" s="71"/>
      <c r="AF28" s="220"/>
      <c r="AG28" s="220"/>
      <c r="AH28" s="72"/>
      <c r="AJ28" s="81"/>
      <c r="AK28" s="69" t="s">
        <v>3</v>
      </c>
      <c r="AL28" s="69"/>
      <c r="AM28" s="179" t="s">
        <v>56</v>
      </c>
      <c r="AN28" s="179"/>
      <c r="AO28" s="179"/>
      <c r="AQ28" s="71"/>
      <c r="AR28" s="220"/>
      <c r="AS28" s="220"/>
      <c r="AT28" s="72"/>
      <c r="AV28" s="81"/>
      <c r="AW28" s="69" t="s">
        <v>3</v>
      </c>
      <c r="AX28" s="69"/>
      <c r="AY28" s="179" t="s">
        <v>56</v>
      </c>
      <c r="AZ28" s="179"/>
      <c r="BA28" s="179"/>
      <c r="BC28" s="71"/>
      <c r="BD28" s="220"/>
      <c r="BE28" s="220"/>
      <c r="BF28" s="72"/>
      <c r="BI28" s="69" t="s">
        <v>3</v>
      </c>
      <c r="BJ28" s="69"/>
      <c r="BK28" s="179" t="s">
        <v>56</v>
      </c>
      <c r="BL28" s="179"/>
      <c r="BM28" s="179"/>
      <c r="BO28" s="71"/>
      <c r="BP28" s="220"/>
      <c r="BQ28" s="220"/>
      <c r="BR28" s="72"/>
      <c r="BU28" s="69" t="s">
        <v>3</v>
      </c>
      <c r="BV28" s="69"/>
      <c r="BW28" s="179" t="s">
        <v>56</v>
      </c>
      <c r="BX28" s="179"/>
      <c r="BY28" s="179"/>
      <c r="CA28" s="71"/>
      <c r="CB28" s="220"/>
      <c r="CC28" s="220"/>
      <c r="CD28" s="72"/>
      <c r="CG28" s="69" t="s">
        <v>3</v>
      </c>
      <c r="CH28" s="69"/>
      <c r="CI28" s="179" t="s">
        <v>56</v>
      </c>
      <c r="CJ28" s="179"/>
      <c r="CK28" s="179"/>
      <c r="CM28" s="71"/>
      <c r="CN28" s="220"/>
      <c r="CO28" s="220"/>
      <c r="CP28" s="72"/>
      <c r="CS28" s="69" t="s">
        <v>3</v>
      </c>
      <c r="CT28" s="69"/>
      <c r="CU28" s="179" t="s">
        <v>56</v>
      </c>
      <c r="CV28" s="179"/>
      <c r="CW28" s="179"/>
      <c r="CY28" s="71"/>
      <c r="CZ28" s="220"/>
      <c r="DA28" s="220"/>
      <c r="DB28" s="72"/>
      <c r="DE28" s="69" t="s">
        <v>3</v>
      </c>
      <c r="DF28" s="69"/>
      <c r="DG28" s="179" t="s">
        <v>56</v>
      </c>
      <c r="DH28" s="179"/>
      <c r="DI28" s="179"/>
      <c r="DK28" s="71"/>
      <c r="DL28" s="220"/>
      <c r="DM28" s="220"/>
      <c r="DN28" s="72"/>
      <c r="DQ28" s="69" t="s">
        <v>3</v>
      </c>
      <c r="DR28" s="69"/>
      <c r="DS28" s="179" t="s">
        <v>56</v>
      </c>
      <c r="DT28" s="179"/>
      <c r="DU28" s="179"/>
      <c r="DW28" s="71"/>
      <c r="DX28" s="220"/>
      <c r="DY28" s="220"/>
      <c r="DZ28" s="72"/>
      <c r="EB28" s="82"/>
      <c r="EC28" s="69" t="s">
        <v>3</v>
      </c>
      <c r="ED28" s="69"/>
      <c r="EE28" s="179" t="s">
        <v>56</v>
      </c>
      <c r="EF28" s="179"/>
      <c r="EG28" s="179"/>
      <c r="EI28" s="71"/>
      <c r="EJ28" s="220"/>
      <c r="EK28" s="220"/>
      <c r="EL28" s="72"/>
      <c r="EN28" s="82"/>
      <c r="EO28" s="69" t="s">
        <v>3</v>
      </c>
      <c r="EP28" s="69"/>
      <c r="EQ28" s="235" t="str">
        <f>EE28</f>
        <v>الجامعة</v>
      </c>
      <c r="ER28" s="235"/>
      <c r="ES28" s="235"/>
      <c r="EU28" s="71"/>
      <c r="EV28" s="236"/>
      <c r="EW28" s="236"/>
      <c r="EX28" s="72"/>
      <c r="EZ28" s="82"/>
    </row>
    <row r="29" spans="1:156" ht="17.100000000000001" customHeight="1" thickTop="1" thickBot="1" x14ac:dyDescent="0.25">
      <c r="A29" s="156" t="s">
        <v>4</v>
      </c>
      <c r="B29" s="187"/>
      <c r="C29" s="187"/>
      <c r="D29" s="187"/>
      <c r="E29" s="157"/>
      <c r="F29" s="156" t="s">
        <v>5</v>
      </c>
      <c r="G29" s="157"/>
      <c r="I29" s="102" t="s">
        <v>6</v>
      </c>
      <c r="J29" s="143" t="s">
        <v>7</v>
      </c>
      <c r="K29" s="202">
        <v>93</v>
      </c>
      <c r="M29" s="156" t="s">
        <v>4</v>
      </c>
      <c r="N29" s="187"/>
      <c r="O29" s="187"/>
      <c r="P29" s="187"/>
      <c r="Q29" s="157"/>
      <c r="R29" s="156" t="s">
        <v>5</v>
      </c>
      <c r="S29" s="157"/>
      <c r="U29" s="102" t="s">
        <v>6</v>
      </c>
      <c r="V29" s="143" t="s">
        <v>7</v>
      </c>
      <c r="W29" s="165">
        <v>87</v>
      </c>
      <c r="Y29" s="156" t="s">
        <v>4</v>
      </c>
      <c r="Z29" s="187"/>
      <c r="AA29" s="187"/>
      <c r="AB29" s="187"/>
      <c r="AC29" s="157"/>
      <c r="AD29" s="156" t="s">
        <v>5</v>
      </c>
      <c r="AE29" s="157"/>
      <c r="AG29" s="102" t="s">
        <v>6</v>
      </c>
      <c r="AH29" s="143" t="s">
        <v>7</v>
      </c>
      <c r="AI29" s="165">
        <v>60</v>
      </c>
      <c r="AK29" s="156" t="s">
        <v>4</v>
      </c>
      <c r="AL29" s="187"/>
      <c r="AM29" s="187"/>
      <c r="AN29" s="187"/>
      <c r="AO29" s="157"/>
      <c r="AP29" s="156" t="s">
        <v>5</v>
      </c>
      <c r="AQ29" s="157"/>
      <c r="AS29" s="102" t="s">
        <v>6</v>
      </c>
      <c r="AT29" s="143" t="s">
        <v>7</v>
      </c>
      <c r="AU29" s="221">
        <v>121</v>
      </c>
      <c r="AW29" s="156" t="s">
        <v>4</v>
      </c>
      <c r="AX29" s="187"/>
      <c r="AY29" s="187"/>
      <c r="AZ29" s="187"/>
      <c r="BA29" s="157"/>
      <c r="BB29" s="156" t="s">
        <v>5</v>
      </c>
      <c r="BC29" s="157"/>
      <c r="BE29" s="102" t="s">
        <v>6</v>
      </c>
      <c r="BF29" s="143" t="s">
        <v>7</v>
      </c>
      <c r="BG29" s="165">
        <v>60</v>
      </c>
      <c r="BI29" s="156" t="s">
        <v>4</v>
      </c>
      <c r="BJ29" s="187"/>
      <c r="BK29" s="187"/>
      <c r="BL29" s="187"/>
      <c r="BM29" s="157"/>
      <c r="BN29" s="156" t="s">
        <v>5</v>
      </c>
      <c r="BO29" s="157"/>
      <c r="BQ29" s="102" t="s">
        <v>6</v>
      </c>
      <c r="BR29" s="143" t="s">
        <v>7</v>
      </c>
      <c r="BS29" s="165">
        <v>514</v>
      </c>
      <c r="BU29" s="156" t="s">
        <v>4</v>
      </c>
      <c r="BV29" s="187"/>
      <c r="BW29" s="187"/>
      <c r="BX29" s="187"/>
      <c r="BY29" s="157"/>
      <c r="BZ29" s="156" t="s">
        <v>5</v>
      </c>
      <c r="CA29" s="157"/>
      <c r="CC29" s="102" t="s">
        <v>6</v>
      </c>
      <c r="CD29" s="143" t="s">
        <v>7</v>
      </c>
      <c r="CE29" s="165">
        <v>85</v>
      </c>
      <c r="CG29" s="156" t="s">
        <v>4</v>
      </c>
      <c r="CH29" s="187"/>
      <c r="CI29" s="187"/>
      <c r="CJ29" s="187"/>
      <c r="CK29" s="157"/>
      <c r="CL29" s="156" t="s">
        <v>5</v>
      </c>
      <c r="CM29" s="157"/>
      <c r="CO29" s="102" t="s">
        <v>6</v>
      </c>
      <c r="CP29" s="143" t="s">
        <v>7</v>
      </c>
      <c r="CQ29" s="165">
        <v>514</v>
      </c>
      <c r="CS29" s="156" t="s">
        <v>4</v>
      </c>
      <c r="CT29" s="187"/>
      <c r="CU29" s="187"/>
      <c r="CV29" s="187"/>
      <c r="CW29" s="157"/>
      <c r="CX29" s="156" t="s">
        <v>5</v>
      </c>
      <c r="CY29" s="157"/>
      <c r="DA29" s="102" t="s">
        <v>6</v>
      </c>
      <c r="DB29" s="143" t="s">
        <v>7</v>
      </c>
      <c r="DC29" s="165">
        <v>0</v>
      </c>
      <c r="DD29" s="2"/>
      <c r="DE29" s="156" t="s">
        <v>4</v>
      </c>
      <c r="DF29" s="187"/>
      <c r="DG29" s="187"/>
      <c r="DH29" s="187"/>
      <c r="DI29" s="157"/>
      <c r="DJ29" s="156" t="s">
        <v>5</v>
      </c>
      <c r="DK29" s="157"/>
      <c r="DM29" s="102" t="s">
        <v>6</v>
      </c>
      <c r="DN29" s="143" t="s">
        <v>7</v>
      </c>
      <c r="DO29" s="165">
        <v>0</v>
      </c>
      <c r="DP29" s="2"/>
      <c r="DQ29" s="156" t="s">
        <v>4</v>
      </c>
      <c r="DR29" s="187"/>
      <c r="DS29" s="187"/>
      <c r="DT29" s="187"/>
      <c r="DU29" s="157"/>
      <c r="DV29" s="156" t="s">
        <v>5</v>
      </c>
      <c r="DW29" s="157"/>
      <c r="DY29" s="102" t="s">
        <v>6</v>
      </c>
      <c r="DZ29" s="143" t="s">
        <v>7</v>
      </c>
      <c r="EA29" s="165">
        <v>0</v>
      </c>
      <c r="EC29" s="156" t="s">
        <v>4</v>
      </c>
      <c r="ED29" s="187"/>
      <c r="EE29" s="187"/>
      <c r="EF29" s="187"/>
      <c r="EG29" s="157"/>
      <c r="EH29" s="156" t="s">
        <v>5</v>
      </c>
      <c r="EI29" s="157"/>
      <c r="EK29" s="102" t="s">
        <v>6</v>
      </c>
      <c r="EL29" s="143" t="s">
        <v>7</v>
      </c>
      <c r="EM29" s="165">
        <v>0</v>
      </c>
      <c r="EO29" s="156" t="s">
        <v>4</v>
      </c>
      <c r="EP29" s="187"/>
      <c r="EQ29" s="187"/>
      <c r="ER29" s="187"/>
      <c r="ES29" s="157"/>
      <c r="ET29" s="156" t="s">
        <v>5</v>
      </c>
      <c r="EU29" s="157"/>
      <c r="EW29" s="121" t="s">
        <v>6</v>
      </c>
      <c r="EX29" s="229" t="s">
        <v>7</v>
      </c>
      <c r="EY29" s="229">
        <f>K29+W29+AI29+AU29+BG29+BS29+CE29+CQ29+DC29+DO29+EA29+EM29</f>
        <v>1534</v>
      </c>
    </row>
    <row r="30" spans="1:156" ht="17.100000000000001" customHeight="1" thickTop="1" thickBot="1" x14ac:dyDescent="0.25">
      <c r="A30" s="111" t="s">
        <v>8</v>
      </c>
      <c r="B30" s="174"/>
      <c r="C30" s="174"/>
      <c r="D30" s="155" t="s">
        <v>9</v>
      </c>
      <c r="E30" s="141"/>
      <c r="F30" s="190">
        <v>0</v>
      </c>
      <c r="G30" s="191"/>
      <c r="I30" s="103"/>
      <c r="J30" s="140"/>
      <c r="K30" s="203"/>
      <c r="M30" s="111" t="s">
        <v>8</v>
      </c>
      <c r="N30" s="174"/>
      <c r="O30" s="174"/>
      <c r="P30" s="155" t="s">
        <v>9</v>
      </c>
      <c r="Q30" s="141"/>
      <c r="R30" s="190">
        <v>0</v>
      </c>
      <c r="S30" s="191"/>
      <c r="U30" s="103"/>
      <c r="V30" s="140"/>
      <c r="W30" s="166"/>
      <c r="Y30" s="111" t="s">
        <v>8</v>
      </c>
      <c r="Z30" s="174"/>
      <c r="AA30" s="174"/>
      <c r="AB30" s="155" t="s">
        <v>9</v>
      </c>
      <c r="AC30" s="141"/>
      <c r="AD30" s="190">
        <v>0</v>
      </c>
      <c r="AE30" s="191"/>
      <c r="AG30" s="103"/>
      <c r="AH30" s="140"/>
      <c r="AI30" s="166"/>
      <c r="AK30" s="111" t="s">
        <v>8</v>
      </c>
      <c r="AL30" s="174"/>
      <c r="AM30" s="174"/>
      <c r="AN30" s="155" t="s">
        <v>9</v>
      </c>
      <c r="AO30" s="141"/>
      <c r="AP30" s="190">
        <v>0</v>
      </c>
      <c r="AQ30" s="191"/>
      <c r="AS30" s="103"/>
      <c r="AT30" s="140"/>
      <c r="AU30" s="222"/>
      <c r="AW30" s="111" t="s">
        <v>8</v>
      </c>
      <c r="AX30" s="174"/>
      <c r="AY30" s="174"/>
      <c r="AZ30" s="155" t="s">
        <v>9</v>
      </c>
      <c r="BA30" s="141"/>
      <c r="BB30" s="190">
        <v>0</v>
      </c>
      <c r="BC30" s="191"/>
      <c r="BE30" s="103"/>
      <c r="BF30" s="140"/>
      <c r="BG30" s="166"/>
      <c r="BI30" s="111" t="s">
        <v>8</v>
      </c>
      <c r="BJ30" s="174"/>
      <c r="BK30" s="174"/>
      <c r="BL30" s="155" t="s">
        <v>9</v>
      </c>
      <c r="BM30" s="141"/>
      <c r="BN30" s="190">
        <v>0</v>
      </c>
      <c r="BO30" s="191"/>
      <c r="BQ30" s="103"/>
      <c r="BR30" s="140"/>
      <c r="BS30" s="166"/>
      <c r="BU30" s="111" t="s">
        <v>8</v>
      </c>
      <c r="BV30" s="174"/>
      <c r="BW30" s="174"/>
      <c r="BX30" s="155" t="s">
        <v>9</v>
      </c>
      <c r="BY30" s="141"/>
      <c r="BZ30" s="190">
        <v>0</v>
      </c>
      <c r="CA30" s="191"/>
      <c r="CC30" s="103"/>
      <c r="CD30" s="140"/>
      <c r="CE30" s="166"/>
      <c r="CG30" s="111" t="s">
        <v>8</v>
      </c>
      <c r="CH30" s="174"/>
      <c r="CI30" s="174"/>
      <c r="CJ30" s="155" t="s">
        <v>9</v>
      </c>
      <c r="CK30" s="141"/>
      <c r="CL30" s="210">
        <v>0</v>
      </c>
      <c r="CM30" s="211"/>
      <c r="CO30" s="103"/>
      <c r="CP30" s="140"/>
      <c r="CQ30" s="166"/>
      <c r="CS30" s="111" t="s">
        <v>8</v>
      </c>
      <c r="CT30" s="174"/>
      <c r="CU30" s="174"/>
      <c r="CV30" s="155" t="s">
        <v>9</v>
      </c>
      <c r="CW30" s="141"/>
      <c r="CX30" s="155">
        <v>0</v>
      </c>
      <c r="CY30" s="141"/>
      <c r="DA30" s="103"/>
      <c r="DB30" s="140"/>
      <c r="DC30" s="166"/>
      <c r="DD30" s="2"/>
      <c r="DE30" s="111" t="s">
        <v>8</v>
      </c>
      <c r="DF30" s="174"/>
      <c r="DG30" s="174"/>
      <c r="DH30" s="155" t="s">
        <v>9</v>
      </c>
      <c r="DI30" s="141"/>
      <c r="DJ30" s="155">
        <v>0</v>
      </c>
      <c r="DK30" s="141"/>
      <c r="DM30" s="103"/>
      <c r="DN30" s="140"/>
      <c r="DO30" s="166"/>
      <c r="DP30" s="2"/>
      <c r="DQ30" s="111" t="s">
        <v>8</v>
      </c>
      <c r="DR30" s="174"/>
      <c r="DS30" s="174"/>
      <c r="DT30" s="155" t="s">
        <v>9</v>
      </c>
      <c r="DU30" s="141"/>
      <c r="DV30" s="155">
        <v>0</v>
      </c>
      <c r="DW30" s="141"/>
      <c r="DY30" s="103"/>
      <c r="DZ30" s="140"/>
      <c r="EA30" s="166"/>
      <c r="EC30" s="111" t="s">
        <v>8</v>
      </c>
      <c r="ED30" s="174"/>
      <c r="EE30" s="174"/>
      <c r="EF30" s="155" t="s">
        <v>9</v>
      </c>
      <c r="EG30" s="141"/>
      <c r="EH30" s="155">
        <v>0</v>
      </c>
      <c r="EI30" s="141"/>
      <c r="EK30" s="103"/>
      <c r="EL30" s="140"/>
      <c r="EM30" s="166"/>
      <c r="EO30" s="111" t="s">
        <v>8</v>
      </c>
      <c r="EP30" s="174"/>
      <c r="EQ30" s="124"/>
      <c r="ER30" s="155" t="s">
        <v>9</v>
      </c>
      <c r="ES30" s="141"/>
      <c r="ET30" s="156">
        <f>F30+R30+AD30+AP30+BB30+BN30+BZ30+CL30+CX30+DJ30+DV30+EH30</f>
        <v>0</v>
      </c>
      <c r="EU30" s="157"/>
      <c r="EW30" s="122"/>
      <c r="EX30" s="139"/>
      <c r="EY30" s="237"/>
    </row>
    <row r="31" spans="1:156" ht="17.100000000000001" customHeight="1" thickBot="1" x14ac:dyDescent="0.25">
      <c r="A31" s="113"/>
      <c r="B31" s="175"/>
      <c r="C31" s="175"/>
      <c r="D31" s="154" t="s">
        <v>10</v>
      </c>
      <c r="E31" s="142"/>
      <c r="F31" s="182">
        <v>0</v>
      </c>
      <c r="G31" s="183"/>
      <c r="I31" s="103"/>
      <c r="J31" s="140" t="s">
        <v>11</v>
      </c>
      <c r="K31" s="166">
        <v>152</v>
      </c>
      <c r="M31" s="113"/>
      <c r="N31" s="175"/>
      <c r="O31" s="175"/>
      <c r="P31" s="154" t="s">
        <v>10</v>
      </c>
      <c r="Q31" s="142"/>
      <c r="R31" s="182">
        <v>0</v>
      </c>
      <c r="S31" s="183"/>
      <c r="U31" s="103"/>
      <c r="V31" s="140" t="s">
        <v>11</v>
      </c>
      <c r="W31" s="166">
        <v>152</v>
      </c>
      <c r="Y31" s="113"/>
      <c r="Z31" s="175"/>
      <c r="AA31" s="175"/>
      <c r="AB31" s="154" t="s">
        <v>10</v>
      </c>
      <c r="AC31" s="142"/>
      <c r="AD31" s="182">
        <v>15</v>
      </c>
      <c r="AE31" s="183"/>
      <c r="AG31" s="103"/>
      <c r="AH31" s="140" t="s">
        <v>11</v>
      </c>
      <c r="AI31" s="166">
        <v>98</v>
      </c>
      <c r="AK31" s="113"/>
      <c r="AL31" s="175"/>
      <c r="AM31" s="175"/>
      <c r="AN31" s="154" t="s">
        <v>10</v>
      </c>
      <c r="AO31" s="142"/>
      <c r="AP31" s="182">
        <v>13</v>
      </c>
      <c r="AQ31" s="183"/>
      <c r="AS31" s="103"/>
      <c r="AT31" s="140" t="s">
        <v>11</v>
      </c>
      <c r="AU31" s="166">
        <v>186</v>
      </c>
      <c r="AW31" s="113"/>
      <c r="AX31" s="175"/>
      <c r="AY31" s="175"/>
      <c r="AZ31" s="154" t="s">
        <v>10</v>
      </c>
      <c r="BA31" s="142"/>
      <c r="BB31" s="182">
        <v>7</v>
      </c>
      <c r="BC31" s="183"/>
      <c r="BE31" s="103"/>
      <c r="BF31" s="140" t="s">
        <v>11</v>
      </c>
      <c r="BG31" s="166">
        <v>89</v>
      </c>
      <c r="BI31" s="113"/>
      <c r="BJ31" s="175"/>
      <c r="BK31" s="175"/>
      <c r="BL31" s="154" t="s">
        <v>10</v>
      </c>
      <c r="BM31" s="142"/>
      <c r="BN31" s="182">
        <v>25</v>
      </c>
      <c r="BO31" s="183"/>
      <c r="BQ31" s="103"/>
      <c r="BR31" s="140" t="s">
        <v>11</v>
      </c>
      <c r="BS31" s="166">
        <v>361</v>
      </c>
      <c r="BU31" s="113"/>
      <c r="BV31" s="175"/>
      <c r="BW31" s="175"/>
      <c r="BX31" s="154" t="s">
        <v>10</v>
      </c>
      <c r="BY31" s="142"/>
      <c r="BZ31" s="182">
        <v>0</v>
      </c>
      <c r="CA31" s="183"/>
      <c r="CC31" s="103"/>
      <c r="CD31" s="140" t="s">
        <v>11</v>
      </c>
      <c r="CE31" s="166">
        <v>173</v>
      </c>
      <c r="CG31" s="113"/>
      <c r="CH31" s="175"/>
      <c r="CI31" s="175"/>
      <c r="CJ31" s="154" t="s">
        <v>10</v>
      </c>
      <c r="CK31" s="142"/>
      <c r="CL31" s="212">
        <v>25</v>
      </c>
      <c r="CM31" s="213"/>
      <c r="CO31" s="103"/>
      <c r="CP31" s="140" t="s">
        <v>11</v>
      </c>
      <c r="CQ31" s="166">
        <v>361</v>
      </c>
      <c r="CS31" s="113"/>
      <c r="CT31" s="175"/>
      <c r="CU31" s="175"/>
      <c r="CV31" s="154" t="s">
        <v>10</v>
      </c>
      <c r="CW31" s="142"/>
      <c r="CX31" s="154">
        <v>0</v>
      </c>
      <c r="CY31" s="142"/>
      <c r="DA31" s="103"/>
      <c r="DB31" s="140" t="s">
        <v>11</v>
      </c>
      <c r="DC31" s="166">
        <v>0</v>
      </c>
      <c r="DD31" s="2"/>
      <c r="DE31" s="113"/>
      <c r="DF31" s="175"/>
      <c r="DG31" s="175"/>
      <c r="DH31" s="154" t="s">
        <v>10</v>
      </c>
      <c r="DI31" s="142"/>
      <c r="DJ31" s="154">
        <v>0</v>
      </c>
      <c r="DK31" s="142"/>
      <c r="DM31" s="103"/>
      <c r="DN31" s="140" t="s">
        <v>11</v>
      </c>
      <c r="DO31" s="166">
        <v>0</v>
      </c>
      <c r="DP31" s="2"/>
      <c r="DQ31" s="113"/>
      <c r="DR31" s="175"/>
      <c r="DS31" s="175"/>
      <c r="DT31" s="154" t="s">
        <v>10</v>
      </c>
      <c r="DU31" s="142"/>
      <c r="DV31" s="154">
        <v>0</v>
      </c>
      <c r="DW31" s="142"/>
      <c r="DY31" s="103"/>
      <c r="DZ31" s="140" t="s">
        <v>11</v>
      </c>
      <c r="EA31" s="166">
        <v>0</v>
      </c>
      <c r="EC31" s="113"/>
      <c r="ED31" s="175"/>
      <c r="EE31" s="175"/>
      <c r="EF31" s="154" t="s">
        <v>10</v>
      </c>
      <c r="EG31" s="142"/>
      <c r="EH31" s="154">
        <v>0</v>
      </c>
      <c r="EI31" s="142"/>
      <c r="EK31" s="103"/>
      <c r="EL31" s="140" t="s">
        <v>11</v>
      </c>
      <c r="EM31" s="166">
        <v>0</v>
      </c>
      <c r="EO31" s="113"/>
      <c r="EP31" s="175"/>
      <c r="EQ31" s="112"/>
      <c r="ER31" s="154" t="s">
        <v>10</v>
      </c>
      <c r="ES31" s="142"/>
      <c r="ET31" s="156">
        <f t="shared" ref="ET31:ET51" si="2">F31+R31+AD31+AP31+BB31+BN31+BZ31+CL31+CX31+DJ31+DV31+EH31</f>
        <v>85</v>
      </c>
      <c r="EU31" s="157"/>
      <c r="EW31" s="122"/>
      <c r="EX31" s="238" t="s">
        <v>11</v>
      </c>
      <c r="EY31" s="229">
        <f>K31+W31+AI31+AU31+BG31+BS31+CE31+CQ31+DC31+DO31+EA31+EM31</f>
        <v>1572</v>
      </c>
    </row>
    <row r="32" spans="1:156" ht="17.100000000000001" customHeight="1" thickBot="1" x14ac:dyDescent="0.25">
      <c r="A32" s="125"/>
      <c r="B32" s="176"/>
      <c r="C32" s="176"/>
      <c r="D32" s="177" t="s">
        <v>12</v>
      </c>
      <c r="E32" s="178"/>
      <c r="F32" s="192">
        <v>0</v>
      </c>
      <c r="G32" s="193"/>
      <c r="I32" s="151"/>
      <c r="J32" s="144"/>
      <c r="K32" s="180"/>
      <c r="M32" s="125"/>
      <c r="N32" s="176"/>
      <c r="O32" s="176"/>
      <c r="P32" s="177" t="s">
        <v>12</v>
      </c>
      <c r="Q32" s="178"/>
      <c r="R32" s="192">
        <v>0</v>
      </c>
      <c r="S32" s="193"/>
      <c r="U32" s="151"/>
      <c r="V32" s="144"/>
      <c r="W32" s="180"/>
      <c r="Y32" s="125"/>
      <c r="Z32" s="176"/>
      <c r="AA32" s="176"/>
      <c r="AB32" s="177" t="s">
        <v>12</v>
      </c>
      <c r="AC32" s="178"/>
      <c r="AD32" s="192">
        <v>0</v>
      </c>
      <c r="AE32" s="193"/>
      <c r="AG32" s="151"/>
      <c r="AH32" s="144"/>
      <c r="AI32" s="180"/>
      <c r="AK32" s="125"/>
      <c r="AL32" s="176"/>
      <c r="AM32" s="176"/>
      <c r="AN32" s="177" t="s">
        <v>12</v>
      </c>
      <c r="AO32" s="178"/>
      <c r="AP32" s="192">
        <v>0</v>
      </c>
      <c r="AQ32" s="193"/>
      <c r="AS32" s="151"/>
      <c r="AT32" s="144"/>
      <c r="AU32" s="180"/>
      <c r="AW32" s="125"/>
      <c r="AX32" s="176"/>
      <c r="AY32" s="176"/>
      <c r="AZ32" s="177" t="s">
        <v>12</v>
      </c>
      <c r="BA32" s="178"/>
      <c r="BB32" s="192">
        <v>0</v>
      </c>
      <c r="BC32" s="193"/>
      <c r="BE32" s="151"/>
      <c r="BF32" s="144"/>
      <c r="BG32" s="180"/>
      <c r="BI32" s="125"/>
      <c r="BJ32" s="176"/>
      <c r="BK32" s="176"/>
      <c r="BL32" s="177" t="s">
        <v>12</v>
      </c>
      <c r="BM32" s="178"/>
      <c r="BN32" s="192">
        <v>0</v>
      </c>
      <c r="BO32" s="193"/>
      <c r="BQ32" s="151"/>
      <c r="BR32" s="144"/>
      <c r="BS32" s="180"/>
      <c r="BU32" s="125"/>
      <c r="BV32" s="176"/>
      <c r="BW32" s="176"/>
      <c r="BX32" s="177" t="s">
        <v>12</v>
      </c>
      <c r="BY32" s="178"/>
      <c r="BZ32" s="192">
        <v>0</v>
      </c>
      <c r="CA32" s="193"/>
      <c r="CC32" s="151"/>
      <c r="CD32" s="144"/>
      <c r="CE32" s="180"/>
      <c r="CG32" s="125"/>
      <c r="CH32" s="176"/>
      <c r="CI32" s="176"/>
      <c r="CJ32" s="177" t="s">
        <v>12</v>
      </c>
      <c r="CK32" s="178"/>
      <c r="CL32" s="214">
        <v>0</v>
      </c>
      <c r="CM32" s="215"/>
      <c r="CO32" s="151"/>
      <c r="CP32" s="144"/>
      <c r="CQ32" s="180"/>
      <c r="CS32" s="125"/>
      <c r="CT32" s="176"/>
      <c r="CU32" s="176"/>
      <c r="CV32" s="177" t="s">
        <v>12</v>
      </c>
      <c r="CW32" s="178"/>
      <c r="CX32" s="177">
        <v>0</v>
      </c>
      <c r="CY32" s="178"/>
      <c r="DA32" s="151"/>
      <c r="DB32" s="144"/>
      <c r="DC32" s="180"/>
      <c r="DD32" s="2"/>
      <c r="DE32" s="125"/>
      <c r="DF32" s="176"/>
      <c r="DG32" s="176"/>
      <c r="DH32" s="177" t="s">
        <v>12</v>
      </c>
      <c r="DI32" s="178"/>
      <c r="DJ32" s="177">
        <v>0</v>
      </c>
      <c r="DK32" s="178"/>
      <c r="DM32" s="151"/>
      <c r="DN32" s="144"/>
      <c r="DO32" s="180"/>
      <c r="DP32" s="2"/>
      <c r="DQ32" s="125"/>
      <c r="DR32" s="176"/>
      <c r="DS32" s="176"/>
      <c r="DT32" s="177" t="s">
        <v>12</v>
      </c>
      <c r="DU32" s="178"/>
      <c r="DV32" s="177">
        <v>0</v>
      </c>
      <c r="DW32" s="178"/>
      <c r="DY32" s="151"/>
      <c r="DZ32" s="144"/>
      <c r="EA32" s="180"/>
      <c r="EC32" s="125"/>
      <c r="ED32" s="176"/>
      <c r="EE32" s="176"/>
      <c r="EF32" s="177" t="s">
        <v>12</v>
      </c>
      <c r="EG32" s="178"/>
      <c r="EH32" s="177">
        <v>0</v>
      </c>
      <c r="EI32" s="178"/>
      <c r="EK32" s="151"/>
      <c r="EL32" s="144"/>
      <c r="EM32" s="180"/>
      <c r="EO32" s="125"/>
      <c r="EP32" s="176"/>
      <c r="EQ32" s="126"/>
      <c r="ER32" s="177" t="s">
        <v>12</v>
      </c>
      <c r="ES32" s="178"/>
      <c r="ET32" s="156">
        <f t="shared" si="2"/>
        <v>0</v>
      </c>
      <c r="EU32" s="157"/>
      <c r="EW32" s="123"/>
      <c r="EX32" s="237"/>
      <c r="EY32" s="237"/>
    </row>
    <row r="33" spans="1:155" ht="17.100000000000001" customHeight="1" thickTop="1" thickBot="1" x14ac:dyDescent="0.25">
      <c r="A33" s="158" t="s">
        <v>13</v>
      </c>
      <c r="B33" s="111" t="s">
        <v>14</v>
      </c>
      <c r="C33" s="174"/>
      <c r="D33" s="155" t="s">
        <v>29</v>
      </c>
      <c r="E33" s="141"/>
      <c r="F33" s="190">
        <v>51</v>
      </c>
      <c r="G33" s="191"/>
      <c r="I33" s="102" t="s">
        <v>15</v>
      </c>
      <c r="J33" s="143" t="s">
        <v>7</v>
      </c>
      <c r="K33" s="165">
        <v>14</v>
      </c>
      <c r="M33" s="158" t="s">
        <v>13</v>
      </c>
      <c r="N33" s="111" t="s">
        <v>14</v>
      </c>
      <c r="O33" s="174"/>
      <c r="P33" s="155" t="s">
        <v>29</v>
      </c>
      <c r="Q33" s="141"/>
      <c r="R33" s="190">
        <v>13</v>
      </c>
      <c r="S33" s="191"/>
      <c r="U33" s="102" t="s">
        <v>15</v>
      </c>
      <c r="V33" s="143" t="s">
        <v>7</v>
      </c>
      <c r="W33" s="165">
        <v>26</v>
      </c>
      <c r="Y33" s="158" t="s">
        <v>13</v>
      </c>
      <c r="Z33" s="111" t="s">
        <v>14</v>
      </c>
      <c r="AA33" s="174"/>
      <c r="AB33" s="155" t="s">
        <v>29</v>
      </c>
      <c r="AC33" s="141"/>
      <c r="AD33" s="190">
        <v>20</v>
      </c>
      <c r="AE33" s="191"/>
      <c r="AG33" s="102" t="s">
        <v>15</v>
      </c>
      <c r="AH33" s="143" t="s">
        <v>7</v>
      </c>
      <c r="AI33" s="165">
        <v>23</v>
      </c>
      <c r="AK33" s="158" t="s">
        <v>13</v>
      </c>
      <c r="AL33" s="111" t="s">
        <v>14</v>
      </c>
      <c r="AM33" s="174"/>
      <c r="AN33" s="155" t="s">
        <v>29</v>
      </c>
      <c r="AO33" s="141"/>
      <c r="AP33" s="190">
        <v>48</v>
      </c>
      <c r="AQ33" s="191"/>
      <c r="AS33" s="102" t="s">
        <v>15</v>
      </c>
      <c r="AT33" s="143" t="s">
        <v>7</v>
      </c>
      <c r="AU33" s="165">
        <v>39</v>
      </c>
      <c r="AW33" s="158" t="s">
        <v>13</v>
      </c>
      <c r="AX33" s="111" t="s">
        <v>14</v>
      </c>
      <c r="AY33" s="174"/>
      <c r="AZ33" s="155" t="s">
        <v>29</v>
      </c>
      <c r="BA33" s="141"/>
      <c r="BB33" s="190">
        <v>15</v>
      </c>
      <c r="BC33" s="191"/>
      <c r="BE33" s="102" t="s">
        <v>15</v>
      </c>
      <c r="BF33" s="143" t="s">
        <v>7</v>
      </c>
      <c r="BG33" s="165">
        <v>20</v>
      </c>
      <c r="BI33" s="158" t="s">
        <v>13</v>
      </c>
      <c r="BJ33" s="111" t="s">
        <v>14</v>
      </c>
      <c r="BK33" s="174"/>
      <c r="BL33" s="155" t="s">
        <v>29</v>
      </c>
      <c r="BM33" s="141"/>
      <c r="BN33" s="190">
        <v>9</v>
      </c>
      <c r="BO33" s="191"/>
      <c r="BQ33" s="102" t="s">
        <v>15</v>
      </c>
      <c r="BR33" s="143" t="s">
        <v>7</v>
      </c>
      <c r="BS33" s="165">
        <v>45</v>
      </c>
      <c r="BU33" s="158" t="s">
        <v>13</v>
      </c>
      <c r="BV33" s="111" t="s">
        <v>14</v>
      </c>
      <c r="BW33" s="174"/>
      <c r="BX33" s="155" t="s">
        <v>29</v>
      </c>
      <c r="BY33" s="141"/>
      <c r="BZ33" s="190">
        <v>37</v>
      </c>
      <c r="CA33" s="191"/>
      <c r="CC33" s="102" t="s">
        <v>15</v>
      </c>
      <c r="CD33" s="143" t="s">
        <v>7</v>
      </c>
      <c r="CE33" s="165">
        <v>44</v>
      </c>
      <c r="CG33" s="158" t="s">
        <v>13</v>
      </c>
      <c r="CH33" s="111" t="s">
        <v>14</v>
      </c>
      <c r="CI33" s="174"/>
      <c r="CJ33" s="155" t="s">
        <v>29</v>
      </c>
      <c r="CK33" s="141"/>
      <c r="CL33" s="210">
        <v>9</v>
      </c>
      <c r="CM33" s="211"/>
      <c r="CO33" s="102" t="s">
        <v>15</v>
      </c>
      <c r="CP33" s="143" t="s">
        <v>7</v>
      </c>
      <c r="CQ33" s="165">
        <v>45</v>
      </c>
      <c r="CS33" s="158" t="s">
        <v>13</v>
      </c>
      <c r="CT33" s="111" t="s">
        <v>14</v>
      </c>
      <c r="CU33" s="174"/>
      <c r="CV33" s="155" t="s">
        <v>29</v>
      </c>
      <c r="CW33" s="141"/>
      <c r="CX33" s="155">
        <v>0</v>
      </c>
      <c r="CY33" s="141"/>
      <c r="DA33" s="102" t="s">
        <v>15</v>
      </c>
      <c r="DB33" s="143" t="s">
        <v>7</v>
      </c>
      <c r="DC33" s="165">
        <v>0</v>
      </c>
      <c r="DD33" s="2"/>
      <c r="DE33" s="158" t="s">
        <v>13</v>
      </c>
      <c r="DF33" s="111" t="s">
        <v>14</v>
      </c>
      <c r="DG33" s="174"/>
      <c r="DH33" s="155" t="s">
        <v>29</v>
      </c>
      <c r="DI33" s="141"/>
      <c r="DJ33" s="155">
        <v>0</v>
      </c>
      <c r="DK33" s="141"/>
      <c r="DM33" s="102" t="s">
        <v>15</v>
      </c>
      <c r="DN33" s="143" t="s">
        <v>7</v>
      </c>
      <c r="DO33" s="165">
        <v>0</v>
      </c>
      <c r="DP33" s="2"/>
      <c r="DQ33" s="158" t="s">
        <v>13</v>
      </c>
      <c r="DR33" s="111" t="s">
        <v>14</v>
      </c>
      <c r="DS33" s="174"/>
      <c r="DT33" s="155" t="s">
        <v>29</v>
      </c>
      <c r="DU33" s="141"/>
      <c r="DV33" s="155">
        <v>0</v>
      </c>
      <c r="DW33" s="141"/>
      <c r="DY33" s="102" t="s">
        <v>15</v>
      </c>
      <c r="DZ33" s="143" t="s">
        <v>7</v>
      </c>
      <c r="EA33" s="165">
        <v>0</v>
      </c>
      <c r="EC33" s="158" t="s">
        <v>13</v>
      </c>
      <c r="ED33" s="111" t="s">
        <v>14</v>
      </c>
      <c r="EE33" s="174"/>
      <c r="EF33" s="155" t="s">
        <v>29</v>
      </c>
      <c r="EG33" s="141"/>
      <c r="EH33" s="155">
        <v>0</v>
      </c>
      <c r="EI33" s="141"/>
      <c r="EK33" s="102" t="s">
        <v>15</v>
      </c>
      <c r="EL33" s="143" t="s">
        <v>7</v>
      </c>
      <c r="EM33" s="165">
        <v>0</v>
      </c>
      <c r="EO33" s="232" t="s">
        <v>13</v>
      </c>
      <c r="EP33" s="111" t="s">
        <v>14</v>
      </c>
      <c r="EQ33" s="124"/>
      <c r="ER33" s="155" t="s">
        <v>29</v>
      </c>
      <c r="ES33" s="141"/>
      <c r="ET33" s="156">
        <f t="shared" si="2"/>
        <v>202</v>
      </c>
      <c r="EU33" s="157"/>
      <c r="EW33" s="121" t="s">
        <v>15</v>
      </c>
      <c r="EX33" s="229" t="s">
        <v>7</v>
      </c>
      <c r="EY33" s="229">
        <f>K33+W33+AI33+AU33+BG33+BS33+CE33+CQ33+DC33+DO33+EA33+EM33</f>
        <v>256</v>
      </c>
    </row>
    <row r="34" spans="1:155" ht="17.100000000000001" customHeight="1" thickBot="1" x14ac:dyDescent="0.25">
      <c r="A34" s="159"/>
      <c r="B34" s="113"/>
      <c r="C34" s="175"/>
      <c r="D34" s="154" t="s">
        <v>16</v>
      </c>
      <c r="E34" s="142"/>
      <c r="F34" s="182">
        <v>20</v>
      </c>
      <c r="G34" s="183"/>
      <c r="I34" s="103"/>
      <c r="J34" s="140"/>
      <c r="K34" s="166"/>
      <c r="M34" s="159"/>
      <c r="N34" s="113"/>
      <c r="O34" s="175"/>
      <c r="P34" s="154" t="s">
        <v>16</v>
      </c>
      <c r="Q34" s="142"/>
      <c r="R34" s="182">
        <v>8</v>
      </c>
      <c r="S34" s="183"/>
      <c r="U34" s="103"/>
      <c r="V34" s="140"/>
      <c r="W34" s="166"/>
      <c r="Y34" s="159"/>
      <c r="Z34" s="113"/>
      <c r="AA34" s="175"/>
      <c r="AB34" s="154" t="s">
        <v>16</v>
      </c>
      <c r="AC34" s="142"/>
      <c r="AD34" s="182">
        <v>15</v>
      </c>
      <c r="AE34" s="183"/>
      <c r="AG34" s="103"/>
      <c r="AH34" s="140"/>
      <c r="AI34" s="166"/>
      <c r="AK34" s="159"/>
      <c r="AL34" s="113"/>
      <c r="AM34" s="175"/>
      <c r="AN34" s="154" t="s">
        <v>16</v>
      </c>
      <c r="AO34" s="142"/>
      <c r="AP34" s="182">
        <v>26</v>
      </c>
      <c r="AQ34" s="183"/>
      <c r="AS34" s="103"/>
      <c r="AT34" s="140"/>
      <c r="AU34" s="166"/>
      <c r="AW34" s="159"/>
      <c r="AX34" s="113"/>
      <c r="AY34" s="175"/>
      <c r="AZ34" s="154" t="s">
        <v>16</v>
      </c>
      <c r="BA34" s="142"/>
      <c r="BB34" s="182">
        <v>24</v>
      </c>
      <c r="BC34" s="183"/>
      <c r="BE34" s="103"/>
      <c r="BF34" s="140"/>
      <c r="BG34" s="166"/>
      <c r="BI34" s="159"/>
      <c r="BJ34" s="113"/>
      <c r="BK34" s="175"/>
      <c r="BL34" s="154" t="s">
        <v>16</v>
      </c>
      <c r="BM34" s="142"/>
      <c r="BN34" s="182">
        <v>45</v>
      </c>
      <c r="BO34" s="183"/>
      <c r="BQ34" s="103"/>
      <c r="BR34" s="140"/>
      <c r="BS34" s="166"/>
      <c r="BU34" s="159"/>
      <c r="BV34" s="113"/>
      <c r="BW34" s="175"/>
      <c r="BX34" s="154" t="s">
        <v>16</v>
      </c>
      <c r="BY34" s="142"/>
      <c r="BZ34" s="182">
        <v>24</v>
      </c>
      <c r="CA34" s="183"/>
      <c r="CC34" s="103"/>
      <c r="CD34" s="140"/>
      <c r="CE34" s="166"/>
      <c r="CG34" s="159"/>
      <c r="CH34" s="113"/>
      <c r="CI34" s="175"/>
      <c r="CJ34" s="154" t="s">
        <v>16</v>
      </c>
      <c r="CK34" s="142"/>
      <c r="CL34" s="212">
        <v>45</v>
      </c>
      <c r="CM34" s="213"/>
      <c r="CO34" s="103"/>
      <c r="CP34" s="140"/>
      <c r="CQ34" s="166"/>
      <c r="CS34" s="159"/>
      <c r="CT34" s="113"/>
      <c r="CU34" s="175"/>
      <c r="CV34" s="154" t="s">
        <v>16</v>
      </c>
      <c r="CW34" s="142"/>
      <c r="CX34" s="154">
        <v>0</v>
      </c>
      <c r="CY34" s="142"/>
      <c r="DA34" s="103"/>
      <c r="DB34" s="140"/>
      <c r="DC34" s="166"/>
      <c r="DD34" s="2"/>
      <c r="DE34" s="159"/>
      <c r="DF34" s="113"/>
      <c r="DG34" s="175"/>
      <c r="DH34" s="154" t="s">
        <v>16</v>
      </c>
      <c r="DI34" s="142"/>
      <c r="DJ34" s="154">
        <v>0</v>
      </c>
      <c r="DK34" s="142"/>
      <c r="DM34" s="103"/>
      <c r="DN34" s="140"/>
      <c r="DO34" s="166"/>
      <c r="DP34" s="2"/>
      <c r="DQ34" s="159"/>
      <c r="DR34" s="113"/>
      <c r="DS34" s="175"/>
      <c r="DT34" s="154" t="s">
        <v>16</v>
      </c>
      <c r="DU34" s="142"/>
      <c r="DV34" s="154">
        <v>0</v>
      </c>
      <c r="DW34" s="142"/>
      <c r="DY34" s="103"/>
      <c r="DZ34" s="140"/>
      <c r="EA34" s="166"/>
      <c r="EC34" s="159"/>
      <c r="ED34" s="113"/>
      <c r="EE34" s="175"/>
      <c r="EF34" s="154" t="s">
        <v>16</v>
      </c>
      <c r="EG34" s="142"/>
      <c r="EH34" s="154">
        <v>0</v>
      </c>
      <c r="EI34" s="142"/>
      <c r="EK34" s="103"/>
      <c r="EL34" s="140"/>
      <c r="EM34" s="166"/>
      <c r="EO34" s="233"/>
      <c r="EP34" s="113"/>
      <c r="EQ34" s="112"/>
      <c r="ER34" s="154" t="s">
        <v>16</v>
      </c>
      <c r="ES34" s="142"/>
      <c r="ET34" s="156">
        <f t="shared" si="2"/>
        <v>207</v>
      </c>
      <c r="EU34" s="157"/>
      <c r="EW34" s="122"/>
      <c r="EX34" s="139"/>
      <c r="EY34" s="237"/>
    </row>
    <row r="35" spans="1:155" ht="17.100000000000001" customHeight="1" thickBot="1" x14ac:dyDescent="0.25">
      <c r="A35" s="159"/>
      <c r="B35" s="125"/>
      <c r="C35" s="176"/>
      <c r="D35" s="177" t="s">
        <v>17</v>
      </c>
      <c r="E35" s="178"/>
      <c r="F35" s="192">
        <v>0</v>
      </c>
      <c r="G35" s="193"/>
      <c r="I35" s="103"/>
      <c r="J35" s="140" t="s">
        <v>11</v>
      </c>
      <c r="K35" s="166">
        <v>31</v>
      </c>
      <c r="M35" s="159"/>
      <c r="N35" s="125"/>
      <c r="O35" s="176"/>
      <c r="P35" s="177" t="s">
        <v>17</v>
      </c>
      <c r="Q35" s="178"/>
      <c r="R35" s="192">
        <v>0</v>
      </c>
      <c r="S35" s="193"/>
      <c r="U35" s="103"/>
      <c r="V35" s="140" t="s">
        <v>11</v>
      </c>
      <c r="W35" s="166">
        <v>34</v>
      </c>
      <c r="Y35" s="159"/>
      <c r="Z35" s="125"/>
      <c r="AA35" s="176"/>
      <c r="AB35" s="177" t="s">
        <v>17</v>
      </c>
      <c r="AC35" s="178"/>
      <c r="AD35" s="192">
        <v>0</v>
      </c>
      <c r="AE35" s="193"/>
      <c r="AG35" s="103"/>
      <c r="AH35" s="140" t="s">
        <v>11</v>
      </c>
      <c r="AI35" s="166">
        <v>27</v>
      </c>
      <c r="AK35" s="159"/>
      <c r="AL35" s="125"/>
      <c r="AM35" s="176"/>
      <c r="AN35" s="177" t="s">
        <v>17</v>
      </c>
      <c r="AO35" s="178"/>
      <c r="AP35" s="192">
        <v>0</v>
      </c>
      <c r="AQ35" s="193"/>
      <c r="AS35" s="103"/>
      <c r="AT35" s="140" t="s">
        <v>11</v>
      </c>
      <c r="AU35" s="166">
        <v>52</v>
      </c>
      <c r="AW35" s="159"/>
      <c r="AX35" s="125"/>
      <c r="AY35" s="176"/>
      <c r="AZ35" s="177" t="s">
        <v>17</v>
      </c>
      <c r="BA35" s="178"/>
      <c r="BB35" s="192">
        <v>0</v>
      </c>
      <c r="BC35" s="193"/>
      <c r="BE35" s="103"/>
      <c r="BF35" s="140" t="s">
        <v>11</v>
      </c>
      <c r="BG35" s="166">
        <v>22</v>
      </c>
      <c r="BI35" s="159"/>
      <c r="BJ35" s="125"/>
      <c r="BK35" s="176"/>
      <c r="BL35" s="177" t="s">
        <v>17</v>
      </c>
      <c r="BM35" s="178"/>
      <c r="BN35" s="192">
        <v>0</v>
      </c>
      <c r="BO35" s="193"/>
      <c r="BQ35" s="103"/>
      <c r="BR35" s="140" t="s">
        <v>11</v>
      </c>
      <c r="BS35" s="166">
        <v>33</v>
      </c>
      <c r="BU35" s="159"/>
      <c r="BV35" s="125"/>
      <c r="BW35" s="176"/>
      <c r="BX35" s="177" t="s">
        <v>17</v>
      </c>
      <c r="BY35" s="178"/>
      <c r="BZ35" s="192">
        <v>0</v>
      </c>
      <c r="CA35" s="193"/>
      <c r="CC35" s="103"/>
      <c r="CD35" s="140" t="s">
        <v>11</v>
      </c>
      <c r="CE35" s="166">
        <v>40</v>
      </c>
      <c r="CG35" s="159"/>
      <c r="CH35" s="125"/>
      <c r="CI35" s="176"/>
      <c r="CJ35" s="177" t="s">
        <v>17</v>
      </c>
      <c r="CK35" s="178"/>
      <c r="CL35" s="214">
        <v>0</v>
      </c>
      <c r="CM35" s="215"/>
      <c r="CO35" s="103"/>
      <c r="CP35" s="140" t="s">
        <v>11</v>
      </c>
      <c r="CQ35" s="166">
        <v>33</v>
      </c>
      <c r="CS35" s="159"/>
      <c r="CT35" s="125"/>
      <c r="CU35" s="176"/>
      <c r="CV35" s="177" t="s">
        <v>17</v>
      </c>
      <c r="CW35" s="178"/>
      <c r="CX35" s="177">
        <v>0</v>
      </c>
      <c r="CY35" s="178"/>
      <c r="DA35" s="103"/>
      <c r="DB35" s="140" t="s">
        <v>11</v>
      </c>
      <c r="DC35" s="166">
        <v>0</v>
      </c>
      <c r="DD35" s="2"/>
      <c r="DE35" s="159"/>
      <c r="DF35" s="125"/>
      <c r="DG35" s="176"/>
      <c r="DH35" s="177" t="s">
        <v>17</v>
      </c>
      <c r="DI35" s="178"/>
      <c r="DJ35" s="177">
        <v>0</v>
      </c>
      <c r="DK35" s="178"/>
      <c r="DM35" s="103"/>
      <c r="DN35" s="140" t="s">
        <v>11</v>
      </c>
      <c r="DO35" s="166">
        <v>0</v>
      </c>
      <c r="DP35" s="2"/>
      <c r="DQ35" s="159"/>
      <c r="DR35" s="125"/>
      <c r="DS35" s="176"/>
      <c r="DT35" s="177" t="s">
        <v>17</v>
      </c>
      <c r="DU35" s="178"/>
      <c r="DV35" s="177">
        <v>0</v>
      </c>
      <c r="DW35" s="178"/>
      <c r="DY35" s="103"/>
      <c r="DZ35" s="140" t="s">
        <v>11</v>
      </c>
      <c r="EA35" s="166">
        <v>0</v>
      </c>
      <c r="EC35" s="159"/>
      <c r="ED35" s="125"/>
      <c r="EE35" s="176"/>
      <c r="EF35" s="177" t="s">
        <v>17</v>
      </c>
      <c r="EG35" s="178"/>
      <c r="EH35" s="177">
        <v>0</v>
      </c>
      <c r="EI35" s="178"/>
      <c r="EK35" s="103"/>
      <c r="EL35" s="140" t="s">
        <v>11</v>
      </c>
      <c r="EM35" s="166">
        <v>0</v>
      </c>
      <c r="EO35" s="233"/>
      <c r="EP35" s="125"/>
      <c r="EQ35" s="126"/>
      <c r="ER35" s="177" t="s">
        <v>17</v>
      </c>
      <c r="ES35" s="178"/>
      <c r="ET35" s="156">
        <f t="shared" si="2"/>
        <v>0</v>
      </c>
      <c r="EU35" s="157"/>
      <c r="EW35" s="122"/>
      <c r="EX35" s="238" t="s">
        <v>11</v>
      </c>
      <c r="EY35" s="229">
        <f>K35+W35+AI35+AU35+BG35+BS35+CE35+CQ35+DC35+DO35+EA35+EM35</f>
        <v>272</v>
      </c>
    </row>
    <row r="36" spans="1:155" ht="17.100000000000001" customHeight="1" thickTop="1" thickBot="1" x14ac:dyDescent="0.25">
      <c r="A36" s="159"/>
      <c r="B36" s="111" t="s">
        <v>18</v>
      </c>
      <c r="C36" s="174"/>
      <c r="D36" s="155" t="s">
        <v>19</v>
      </c>
      <c r="E36" s="141"/>
      <c r="F36" s="190">
        <v>0</v>
      </c>
      <c r="G36" s="191"/>
      <c r="I36" s="103"/>
      <c r="J36" s="144"/>
      <c r="K36" s="180"/>
      <c r="M36" s="159"/>
      <c r="N36" s="111" t="s">
        <v>18</v>
      </c>
      <c r="O36" s="174"/>
      <c r="P36" s="155" t="s">
        <v>19</v>
      </c>
      <c r="Q36" s="141"/>
      <c r="R36" s="190">
        <v>0</v>
      </c>
      <c r="S36" s="191"/>
      <c r="U36" s="103"/>
      <c r="V36" s="144"/>
      <c r="W36" s="180"/>
      <c r="Y36" s="159"/>
      <c r="Z36" s="111" t="s">
        <v>18</v>
      </c>
      <c r="AA36" s="174"/>
      <c r="AB36" s="155" t="s">
        <v>19</v>
      </c>
      <c r="AC36" s="141"/>
      <c r="AD36" s="190">
        <v>0</v>
      </c>
      <c r="AE36" s="191"/>
      <c r="AG36" s="103"/>
      <c r="AH36" s="144"/>
      <c r="AI36" s="180"/>
      <c r="AK36" s="159"/>
      <c r="AL36" s="111" t="s">
        <v>18</v>
      </c>
      <c r="AM36" s="174"/>
      <c r="AN36" s="155" t="s">
        <v>19</v>
      </c>
      <c r="AO36" s="141"/>
      <c r="AP36" s="190">
        <v>0</v>
      </c>
      <c r="AQ36" s="191"/>
      <c r="AS36" s="103"/>
      <c r="AT36" s="144"/>
      <c r="AU36" s="180"/>
      <c r="AW36" s="159"/>
      <c r="AX36" s="111" t="s">
        <v>18</v>
      </c>
      <c r="AY36" s="174"/>
      <c r="AZ36" s="155" t="s">
        <v>19</v>
      </c>
      <c r="BA36" s="141"/>
      <c r="BB36" s="190">
        <v>0</v>
      </c>
      <c r="BC36" s="191"/>
      <c r="BE36" s="103"/>
      <c r="BF36" s="144"/>
      <c r="BG36" s="180"/>
      <c r="BI36" s="159"/>
      <c r="BJ36" s="111" t="s">
        <v>18</v>
      </c>
      <c r="BK36" s="174"/>
      <c r="BL36" s="155" t="s">
        <v>19</v>
      </c>
      <c r="BM36" s="141"/>
      <c r="BN36" s="190">
        <v>0</v>
      </c>
      <c r="BO36" s="191"/>
      <c r="BQ36" s="103"/>
      <c r="BR36" s="144"/>
      <c r="BS36" s="180"/>
      <c r="BU36" s="159"/>
      <c r="BV36" s="111" t="s">
        <v>18</v>
      </c>
      <c r="BW36" s="174"/>
      <c r="BX36" s="155" t="s">
        <v>19</v>
      </c>
      <c r="BY36" s="141"/>
      <c r="BZ36" s="190">
        <v>0</v>
      </c>
      <c r="CA36" s="191"/>
      <c r="CC36" s="103"/>
      <c r="CD36" s="144"/>
      <c r="CE36" s="180"/>
      <c r="CG36" s="159"/>
      <c r="CH36" s="111" t="s">
        <v>18</v>
      </c>
      <c r="CI36" s="174"/>
      <c r="CJ36" s="155" t="s">
        <v>19</v>
      </c>
      <c r="CK36" s="141"/>
      <c r="CL36" s="210">
        <v>0</v>
      </c>
      <c r="CM36" s="211"/>
      <c r="CO36" s="103"/>
      <c r="CP36" s="144"/>
      <c r="CQ36" s="180"/>
      <c r="CS36" s="159"/>
      <c r="CT36" s="111" t="s">
        <v>18</v>
      </c>
      <c r="CU36" s="174"/>
      <c r="CV36" s="155" t="s">
        <v>19</v>
      </c>
      <c r="CW36" s="141"/>
      <c r="CX36" s="155">
        <v>0</v>
      </c>
      <c r="CY36" s="141"/>
      <c r="DA36" s="103"/>
      <c r="DB36" s="144"/>
      <c r="DC36" s="180"/>
      <c r="DD36" s="2"/>
      <c r="DE36" s="159"/>
      <c r="DF36" s="111" t="s">
        <v>18</v>
      </c>
      <c r="DG36" s="174"/>
      <c r="DH36" s="155" t="s">
        <v>19</v>
      </c>
      <c r="DI36" s="141"/>
      <c r="DJ36" s="155">
        <v>0</v>
      </c>
      <c r="DK36" s="141"/>
      <c r="DM36" s="103"/>
      <c r="DN36" s="144"/>
      <c r="DO36" s="180"/>
      <c r="DP36" s="2"/>
      <c r="DQ36" s="159"/>
      <c r="DR36" s="111" t="s">
        <v>18</v>
      </c>
      <c r="DS36" s="174"/>
      <c r="DT36" s="155" t="s">
        <v>19</v>
      </c>
      <c r="DU36" s="141"/>
      <c r="DV36" s="155">
        <v>0</v>
      </c>
      <c r="DW36" s="141"/>
      <c r="DY36" s="103"/>
      <c r="DZ36" s="144"/>
      <c r="EA36" s="180"/>
      <c r="EC36" s="159"/>
      <c r="ED36" s="111" t="s">
        <v>18</v>
      </c>
      <c r="EE36" s="174"/>
      <c r="EF36" s="155" t="s">
        <v>19</v>
      </c>
      <c r="EG36" s="141"/>
      <c r="EH36" s="155">
        <v>0</v>
      </c>
      <c r="EI36" s="141"/>
      <c r="EK36" s="103"/>
      <c r="EL36" s="144"/>
      <c r="EM36" s="180"/>
      <c r="EO36" s="233"/>
      <c r="EP36" s="111" t="s">
        <v>18</v>
      </c>
      <c r="EQ36" s="124"/>
      <c r="ER36" s="155" t="s">
        <v>19</v>
      </c>
      <c r="ES36" s="141"/>
      <c r="ET36" s="156">
        <f t="shared" si="2"/>
        <v>0</v>
      </c>
      <c r="EU36" s="157"/>
      <c r="EW36" s="123"/>
      <c r="EX36" s="237"/>
      <c r="EY36" s="139"/>
    </row>
    <row r="37" spans="1:155" ht="17.100000000000001" customHeight="1" thickBot="1" x14ac:dyDescent="0.25">
      <c r="A37" s="159"/>
      <c r="B37" s="125"/>
      <c r="C37" s="176"/>
      <c r="D37" s="177" t="s">
        <v>20</v>
      </c>
      <c r="E37" s="178"/>
      <c r="F37" s="192">
        <v>0</v>
      </c>
      <c r="G37" s="193"/>
      <c r="I37" s="167" t="s">
        <v>21</v>
      </c>
      <c r="J37" s="168"/>
      <c r="K37" s="172">
        <f>SUM(K29:K36)</f>
        <v>290</v>
      </c>
      <c r="M37" s="159"/>
      <c r="N37" s="125"/>
      <c r="O37" s="176"/>
      <c r="P37" s="177" t="s">
        <v>20</v>
      </c>
      <c r="Q37" s="178"/>
      <c r="R37" s="192">
        <v>0</v>
      </c>
      <c r="S37" s="193"/>
      <c r="U37" s="167" t="s">
        <v>21</v>
      </c>
      <c r="V37" s="168"/>
      <c r="W37" s="172">
        <f>SUM(W29:W36)</f>
        <v>299</v>
      </c>
      <c r="Y37" s="159"/>
      <c r="Z37" s="125"/>
      <c r="AA37" s="176"/>
      <c r="AB37" s="177" t="s">
        <v>20</v>
      </c>
      <c r="AC37" s="178"/>
      <c r="AD37" s="192">
        <v>0</v>
      </c>
      <c r="AE37" s="193"/>
      <c r="AG37" s="167" t="s">
        <v>21</v>
      </c>
      <c r="AH37" s="168"/>
      <c r="AI37" s="172">
        <f>SUM(AI29:AI36)</f>
        <v>208</v>
      </c>
      <c r="AK37" s="159"/>
      <c r="AL37" s="125"/>
      <c r="AM37" s="176"/>
      <c r="AN37" s="177" t="s">
        <v>20</v>
      </c>
      <c r="AO37" s="178"/>
      <c r="AP37" s="192">
        <v>0</v>
      </c>
      <c r="AQ37" s="193"/>
      <c r="AS37" s="167" t="s">
        <v>21</v>
      </c>
      <c r="AT37" s="168"/>
      <c r="AU37" s="172">
        <f>SUM(AU29:AU36)</f>
        <v>398</v>
      </c>
      <c r="AW37" s="159"/>
      <c r="AX37" s="125"/>
      <c r="AY37" s="176"/>
      <c r="AZ37" s="177" t="s">
        <v>20</v>
      </c>
      <c r="BA37" s="178"/>
      <c r="BB37" s="192">
        <v>0</v>
      </c>
      <c r="BC37" s="193"/>
      <c r="BE37" s="167" t="s">
        <v>21</v>
      </c>
      <c r="BF37" s="168"/>
      <c r="BG37" s="172">
        <f>SUM(BG29:BG36)</f>
        <v>191</v>
      </c>
      <c r="BI37" s="159"/>
      <c r="BJ37" s="125"/>
      <c r="BK37" s="176"/>
      <c r="BL37" s="177" t="s">
        <v>20</v>
      </c>
      <c r="BM37" s="178"/>
      <c r="BN37" s="192">
        <v>0</v>
      </c>
      <c r="BO37" s="193"/>
      <c r="BQ37" s="167" t="s">
        <v>21</v>
      </c>
      <c r="BR37" s="168"/>
      <c r="BS37" s="172">
        <f>SUM(BS29:BS36)</f>
        <v>953</v>
      </c>
      <c r="BU37" s="159"/>
      <c r="BV37" s="125"/>
      <c r="BW37" s="176"/>
      <c r="BX37" s="177" t="s">
        <v>20</v>
      </c>
      <c r="BY37" s="178"/>
      <c r="BZ37" s="192">
        <v>0</v>
      </c>
      <c r="CA37" s="193"/>
      <c r="CC37" s="167" t="s">
        <v>21</v>
      </c>
      <c r="CD37" s="168"/>
      <c r="CE37" s="172">
        <f>SUM(CE29:CE36)</f>
        <v>342</v>
      </c>
      <c r="CG37" s="159"/>
      <c r="CH37" s="125"/>
      <c r="CI37" s="176"/>
      <c r="CJ37" s="177" t="s">
        <v>20</v>
      </c>
      <c r="CK37" s="178"/>
      <c r="CL37" s="214">
        <v>0</v>
      </c>
      <c r="CM37" s="215"/>
      <c r="CO37" s="167" t="s">
        <v>21</v>
      </c>
      <c r="CP37" s="168"/>
      <c r="CQ37" s="172">
        <f>SUM(CQ29:CQ36)</f>
        <v>953</v>
      </c>
      <c r="CS37" s="159"/>
      <c r="CT37" s="125"/>
      <c r="CU37" s="176"/>
      <c r="CV37" s="177" t="s">
        <v>20</v>
      </c>
      <c r="CW37" s="178"/>
      <c r="CX37" s="177">
        <v>0</v>
      </c>
      <c r="CY37" s="178"/>
      <c r="DA37" s="167" t="s">
        <v>21</v>
      </c>
      <c r="DB37" s="168"/>
      <c r="DC37" s="172">
        <f>SUM(DC29:DC36)</f>
        <v>0</v>
      </c>
      <c r="DD37" s="2"/>
      <c r="DE37" s="159"/>
      <c r="DF37" s="125"/>
      <c r="DG37" s="176"/>
      <c r="DH37" s="177" t="s">
        <v>20</v>
      </c>
      <c r="DI37" s="178"/>
      <c r="DJ37" s="177">
        <v>0</v>
      </c>
      <c r="DK37" s="178"/>
      <c r="DM37" s="167" t="s">
        <v>21</v>
      </c>
      <c r="DN37" s="168"/>
      <c r="DO37" s="172">
        <f>SUM(DO29:DO36)</f>
        <v>0</v>
      </c>
      <c r="DP37" s="2"/>
      <c r="DQ37" s="159"/>
      <c r="DR37" s="125"/>
      <c r="DS37" s="176"/>
      <c r="DT37" s="177" t="s">
        <v>20</v>
      </c>
      <c r="DU37" s="178"/>
      <c r="DV37" s="177">
        <v>0</v>
      </c>
      <c r="DW37" s="178"/>
      <c r="DY37" s="167" t="s">
        <v>21</v>
      </c>
      <c r="DZ37" s="168"/>
      <c r="EA37" s="172">
        <f>SUM(EA29:EA36)</f>
        <v>0</v>
      </c>
      <c r="EC37" s="159"/>
      <c r="ED37" s="125"/>
      <c r="EE37" s="176"/>
      <c r="EF37" s="177" t="s">
        <v>20</v>
      </c>
      <c r="EG37" s="178"/>
      <c r="EH37" s="177">
        <v>0</v>
      </c>
      <c r="EI37" s="178"/>
      <c r="EK37" s="167" t="s">
        <v>21</v>
      </c>
      <c r="EL37" s="168"/>
      <c r="EM37" s="172">
        <f>SUM(EM29:EM36)</f>
        <v>0</v>
      </c>
      <c r="EO37" s="233"/>
      <c r="EP37" s="125"/>
      <c r="EQ37" s="126"/>
      <c r="ER37" s="177" t="s">
        <v>20</v>
      </c>
      <c r="ES37" s="178"/>
      <c r="ET37" s="156">
        <f t="shared" si="2"/>
        <v>0</v>
      </c>
      <c r="EU37" s="157"/>
      <c r="EW37" s="167" t="s">
        <v>21</v>
      </c>
      <c r="EX37" s="239"/>
      <c r="EY37" s="240">
        <f>SUM(EY29:EY36)</f>
        <v>3634</v>
      </c>
    </row>
    <row r="38" spans="1:155" ht="17.100000000000001" customHeight="1" thickTop="1" thickBot="1" x14ac:dyDescent="0.25">
      <c r="A38" s="159"/>
      <c r="B38" s="111" t="s">
        <v>22</v>
      </c>
      <c r="C38" s="174"/>
      <c r="D38" s="155" t="s">
        <v>23</v>
      </c>
      <c r="E38" s="141"/>
      <c r="F38" s="190">
        <v>24</v>
      </c>
      <c r="G38" s="191"/>
      <c r="I38" s="169"/>
      <c r="J38" s="168"/>
      <c r="K38" s="172"/>
      <c r="M38" s="159"/>
      <c r="N38" s="111" t="s">
        <v>22</v>
      </c>
      <c r="O38" s="174"/>
      <c r="P38" s="155" t="s">
        <v>23</v>
      </c>
      <c r="Q38" s="141"/>
      <c r="R38" s="190">
        <v>28</v>
      </c>
      <c r="S38" s="191"/>
      <c r="U38" s="169"/>
      <c r="V38" s="168"/>
      <c r="W38" s="172"/>
      <c r="Y38" s="159"/>
      <c r="Z38" s="111" t="s">
        <v>22</v>
      </c>
      <c r="AA38" s="174"/>
      <c r="AB38" s="155" t="s">
        <v>23</v>
      </c>
      <c r="AC38" s="141"/>
      <c r="AD38" s="190">
        <v>15</v>
      </c>
      <c r="AE38" s="191"/>
      <c r="AG38" s="169"/>
      <c r="AH38" s="168"/>
      <c r="AI38" s="172"/>
      <c r="AK38" s="159"/>
      <c r="AL38" s="111" t="s">
        <v>22</v>
      </c>
      <c r="AM38" s="174"/>
      <c r="AN38" s="155" t="s">
        <v>23</v>
      </c>
      <c r="AO38" s="141"/>
      <c r="AP38" s="190">
        <v>36</v>
      </c>
      <c r="AQ38" s="191"/>
      <c r="AS38" s="169"/>
      <c r="AT38" s="168"/>
      <c r="AU38" s="172"/>
      <c r="AW38" s="159"/>
      <c r="AX38" s="111" t="s">
        <v>22</v>
      </c>
      <c r="AY38" s="174"/>
      <c r="AZ38" s="155" t="s">
        <v>23</v>
      </c>
      <c r="BA38" s="141"/>
      <c r="BB38" s="190">
        <v>7</v>
      </c>
      <c r="BC38" s="191"/>
      <c r="BE38" s="169"/>
      <c r="BF38" s="168"/>
      <c r="BG38" s="172"/>
      <c r="BI38" s="159"/>
      <c r="BJ38" s="111" t="s">
        <v>22</v>
      </c>
      <c r="BK38" s="174"/>
      <c r="BL38" s="155" t="s">
        <v>23</v>
      </c>
      <c r="BM38" s="141"/>
      <c r="BN38" s="190">
        <v>12</v>
      </c>
      <c r="BO38" s="191"/>
      <c r="BQ38" s="169"/>
      <c r="BR38" s="168"/>
      <c r="BS38" s="172"/>
      <c r="BU38" s="159"/>
      <c r="BV38" s="111" t="s">
        <v>22</v>
      </c>
      <c r="BW38" s="174"/>
      <c r="BX38" s="155" t="s">
        <v>23</v>
      </c>
      <c r="BY38" s="141"/>
      <c r="BZ38" s="190">
        <v>32</v>
      </c>
      <c r="CA38" s="191"/>
      <c r="CC38" s="169"/>
      <c r="CD38" s="168"/>
      <c r="CE38" s="172"/>
      <c r="CG38" s="159"/>
      <c r="CH38" s="111" t="s">
        <v>22</v>
      </c>
      <c r="CI38" s="174"/>
      <c r="CJ38" s="155" t="s">
        <v>23</v>
      </c>
      <c r="CK38" s="141"/>
      <c r="CL38" s="210">
        <v>12</v>
      </c>
      <c r="CM38" s="211"/>
      <c r="CO38" s="169"/>
      <c r="CP38" s="168"/>
      <c r="CQ38" s="172"/>
      <c r="CS38" s="159"/>
      <c r="CT38" s="111" t="s">
        <v>22</v>
      </c>
      <c r="CU38" s="174"/>
      <c r="CV38" s="155" t="s">
        <v>23</v>
      </c>
      <c r="CW38" s="141"/>
      <c r="CX38" s="155">
        <v>0</v>
      </c>
      <c r="CY38" s="141"/>
      <c r="DA38" s="169"/>
      <c r="DB38" s="168"/>
      <c r="DC38" s="172"/>
      <c r="DD38" s="2"/>
      <c r="DE38" s="159"/>
      <c r="DF38" s="111" t="s">
        <v>22</v>
      </c>
      <c r="DG38" s="174"/>
      <c r="DH38" s="155" t="s">
        <v>23</v>
      </c>
      <c r="DI38" s="141"/>
      <c r="DJ38" s="155">
        <v>0</v>
      </c>
      <c r="DK38" s="141"/>
      <c r="DM38" s="169"/>
      <c r="DN38" s="168"/>
      <c r="DO38" s="172"/>
      <c r="DP38" s="2"/>
      <c r="DQ38" s="159"/>
      <c r="DR38" s="111" t="s">
        <v>22</v>
      </c>
      <c r="DS38" s="174"/>
      <c r="DT38" s="155" t="s">
        <v>23</v>
      </c>
      <c r="DU38" s="141"/>
      <c r="DV38" s="155">
        <v>0</v>
      </c>
      <c r="DW38" s="141"/>
      <c r="DY38" s="169"/>
      <c r="DZ38" s="168"/>
      <c r="EA38" s="172"/>
      <c r="EC38" s="159"/>
      <c r="ED38" s="111" t="s">
        <v>22</v>
      </c>
      <c r="EE38" s="174"/>
      <c r="EF38" s="155" t="s">
        <v>23</v>
      </c>
      <c r="EG38" s="141"/>
      <c r="EH38" s="155">
        <v>0</v>
      </c>
      <c r="EI38" s="141"/>
      <c r="EK38" s="169"/>
      <c r="EL38" s="168"/>
      <c r="EM38" s="172"/>
      <c r="EO38" s="233"/>
      <c r="EP38" s="111" t="s">
        <v>22</v>
      </c>
      <c r="EQ38" s="124"/>
      <c r="ER38" s="155" t="s">
        <v>23</v>
      </c>
      <c r="ES38" s="141"/>
      <c r="ET38" s="156">
        <f t="shared" si="2"/>
        <v>166</v>
      </c>
      <c r="EU38" s="157"/>
      <c r="EW38" s="169"/>
      <c r="EX38" s="168"/>
      <c r="EY38" s="172"/>
    </row>
    <row r="39" spans="1:155" ht="17.100000000000001" customHeight="1" thickBot="1" x14ac:dyDescent="0.25">
      <c r="A39" s="159"/>
      <c r="B39" s="113"/>
      <c r="C39" s="175"/>
      <c r="D39" s="154" t="s">
        <v>24</v>
      </c>
      <c r="E39" s="142"/>
      <c r="F39" s="182">
        <v>0</v>
      </c>
      <c r="G39" s="183"/>
      <c r="I39" s="170"/>
      <c r="J39" s="171"/>
      <c r="K39" s="173"/>
      <c r="M39" s="159"/>
      <c r="N39" s="113"/>
      <c r="O39" s="175"/>
      <c r="P39" s="154" t="s">
        <v>24</v>
      </c>
      <c r="Q39" s="142"/>
      <c r="R39" s="182">
        <v>0</v>
      </c>
      <c r="S39" s="183"/>
      <c r="U39" s="170"/>
      <c r="V39" s="171"/>
      <c r="W39" s="173"/>
      <c r="Y39" s="159"/>
      <c r="Z39" s="113"/>
      <c r="AA39" s="175"/>
      <c r="AB39" s="154" t="s">
        <v>24</v>
      </c>
      <c r="AC39" s="142"/>
      <c r="AD39" s="182">
        <v>0</v>
      </c>
      <c r="AE39" s="183"/>
      <c r="AG39" s="170"/>
      <c r="AH39" s="171"/>
      <c r="AI39" s="173"/>
      <c r="AK39" s="159"/>
      <c r="AL39" s="113"/>
      <c r="AM39" s="175"/>
      <c r="AN39" s="154" t="s">
        <v>24</v>
      </c>
      <c r="AO39" s="142"/>
      <c r="AP39" s="182">
        <v>0</v>
      </c>
      <c r="AQ39" s="183"/>
      <c r="AS39" s="170"/>
      <c r="AT39" s="171"/>
      <c r="AU39" s="173"/>
      <c r="AW39" s="159"/>
      <c r="AX39" s="113"/>
      <c r="AY39" s="175"/>
      <c r="AZ39" s="154" t="s">
        <v>24</v>
      </c>
      <c r="BA39" s="142"/>
      <c r="BB39" s="182">
        <v>0</v>
      </c>
      <c r="BC39" s="183"/>
      <c r="BE39" s="170"/>
      <c r="BF39" s="171"/>
      <c r="BG39" s="173"/>
      <c r="BI39" s="159"/>
      <c r="BJ39" s="113"/>
      <c r="BK39" s="175"/>
      <c r="BL39" s="154" t="s">
        <v>24</v>
      </c>
      <c r="BM39" s="142"/>
      <c r="BN39" s="182">
        <v>51</v>
      </c>
      <c r="BO39" s="183"/>
      <c r="BQ39" s="170"/>
      <c r="BR39" s="171"/>
      <c r="BS39" s="173"/>
      <c r="BU39" s="159"/>
      <c r="BV39" s="113"/>
      <c r="BW39" s="175"/>
      <c r="BX39" s="154" t="s">
        <v>24</v>
      </c>
      <c r="BY39" s="142"/>
      <c r="BZ39" s="182">
        <v>0</v>
      </c>
      <c r="CA39" s="183"/>
      <c r="CC39" s="170"/>
      <c r="CD39" s="171"/>
      <c r="CE39" s="173"/>
      <c r="CG39" s="159"/>
      <c r="CH39" s="113"/>
      <c r="CI39" s="175"/>
      <c r="CJ39" s="154" t="s">
        <v>24</v>
      </c>
      <c r="CK39" s="142"/>
      <c r="CL39" s="212">
        <v>51</v>
      </c>
      <c r="CM39" s="213"/>
      <c r="CO39" s="170"/>
      <c r="CP39" s="171"/>
      <c r="CQ39" s="173"/>
      <c r="CS39" s="159"/>
      <c r="CT39" s="113"/>
      <c r="CU39" s="175"/>
      <c r="CV39" s="154" t="s">
        <v>24</v>
      </c>
      <c r="CW39" s="142"/>
      <c r="CX39" s="154">
        <v>0</v>
      </c>
      <c r="CY39" s="142"/>
      <c r="DA39" s="170"/>
      <c r="DB39" s="171"/>
      <c r="DC39" s="173"/>
      <c r="DD39" s="2"/>
      <c r="DE39" s="159"/>
      <c r="DF39" s="113"/>
      <c r="DG39" s="175"/>
      <c r="DH39" s="154" t="s">
        <v>24</v>
      </c>
      <c r="DI39" s="142"/>
      <c r="DJ39" s="154">
        <v>0</v>
      </c>
      <c r="DK39" s="142"/>
      <c r="DM39" s="170"/>
      <c r="DN39" s="171"/>
      <c r="DO39" s="173"/>
      <c r="DP39" s="2"/>
      <c r="DQ39" s="159"/>
      <c r="DR39" s="113"/>
      <c r="DS39" s="175"/>
      <c r="DT39" s="154" t="s">
        <v>24</v>
      </c>
      <c r="DU39" s="142"/>
      <c r="DV39" s="154">
        <v>0</v>
      </c>
      <c r="DW39" s="142"/>
      <c r="DY39" s="170"/>
      <c r="DZ39" s="171"/>
      <c r="EA39" s="173"/>
      <c r="EC39" s="159"/>
      <c r="ED39" s="113"/>
      <c r="EE39" s="175"/>
      <c r="EF39" s="154" t="s">
        <v>24</v>
      </c>
      <c r="EG39" s="142"/>
      <c r="EH39" s="154">
        <v>0</v>
      </c>
      <c r="EI39" s="142"/>
      <c r="EK39" s="170"/>
      <c r="EL39" s="171"/>
      <c r="EM39" s="173"/>
      <c r="EO39" s="233"/>
      <c r="EP39" s="113"/>
      <c r="EQ39" s="112"/>
      <c r="ER39" s="154" t="s">
        <v>24</v>
      </c>
      <c r="ES39" s="142"/>
      <c r="ET39" s="156">
        <f t="shared" si="2"/>
        <v>102</v>
      </c>
      <c r="EU39" s="157"/>
      <c r="EW39" s="170"/>
      <c r="EX39" s="171"/>
      <c r="EY39" s="173"/>
    </row>
    <row r="40" spans="1:155" ht="17.100000000000001" customHeight="1" thickBot="1" x14ac:dyDescent="0.25">
      <c r="A40" s="159"/>
      <c r="B40" s="113"/>
      <c r="C40" s="175"/>
      <c r="D40" s="154" t="s">
        <v>25</v>
      </c>
      <c r="E40" s="142"/>
      <c r="F40" s="182">
        <v>27</v>
      </c>
      <c r="G40" s="183"/>
      <c r="I40" s="111" t="s">
        <v>26</v>
      </c>
      <c r="J40" s="124"/>
      <c r="K40" s="162">
        <v>290</v>
      </c>
      <c r="M40" s="159"/>
      <c r="N40" s="113"/>
      <c r="O40" s="175"/>
      <c r="P40" s="154" t="s">
        <v>25</v>
      </c>
      <c r="Q40" s="142"/>
      <c r="R40" s="182">
        <v>44</v>
      </c>
      <c r="S40" s="183"/>
      <c r="U40" s="111" t="s">
        <v>26</v>
      </c>
      <c r="V40" s="124"/>
      <c r="W40" s="162">
        <v>299</v>
      </c>
      <c r="Y40" s="159"/>
      <c r="Z40" s="113"/>
      <c r="AA40" s="175"/>
      <c r="AB40" s="154" t="s">
        <v>25</v>
      </c>
      <c r="AC40" s="142"/>
      <c r="AD40" s="182">
        <v>32</v>
      </c>
      <c r="AE40" s="183"/>
      <c r="AG40" s="111" t="s">
        <v>26</v>
      </c>
      <c r="AH40" s="124"/>
      <c r="AI40" s="162">
        <v>208</v>
      </c>
      <c r="AK40" s="159"/>
      <c r="AL40" s="113"/>
      <c r="AM40" s="175"/>
      <c r="AN40" s="154" t="s">
        <v>25</v>
      </c>
      <c r="AO40" s="142"/>
      <c r="AP40" s="182">
        <v>67</v>
      </c>
      <c r="AQ40" s="183"/>
      <c r="AS40" s="111" t="s">
        <v>26</v>
      </c>
      <c r="AT40" s="124"/>
      <c r="AU40" s="162">
        <v>398</v>
      </c>
      <c r="AW40" s="159"/>
      <c r="AX40" s="113"/>
      <c r="AY40" s="175"/>
      <c r="AZ40" s="154" t="s">
        <v>25</v>
      </c>
      <c r="BA40" s="142"/>
      <c r="BB40" s="182">
        <v>20</v>
      </c>
      <c r="BC40" s="183"/>
      <c r="BE40" s="111" t="s">
        <v>26</v>
      </c>
      <c r="BF40" s="124"/>
      <c r="BG40" s="162">
        <v>191</v>
      </c>
      <c r="BI40" s="159"/>
      <c r="BJ40" s="113"/>
      <c r="BK40" s="175"/>
      <c r="BL40" s="154" t="s">
        <v>25</v>
      </c>
      <c r="BM40" s="142"/>
      <c r="BN40" s="182">
        <v>26</v>
      </c>
      <c r="BO40" s="183"/>
      <c r="BQ40" s="111" t="s">
        <v>26</v>
      </c>
      <c r="BR40" s="124"/>
      <c r="BS40" s="162">
        <v>953</v>
      </c>
      <c r="BU40" s="159"/>
      <c r="BV40" s="113"/>
      <c r="BW40" s="175"/>
      <c r="BX40" s="154" t="s">
        <v>25</v>
      </c>
      <c r="BY40" s="142"/>
      <c r="BZ40" s="182">
        <v>35</v>
      </c>
      <c r="CA40" s="183"/>
      <c r="CC40" s="111" t="s">
        <v>26</v>
      </c>
      <c r="CD40" s="124"/>
      <c r="CE40" s="162">
        <v>342</v>
      </c>
      <c r="CG40" s="159"/>
      <c r="CH40" s="113"/>
      <c r="CI40" s="175"/>
      <c r="CJ40" s="154" t="s">
        <v>25</v>
      </c>
      <c r="CK40" s="142"/>
      <c r="CL40" s="212">
        <v>26</v>
      </c>
      <c r="CM40" s="213"/>
      <c r="CO40" s="111" t="s">
        <v>26</v>
      </c>
      <c r="CP40" s="124"/>
      <c r="CQ40" s="162">
        <v>953</v>
      </c>
      <c r="CS40" s="159"/>
      <c r="CT40" s="113"/>
      <c r="CU40" s="175"/>
      <c r="CV40" s="154" t="s">
        <v>25</v>
      </c>
      <c r="CW40" s="142"/>
      <c r="CX40" s="154">
        <v>0</v>
      </c>
      <c r="CY40" s="142"/>
      <c r="DA40" s="111" t="s">
        <v>26</v>
      </c>
      <c r="DB40" s="124"/>
      <c r="DC40" s="162">
        <v>0</v>
      </c>
      <c r="DD40" s="2"/>
      <c r="DE40" s="159"/>
      <c r="DF40" s="113"/>
      <c r="DG40" s="175"/>
      <c r="DH40" s="154" t="s">
        <v>25</v>
      </c>
      <c r="DI40" s="142"/>
      <c r="DJ40" s="154">
        <v>0</v>
      </c>
      <c r="DK40" s="142"/>
      <c r="DM40" s="111" t="s">
        <v>26</v>
      </c>
      <c r="DN40" s="124"/>
      <c r="DO40" s="162">
        <v>0</v>
      </c>
      <c r="DP40" s="2"/>
      <c r="DQ40" s="159"/>
      <c r="DR40" s="113"/>
      <c r="DS40" s="175"/>
      <c r="DT40" s="154" t="s">
        <v>25</v>
      </c>
      <c r="DU40" s="142"/>
      <c r="DV40" s="154">
        <v>0</v>
      </c>
      <c r="DW40" s="142"/>
      <c r="DY40" s="111" t="s">
        <v>26</v>
      </c>
      <c r="DZ40" s="124"/>
      <c r="EA40" s="162">
        <v>0</v>
      </c>
      <c r="EC40" s="159"/>
      <c r="ED40" s="113"/>
      <c r="EE40" s="175"/>
      <c r="EF40" s="154" t="s">
        <v>25</v>
      </c>
      <c r="EG40" s="142"/>
      <c r="EH40" s="154">
        <v>0</v>
      </c>
      <c r="EI40" s="142"/>
      <c r="EK40" s="111" t="s">
        <v>26</v>
      </c>
      <c r="EL40" s="124"/>
      <c r="EM40" s="162">
        <v>0</v>
      </c>
      <c r="EO40" s="233"/>
      <c r="EP40" s="113"/>
      <c r="EQ40" s="112"/>
      <c r="ER40" s="154" t="s">
        <v>25</v>
      </c>
      <c r="ES40" s="142"/>
      <c r="ET40" s="156">
        <f t="shared" si="2"/>
        <v>277</v>
      </c>
      <c r="EU40" s="157"/>
      <c r="EW40" s="111" t="s">
        <v>26</v>
      </c>
      <c r="EX40" s="124"/>
      <c r="EY40" s="162">
        <f>K40+W40+AI40+AU40+BG40+BS40+CE40+CQ40+DC40+DO40+EA40+EM40</f>
        <v>3634</v>
      </c>
    </row>
    <row r="41" spans="1:155" ht="17.100000000000001" customHeight="1" thickBot="1" x14ac:dyDescent="0.25">
      <c r="A41" s="159"/>
      <c r="B41" s="125"/>
      <c r="C41" s="176"/>
      <c r="D41" s="177" t="s">
        <v>27</v>
      </c>
      <c r="E41" s="178"/>
      <c r="F41" s="192">
        <v>17</v>
      </c>
      <c r="G41" s="193"/>
      <c r="I41" s="113"/>
      <c r="J41" s="112"/>
      <c r="K41" s="163"/>
      <c r="M41" s="159"/>
      <c r="N41" s="125"/>
      <c r="O41" s="176"/>
      <c r="P41" s="177" t="s">
        <v>27</v>
      </c>
      <c r="Q41" s="178"/>
      <c r="R41" s="192">
        <v>28</v>
      </c>
      <c r="S41" s="193"/>
      <c r="U41" s="113"/>
      <c r="V41" s="112"/>
      <c r="W41" s="163"/>
      <c r="Y41" s="159"/>
      <c r="Z41" s="125"/>
      <c r="AA41" s="176"/>
      <c r="AB41" s="177" t="s">
        <v>27</v>
      </c>
      <c r="AC41" s="178"/>
      <c r="AD41" s="192">
        <v>16</v>
      </c>
      <c r="AE41" s="193"/>
      <c r="AG41" s="113"/>
      <c r="AH41" s="112"/>
      <c r="AI41" s="163"/>
      <c r="AK41" s="159"/>
      <c r="AL41" s="125"/>
      <c r="AM41" s="176"/>
      <c r="AN41" s="177" t="s">
        <v>27</v>
      </c>
      <c r="AO41" s="178"/>
      <c r="AP41" s="192">
        <v>40</v>
      </c>
      <c r="AQ41" s="193"/>
      <c r="AS41" s="113"/>
      <c r="AT41" s="112"/>
      <c r="AU41" s="163"/>
      <c r="AW41" s="159"/>
      <c r="AX41" s="125"/>
      <c r="AY41" s="176"/>
      <c r="AZ41" s="177" t="s">
        <v>27</v>
      </c>
      <c r="BA41" s="178"/>
      <c r="BB41" s="192">
        <v>15</v>
      </c>
      <c r="BC41" s="193"/>
      <c r="BE41" s="113"/>
      <c r="BF41" s="112"/>
      <c r="BG41" s="163"/>
      <c r="BI41" s="159"/>
      <c r="BJ41" s="125"/>
      <c r="BK41" s="176"/>
      <c r="BL41" s="177" t="s">
        <v>27</v>
      </c>
      <c r="BM41" s="178"/>
      <c r="BN41" s="192">
        <v>0</v>
      </c>
      <c r="BO41" s="193"/>
      <c r="BQ41" s="113"/>
      <c r="BR41" s="112"/>
      <c r="BS41" s="163"/>
      <c r="BU41" s="159"/>
      <c r="BV41" s="125"/>
      <c r="BW41" s="176"/>
      <c r="BX41" s="177" t="s">
        <v>27</v>
      </c>
      <c r="BY41" s="178"/>
      <c r="BZ41" s="192">
        <v>34</v>
      </c>
      <c r="CA41" s="193"/>
      <c r="CC41" s="113"/>
      <c r="CD41" s="112"/>
      <c r="CE41" s="163"/>
      <c r="CG41" s="159"/>
      <c r="CH41" s="125"/>
      <c r="CI41" s="176"/>
      <c r="CJ41" s="177" t="s">
        <v>27</v>
      </c>
      <c r="CK41" s="178"/>
      <c r="CL41" s="214">
        <v>0</v>
      </c>
      <c r="CM41" s="215"/>
      <c r="CO41" s="113"/>
      <c r="CP41" s="112"/>
      <c r="CQ41" s="163"/>
      <c r="CS41" s="159"/>
      <c r="CT41" s="125"/>
      <c r="CU41" s="176"/>
      <c r="CV41" s="177" t="s">
        <v>27</v>
      </c>
      <c r="CW41" s="178"/>
      <c r="CX41" s="177">
        <v>0</v>
      </c>
      <c r="CY41" s="178"/>
      <c r="DA41" s="113"/>
      <c r="DB41" s="112"/>
      <c r="DC41" s="163"/>
      <c r="DD41" s="2"/>
      <c r="DE41" s="159"/>
      <c r="DF41" s="125"/>
      <c r="DG41" s="176"/>
      <c r="DH41" s="177" t="s">
        <v>27</v>
      </c>
      <c r="DI41" s="178"/>
      <c r="DJ41" s="177">
        <v>0</v>
      </c>
      <c r="DK41" s="178"/>
      <c r="DM41" s="113"/>
      <c r="DN41" s="112"/>
      <c r="DO41" s="163"/>
      <c r="DP41" s="2"/>
      <c r="DQ41" s="159"/>
      <c r="DR41" s="125"/>
      <c r="DS41" s="176"/>
      <c r="DT41" s="177" t="s">
        <v>27</v>
      </c>
      <c r="DU41" s="178"/>
      <c r="DV41" s="177">
        <v>0</v>
      </c>
      <c r="DW41" s="178"/>
      <c r="DY41" s="113"/>
      <c r="DZ41" s="112"/>
      <c r="EA41" s="163"/>
      <c r="EC41" s="159"/>
      <c r="ED41" s="125"/>
      <c r="EE41" s="176"/>
      <c r="EF41" s="177" t="s">
        <v>27</v>
      </c>
      <c r="EG41" s="178"/>
      <c r="EH41" s="177">
        <v>0</v>
      </c>
      <c r="EI41" s="178"/>
      <c r="EK41" s="113"/>
      <c r="EL41" s="112"/>
      <c r="EM41" s="163"/>
      <c r="EO41" s="233"/>
      <c r="EP41" s="125"/>
      <c r="EQ41" s="126"/>
      <c r="ER41" s="177" t="s">
        <v>27</v>
      </c>
      <c r="ES41" s="178"/>
      <c r="ET41" s="156">
        <f t="shared" si="2"/>
        <v>150</v>
      </c>
      <c r="EU41" s="157"/>
      <c r="EW41" s="113"/>
      <c r="EX41" s="112"/>
      <c r="EY41" s="163"/>
    </row>
    <row r="42" spans="1:155" ht="17.100000000000001" customHeight="1" thickTop="1" thickBot="1" x14ac:dyDescent="0.25">
      <c r="A42" s="159"/>
      <c r="B42" s="111" t="s">
        <v>28</v>
      </c>
      <c r="C42" s="174"/>
      <c r="D42" s="155" t="s">
        <v>29</v>
      </c>
      <c r="E42" s="141"/>
      <c r="F42" s="190">
        <v>0</v>
      </c>
      <c r="G42" s="191"/>
      <c r="I42" s="125"/>
      <c r="J42" s="126"/>
      <c r="K42" s="164"/>
      <c r="M42" s="159"/>
      <c r="N42" s="111" t="s">
        <v>28</v>
      </c>
      <c r="O42" s="174"/>
      <c r="P42" s="155" t="s">
        <v>29</v>
      </c>
      <c r="Q42" s="141"/>
      <c r="R42" s="190">
        <v>0</v>
      </c>
      <c r="S42" s="191"/>
      <c r="U42" s="125"/>
      <c r="V42" s="126"/>
      <c r="W42" s="164"/>
      <c r="Y42" s="159"/>
      <c r="Z42" s="111" t="s">
        <v>28</v>
      </c>
      <c r="AA42" s="174"/>
      <c r="AB42" s="155" t="s">
        <v>29</v>
      </c>
      <c r="AC42" s="141"/>
      <c r="AD42" s="190">
        <v>0</v>
      </c>
      <c r="AE42" s="191"/>
      <c r="AG42" s="125"/>
      <c r="AH42" s="126"/>
      <c r="AI42" s="164"/>
      <c r="AK42" s="159"/>
      <c r="AL42" s="111" t="s">
        <v>28</v>
      </c>
      <c r="AM42" s="174"/>
      <c r="AN42" s="155" t="s">
        <v>29</v>
      </c>
      <c r="AO42" s="141"/>
      <c r="AP42" s="190">
        <v>0</v>
      </c>
      <c r="AQ42" s="191"/>
      <c r="AS42" s="125"/>
      <c r="AT42" s="126"/>
      <c r="AU42" s="164"/>
      <c r="AW42" s="159"/>
      <c r="AX42" s="111" t="s">
        <v>28</v>
      </c>
      <c r="AY42" s="174"/>
      <c r="AZ42" s="155" t="s">
        <v>29</v>
      </c>
      <c r="BA42" s="141"/>
      <c r="BB42" s="190">
        <v>0</v>
      </c>
      <c r="BC42" s="191"/>
      <c r="BE42" s="125"/>
      <c r="BF42" s="126"/>
      <c r="BG42" s="164"/>
      <c r="BI42" s="159"/>
      <c r="BJ42" s="111" t="s">
        <v>28</v>
      </c>
      <c r="BK42" s="174"/>
      <c r="BL42" s="155" t="s">
        <v>29</v>
      </c>
      <c r="BM42" s="141"/>
      <c r="BN42" s="190">
        <v>17</v>
      </c>
      <c r="BO42" s="191"/>
      <c r="BQ42" s="125"/>
      <c r="BR42" s="126"/>
      <c r="BS42" s="164"/>
      <c r="BU42" s="159"/>
      <c r="BV42" s="111" t="s">
        <v>28</v>
      </c>
      <c r="BW42" s="174"/>
      <c r="BX42" s="155" t="s">
        <v>29</v>
      </c>
      <c r="BY42" s="141"/>
      <c r="BZ42" s="190">
        <v>0</v>
      </c>
      <c r="CA42" s="191"/>
      <c r="CC42" s="125"/>
      <c r="CD42" s="126"/>
      <c r="CE42" s="164"/>
      <c r="CG42" s="159"/>
      <c r="CH42" s="111" t="s">
        <v>28</v>
      </c>
      <c r="CI42" s="174"/>
      <c r="CJ42" s="155" t="s">
        <v>29</v>
      </c>
      <c r="CK42" s="141"/>
      <c r="CL42" s="210">
        <v>17</v>
      </c>
      <c r="CM42" s="211"/>
      <c r="CO42" s="125"/>
      <c r="CP42" s="126"/>
      <c r="CQ42" s="164"/>
      <c r="CS42" s="159"/>
      <c r="CT42" s="111" t="s">
        <v>28</v>
      </c>
      <c r="CU42" s="174"/>
      <c r="CV42" s="155" t="s">
        <v>29</v>
      </c>
      <c r="CW42" s="141"/>
      <c r="CX42" s="155">
        <v>0</v>
      </c>
      <c r="CY42" s="141"/>
      <c r="DA42" s="125"/>
      <c r="DB42" s="126"/>
      <c r="DC42" s="164"/>
      <c r="DD42" s="2"/>
      <c r="DE42" s="159"/>
      <c r="DF42" s="111" t="s">
        <v>28</v>
      </c>
      <c r="DG42" s="174"/>
      <c r="DH42" s="155" t="s">
        <v>29</v>
      </c>
      <c r="DI42" s="141"/>
      <c r="DJ42" s="155">
        <v>0</v>
      </c>
      <c r="DK42" s="141"/>
      <c r="DM42" s="125"/>
      <c r="DN42" s="126"/>
      <c r="DO42" s="164"/>
      <c r="DP42" s="2"/>
      <c r="DQ42" s="159"/>
      <c r="DR42" s="111" t="s">
        <v>28</v>
      </c>
      <c r="DS42" s="174"/>
      <c r="DT42" s="155" t="s">
        <v>29</v>
      </c>
      <c r="DU42" s="141"/>
      <c r="DV42" s="155">
        <v>0</v>
      </c>
      <c r="DW42" s="141"/>
      <c r="DY42" s="125"/>
      <c r="DZ42" s="126"/>
      <c r="EA42" s="164"/>
      <c r="EC42" s="159"/>
      <c r="ED42" s="111" t="s">
        <v>28</v>
      </c>
      <c r="EE42" s="174"/>
      <c r="EF42" s="155" t="s">
        <v>29</v>
      </c>
      <c r="EG42" s="141"/>
      <c r="EH42" s="155">
        <v>0</v>
      </c>
      <c r="EI42" s="141"/>
      <c r="EK42" s="125"/>
      <c r="EL42" s="126"/>
      <c r="EM42" s="164"/>
      <c r="EO42" s="233"/>
      <c r="EP42" s="111" t="s">
        <v>28</v>
      </c>
      <c r="EQ42" s="124"/>
      <c r="ER42" s="155" t="s">
        <v>29</v>
      </c>
      <c r="ES42" s="141"/>
      <c r="ET42" s="156">
        <f t="shared" si="2"/>
        <v>34</v>
      </c>
      <c r="EU42" s="157"/>
      <c r="EW42" s="125"/>
      <c r="EX42" s="126"/>
      <c r="EY42" s="164"/>
    </row>
    <row r="43" spans="1:155" ht="17.100000000000001" customHeight="1" thickBot="1" x14ac:dyDescent="0.25">
      <c r="A43" s="159"/>
      <c r="B43" s="113"/>
      <c r="C43" s="175"/>
      <c r="D43" s="154" t="s">
        <v>30</v>
      </c>
      <c r="E43" s="142"/>
      <c r="F43" s="182">
        <v>12</v>
      </c>
      <c r="G43" s="183"/>
      <c r="I43" s="111" t="s">
        <v>31</v>
      </c>
      <c r="J43" s="124"/>
      <c r="K43" s="162">
        <v>0</v>
      </c>
      <c r="M43" s="159"/>
      <c r="N43" s="113"/>
      <c r="O43" s="175"/>
      <c r="P43" s="154" t="s">
        <v>30</v>
      </c>
      <c r="Q43" s="142"/>
      <c r="R43" s="182">
        <v>18</v>
      </c>
      <c r="S43" s="183"/>
      <c r="U43" s="111" t="s">
        <v>31</v>
      </c>
      <c r="V43" s="124"/>
      <c r="W43" s="162">
        <v>0</v>
      </c>
      <c r="Y43" s="159"/>
      <c r="Z43" s="113"/>
      <c r="AA43" s="175"/>
      <c r="AB43" s="154" t="s">
        <v>30</v>
      </c>
      <c r="AC43" s="142"/>
      <c r="AD43" s="182">
        <v>12</v>
      </c>
      <c r="AE43" s="183"/>
      <c r="AG43" s="111" t="s">
        <v>31</v>
      </c>
      <c r="AH43" s="124"/>
      <c r="AI43" s="162">
        <v>0</v>
      </c>
      <c r="AK43" s="159"/>
      <c r="AL43" s="113"/>
      <c r="AM43" s="175"/>
      <c r="AN43" s="154" t="s">
        <v>30</v>
      </c>
      <c r="AO43" s="142"/>
      <c r="AP43" s="182">
        <v>33</v>
      </c>
      <c r="AQ43" s="183"/>
      <c r="AS43" s="111" t="s">
        <v>31</v>
      </c>
      <c r="AT43" s="124"/>
      <c r="AU43" s="162">
        <v>0</v>
      </c>
      <c r="AW43" s="159"/>
      <c r="AX43" s="113"/>
      <c r="AY43" s="175"/>
      <c r="AZ43" s="154" t="s">
        <v>30</v>
      </c>
      <c r="BA43" s="142"/>
      <c r="BB43" s="182">
        <v>9</v>
      </c>
      <c r="BC43" s="183"/>
      <c r="BE43" s="111" t="s">
        <v>31</v>
      </c>
      <c r="BF43" s="124"/>
      <c r="BG43" s="162">
        <v>0</v>
      </c>
      <c r="BI43" s="159"/>
      <c r="BJ43" s="113"/>
      <c r="BK43" s="175"/>
      <c r="BL43" s="154" t="s">
        <v>30</v>
      </c>
      <c r="BM43" s="142"/>
      <c r="BN43" s="182">
        <v>21</v>
      </c>
      <c r="BO43" s="183"/>
      <c r="BQ43" s="111" t="s">
        <v>31</v>
      </c>
      <c r="BR43" s="124"/>
      <c r="BS43" s="162">
        <v>0</v>
      </c>
      <c r="BU43" s="159"/>
      <c r="BV43" s="113"/>
      <c r="BW43" s="175"/>
      <c r="BX43" s="154" t="s">
        <v>30</v>
      </c>
      <c r="BY43" s="142"/>
      <c r="BZ43" s="182">
        <v>15</v>
      </c>
      <c r="CA43" s="183"/>
      <c r="CC43" s="111" t="s">
        <v>31</v>
      </c>
      <c r="CD43" s="124"/>
      <c r="CE43" s="162">
        <v>0</v>
      </c>
      <c r="CG43" s="159"/>
      <c r="CH43" s="113"/>
      <c r="CI43" s="175"/>
      <c r="CJ43" s="154" t="s">
        <v>30</v>
      </c>
      <c r="CK43" s="142"/>
      <c r="CL43" s="212">
        <v>21</v>
      </c>
      <c r="CM43" s="213"/>
      <c r="CO43" s="111" t="s">
        <v>31</v>
      </c>
      <c r="CP43" s="124"/>
      <c r="CQ43" s="162">
        <v>0</v>
      </c>
      <c r="CS43" s="159"/>
      <c r="CT43" s="113"/>
      <c r="CU43" s="175"/>
      <c r="CV43" s="154" t="s">
        <v>30</v>
      </c>
      <c r="CW43" s="142"/>
      <c r="CX43" s="154">
        <v>0</v>
      </c>
      <c r="CY43" s="142"/>
      <c r="DA43" s="111" t="s">
        <v>31</v>
      </c>
      <c r="DB43" s="124"/>
      <c r="DC43" s="162">
        <v>0</v>
      </c>
      <c r="DD43" s="2"/>
      <c r="DE43" s="159"/>
      <c r="DF43" s="113"/>
      <c r="DG43" s="175"/>
      <c r="DH43" s="154" t="s">
        <v>30</v>
      </c>
      <c r="DI43" s="142"/>
      <c r="DJ43" s="154">
        <v>0</v>
      </c>
      <c r="DK43" s="142"/>
      <c r="DM43" s="111" t="s">
        <v>31</v>
      </c>
      <c r="DN43" s="124"/>
      <c r="DO43" s="162">
        <v>0</v>
      </c>
      <c r="DP43" s="2"/>
      <c r="DQ43" s="159"/>
      <c r="DR43" s="113"/>
      <c r="DS43" s="175"/>
      <c r="DT43" s="154" t="s">
        <v>30</v>
      </c>
      <c r="DU43" s="142"/>
      <c r="DV43" s="154">
        <v>0</v>
      </c>
      <c r="DW43" s="142"/>
      <c r="DY43" s="111" t="s">
        <v>31</v>
      </c>
      <c r="DZ43" s="124"/>
      <c r="EA43" s="162">
        <v>0</v>
      </c>
      <c r="EC43" s="159"/>
      <c r="ED43" s="113"/>
      <c r="EE43" s="175"/>
      <c r="EF43" s="154" t="s">
        <v>30</v>
      </c>
      <c r="EG43" s="142"/>
      <c r="EH43" s="154">
        <v>0</v>
      </c>
      <c r="EI43" s="142"/>
      <c r="EK43" s="111" t="s">
        <v>31</v>
      </c>
      <c r="EL43" s="124"/>
      <c r="EM43" s="162">
        <v>0</v>
      </c>
      <c r="EO43" s="233"/>
      <c r="EP43" s="113"/>
      <c r="EQ43" s="112"/>
      <c r="ER43" s="154" t="s">
        <v>30</v>
      </c>
      <c r="ES43" s="142"/>
      <c r="ET43" s="156">
        <f t="shared" si="2"/>
        <v>141</v>
      </c>
      <c r="EU43" s="157"/>
      <c r="EW43" s="111" t="s">
        <v>31</v>
      </c>
      <c r="EX43" s="124"/>
      <c r="EY43" s="162">
        <f>K43+W43+AI43+AU43+BG43+BS43+CE43+CQ43+DC43+DO43+EA43+EM43</f>
        <v>0</v>
      </c>
    </row>
    <row r="44" spans="1:155" ht="17.100000000000001" customHeight="1" thickBot="1" x14ac:dyDescent="0.25">
      <c r="A44" s="159"/>
      <c r="B44" s="125"/>
      <c r="C44" s="176"/>
      <c r="D44" s="177" t="s">
        <v>32</v>
      </c>
      <c r="E44" s="178"/>
      <c r="F44" s="192">
        <v>0</v>
      </c>
      <c r="G44" s="193"/>
      <c r="I44" s="113"/>
      <c r="J44" s="112"/>
      <c r="K44" s="163"/>
      <c r="M44" s="159"/>
      <c r="N44" s="125"/>
      <c r="O44" s="176"/>
      <c r="P44" s="177" t="s">
        <v>32</v>
      </c>
      <c r="Q44" s="178"/>
      <c r="R44" s="192">
        <v>0</v>
      </c>
      <c r="S44" s="193"/>
      <c r="U44" s="113"/>
      <c r="V44" s="112"/>
      <c r="W44" s="163"/>
      <c r="Y44" s="159"/>
      <c r="Z44" s="125"/>
      <c r="AA44" s="176"/>
      <c r="AB44" s="177" t="s">
        <v>32</v>
      </c>
      <c r="AC44" s="178"/>
      <c r="AD44" s="192">
        <v>0</v>
      </c>
      <c r="AE44" s="193"/>
      <c r="AG44" s="113"/>
      <c r="AH44" s="112"/>
      <c r="AI44" s="163"/>
      <c r="AK44" s="159"/>
      <c r="AL44" s="125"/>
      <c r="AM44" s="176"/>
      <c r="AN44" s="177" t="s">
        <v>32</v>
      </c>
      <c r="AO44" s="178"/>
      <c r="AP44" s="192">
        <v>0</v>
      </c>
      <c r="AQ44" s="193"/>
      <c r="AS44" s="113"/>
      <c r="AT44" s="112"/>
      <c r="AU44" s="163"/>
      <c r="AW44" s="159"/>
      <c r="AX44" s="125"/>
      <c r="AY44" s="176"/>
      <c r="AZ44" s="177" t="s">
        <v>32</v>
      </c>
      <c r="BA44" s="178"/>
      <c r="BB44" s="192">
        <v>0</v>
      </c>
      <c r="BC44" s="193"/>
      <c r="BE44" s="113"/>
      <c r="BF44" s="112"/>
      <c r="BG44" s="163"/>
      <c r="BI44" s="159"/>
      <c r="BJ44" s="125"/>
      <c r="BK44" s="176"/>
      <c r="BL44" s="177" t="s">
        <v>32</v>
      </c>
      <c r="BM44" s="178"/>
      <c r="BN44" s="192">
        <v>0</v>
      </c>
      <c r="BO44" s="193"/>
      <c r="BQ44" s="113"/>
      <c r="BR44" s="112"/>
      <c r="BS44" s="163"/>
      <c r="BU44" s="159"/>
      <c r="BV44" s="125"/>
      <c r="BW44" s="176"/>
      <c r="BX44" s="177" t="s">
        <v>32</v>
      </c>
      <c r="BY44" s="178"/>
      <c r="BZ44" s="192">
        <v>0</v>
      </c>
      <c r="CA44" s="193"/>
      <c r="CC44" s="113"/>
      <c r="CD44" s="112"/>
      <c r="CE44" s="163"/>
      <c r="CG44" s="159"/>
      <c r="CH44" s="125"/>
      <c r="CI44" s="176"/>
      <c r="CJ44" s="177" t="s">
        <v>32</v>
      </c>
      <c r="CK44" s="178"/>
      <c r="CL44" s="214">
        <v>0</v>
      </c>
      <c r="CM44" s="215"/>
      <c r="CO44" s="113"/>
      <c r="CP44" s="112"/>
      <c r="CQ44" s="163"/>
      <c r="CS44" s="159"/>
      <c r="CT44" s="125"/>
      <c r="CU44" s="176"/>
      <c r="CV44" s="177" t="s">
        <v>32</v>
      </c>
      <c r="CW44" s="178"/>
      <c r="CX44" s="177">
        <v>0</v>
      </c>
      <c r="CY44" s="178"/>
      <c r="DA44" s="113"/>
      <c r="DB44" s="112"/>
      <c r="DC44" s="163"/>
      <c r="DD44" s="2"/>
      <c r="DE44" s="159"/>
      <c r="DF44" s="125"/>
      <c r="DG44" s="176"/>
      <c r="DH44" s="177" t="s">
        <v>32</v>
      </c>
      <c r="DI44" s="178"/>
      <c r="DJ44" s="177">
        <v>0</v>
      </c>
      <c r="DK44" s="178"/>
      <c r="DM44" s="113"/>
      <c r="DN44" s="112"/>
      <c r="DO44" s="163"/>
      <c r="DP44" s="2"/>
      <c r="DQ44" s="159"/>
      <c r="DR44" s="125"/>
      <c r="DS44" s="176"/>
      <c r="DT44" s="177" t="s">
        <v>32</v>
      </c>
      <c r="DU44" s="178"/>
      <c r="DV44" s="177">
        <v>0</v>
      </c>
      <c r="DW44" s="178"/>
      <c r="DY44" s="113"/>
      <c r="DZ44" s="112"/>
      <c r="EA44" s="163"/>
      <c r="EC44" s="159"/>
      <c r="ED44" s="125"/>
      <c r="EE44" s="176"/>
      <c r="EF44" s="177" t="s">
        <v>32</v>
      </c>
      <c r="EG44" s="178"/>
      <c r="EH44" s="177">
        <v>0</v>
      </c>
      <c r="EI44" s="178"/>
      <c r="EK44" s="113"/>
      <c r="EL44" s="112"/>
      <c r="EM44" s="163"/>
      <c r="EO44" s="233"/>
      <c r="EP44" s="125"/>
      <c r="EQ44" s="126"/>
      <c r="ER44" s="177" t="s">
        <v>32</v>
      </c>
      <c r="ES44" s="178"/>
      <c r="ET44" s="156">
        <f t="shared" si="2"/>
        <v>0</v>
      </c>
      <c r="EU44" s="157"/>
      <c r="EW44" s="113"/>
      <c r="EX44" s="112"/>
      <c r="EY44" s="163"/>
    </row>
    <row r="45" spans="1:155" ht="17.100000000000001" customHeight="1" thickTop="1" thickBot="1" x14ac:dyDescent="0.25">
      <c r="A45" s="159"/>
      <c r="B45" s="111" t="s">
        <v>33</v>
      </c>
      <c r="C45" s="174"/>
      <c r="D45" s="155" t="s">
        <v>34</v>
      </c>
      <c r="E45" s="141"/>
      <c r="F45" s="190">
        <v>86</v>
      </c>
      <c r="G45" s="191"/>
      <c r="I45" s="125"/>
      <c r="J45" s="126"/>
      <c r="K45" s="164"/>
      <c r="M45" s="159"/>
      <c r="N45" s="111" t="s">
        <v>33</v>
      </c>
      <c r="O45" s="174"/>
      <c r="P45" s="155" t="s">
        <v>34</v>
      </c>
      <c r="Q45" s="141"/>
      <c r="R45" s="190">
        <v>38</v>
      </c>
      <c r="S45" s="191"/>
      <c r="U45" s="125"/>
      <c r="V45" s="126"/>
      <c r="W45" s="164"/>
      <c r="Y45" s="159"/>
      <c r="Z45" s="111" t="s">
        <v>33</v>
      </c>
      <c r="AA45" s="174"/>
      <c r="AB45" s="155" t="s">
        <v>34</v>
      </c>
      <c r="AC45" s="141"/>
      <c r="AD45" s="190">
        <v>23</v>
      </c>
      <c r="AE45" s="191"/>
      <c r="AG45" s="125"/>
      <c r="AH45" s="126"/>
      <c r="AI45" s="164"/>
      <c r="AK45" s="159"/>
      <c r="AL45" s="111" t="s">
        <v>33</v>
      </c>
      <c r="AM45" s="174"/>
      <c r="AN45" s="155" t="s">
        <v>34</v>
      </c>
      <c r="AO45" s="141"/>
      <c r="AP45" s="190">
        <v>54</v>
      </c>
      <c r="AQ45" s="191"/>
      <c r="AS45" s="125"/>
      <c r="AT45" s="126"/>
      <c r="AU45" s="164"/>
      <c r="AW45" s="159"/>
      <c r="AX45" s="111" t="s">
        <v>33</v>
      </c>
      <c r="AY45" s="174"/>
      <c r="AZ45" s="155" t="s">
        <v>34</v>
      </c>
      <c r="BA45" s="141"/>
      <c r="BB45" s="190">
        <v>25</v>
      </c>
      <c r="BC45" s="191"/>
      <c r="BE45" s="125"/>
      <c r="BF45" s="126"/>
      <c r="BG45" s="164"/>
      <c r="BI45" s="159"/>
      <c r="BJ45" s="111" t="s">
        <v>33</v>
      </c>
      <c r="BK45" s="174"/>
      <c r="BL45" s="155" t="s">
        <v>34</v>
      </c>
      <c r="BM45" s="141"/>
      <c r="BN45" s="190">
        <v>21</v>
      </c>
      <c r="BO45" s="191"/>
      <c r="BQ45" s="125"/>
      <c r="BR45" s="126"/>
      <c r="BS45" s="164"/>
      <c r="BU45" s="159"/>
      <c r="BV45" s="111" t="s">
        <v>33</v>
      </c>
      <c r="BW45" s="174"/>
      <c r="BX45" s="155" t="s">
        <v>34</v>
      </c>
      <c r="BY45" s="141"/>
      <c r="BZ45" s="190">
        <v>73</v>
      </c>
      <c r="CA45" s="191"/>
      <c r="CC45" s="125"/>
      <c r="CD45" s="126"/>
      <c r="CE45" s="164"/>
      <c r="CG45" s="159"/>
      <c r="CH45" s="111" t="s">
        <v>33</v>
      </c>
      <c r="CI45" s="174"/>
      <c r="CJ45" s="155" t="s">
        <v>34</v>
      </c>
      <c r="CK45" s="141"/>
      <c r="CL45" s="210">
        <v>21</v>
      </c>
      <c r="CM45" s="211"/>
      <c r="CO45" s="125"/>
      <c r="CP45" s="126"/>
      <c r="CQ45" s="164"/>
      <c r="CS45" s="159"/>
      <c r="CT45" s="111" t="s">
        <v>33</v>
      </c>
      <c r="CU45" s="174"/>
      <c r="CV45" s="155" t="s">
        <v>34</v>
      </c>
      <c r="CW45" s="141"/>
      <c r="CX45" s="155">
        <v>0</v>
      </c>
      <c r="CY45" s="141"/>
      <c r="DA45" s="125"/>
      <c r="DB45" s="126"/>
      <c r="DC45" s="164"/>
      <c r="DD45" s="2"/>
      <c r="DE45" s="159"/>
      <c r="DF45" s="111" t="s">
        <v>33</v>
      </c>
      <c r="DG45" s="174"/>
      <c r="DH45" s="155" t="s">
        <v>34</v>
      </c>
      <c r="DI45" s="141"/>
      <c r="DJ45" s="155">
        <v>0</v>
      </c>
      <c r="DK45" s="141"/>
      <c r="DM45" s="125"/>
      <c r="DN45" s="126"/>
      <c r="DO45" s="164"/>
      <c r="DP45" s="2"/>
      <c r="DQ45" s="159"/>
      <c r="DR45" s="111" t="s">
        <v>33</v>
      </c>
      <c r="DS45" s="174"/>
      <c r="DT45" s="155" t="s">
        <v>34</v>
      </c>
      <c r="DU45" s="141"/>
      <c r="DV45" s="155">
        <v>0</v>
      </c>
      <c r="DW45" s="141"/>
      <c r="DY45" s="125"/>
      <c r="DZ45" s="126"/>
      <c r="EA45" s="164"/>
      <c r="EC45" s="159"/>
      <c r="ED45" s="111" t="s">
        <v>33</v>
      </c>
      <c r="EE45" s="174"/>
      <c r="EF45" s="155" t="s">
        <v>34</v>
      </c>
      <c r="EG45" s="141"/>
      <c r="EH45" s="155">
        <v>0</v>
      </c>
      <c r="EI45" s="141"/>
      <c r="EK45" s="125"/>
      <c r="EL45" s="126"/>
      <c r="EM45" s="164"/>
      <c r="EO45" s="233"/>
      <c r="EP45" s="111" t="s">
        <v>33</v>
      </c>
      <c r="EQ45" s="124"/>
      <c r="ER45" s="155" t="s">
        <v>34</v>
      </c>
      <c r="ES45" s="141"/>
      <c r="ET45" s="156">
        <f t="shared" si="2"/>
        <v>341</v>
      </c>
      <c r="EU45" s="157"/>
      <c r="EW45" s="125"/>
      <c r="EX45" s="126"/>
      <c r="EY45" s="164"/>
    </row>
    <row r="46" spans="1:155" ht="17.100000000000001" customHeight="1" thickBot="1" x14ac:dyDescent="0.25">
      <c r="A46" s="159"/>
      <c r="B46" s="125"/>
      <c r="C46" s="176"/>
      <c r="D46" s="177" t="s">
        <v>35</v>
      </c>
      <c r="E46" s="178"/>
      <c r="F46" s="192">
        <v>0</v>
      </c>
      <c r="G46" s="193"/>
      <c r="I46" s="7"/>
      <c r="J46" s="8"/>
      <c r="K46" s="9">
        <f>SUM(K40:K45)</f>
        <v>290</v>
      </c>
      <c r="M46" s="159"/>
      <c r="N46" s="125"/>
      <c r="O46" s="176"/>
      <c r="P46" s="177" t="s">
        <v>35</v>
      </c>
      <c r="Q46" s="178"/>
      <c r="R46" s="192">
        <v>0</v>
      </c>
      <c r="S46" s="193"/>
      <c r="U46" s="7"/>
      <c r="V46" s="8"/>
      <c r="W46" s="9">
        <f>SUM(W40:W45)</f>
        <v>299</v>
      </c>
      <c r="Y46" s="159"/>
      <c r="Z46" s="125"/>
      <c r="AA46" s="176"/>
      <c r="AB46" s="177" t="s">
        <v>35</v>
      </c>
      <c r="AC46" s="178"/>
      <c r="AD46" s="192">
        <v>0</v>
      </c>
      <c r="AE46" s="193"/>
      <c r="AG46" s="7"/>
      <c r="AH46" s="8"/>
      <c r="AI46" s="9">
        <f>SUM(AI40:AI45)</f>
        <v>208</v>
      </c>
      <c r="AK46" s="159"/>
      <c r="AL46" s="125"/>
      <c r="AM46" s="176"/>
      <c r="AN46" s="177" t="s">
        <v>35</v>
      </c>
      <c r="AO46" s="178"/>
      <c r="AP46" s="192">
        <v>0</v>
      </c>
      <c r="AQ46" s="193"/>
      <c r="AS46" s="7"/>
      <c r="AT46" s="8"/>
      <c r="AU46" s="9">
        <f>SUM(AU40:AU45)</f>
        <v>398</v>
      </c>
      <c r="AW46" s="159"/>
      <c r="AX46" s="125"/>
      <c r="AY46" s="176"/>
      <c r="AZ46" s="177" t="s">
        <v>35</v>
      </c>
      <c r="BA46" s="178"/>
      <c r="BB46" s="192">
        <v>0</v>
      </c>
      <c r="BC46" s="193"/>
      <c r="BE46" s="7"/>
      <c r="BF46" s="8"/>
      <c r="BG46" s="9">
        <f>SUM(BG40:BG45)</f>
        <v>191</v>
      </c>
      <c r="BI46" s="159"/>
      <c r="BJ46" s="125"/>
      <c r="BK46" s="176"/>
      <c r="BL46" s="177" t="s">
        <v>35</v>
      </c>
      <c r="BM46" s="178"/>
      <c r="BN46" s="192">
        <v>0</v>
      </c>
      <c r="BO46" s="193"/>
      <c r="BQ46" s="7"/>
      <c r="BR46" s="8"/>
      <c r="BS46" s="9">
        <f>SUM(BS40:BS45)</f>
        <v>953</v>
      </c>
      <c r="BU46" s="159"/>
      <c r="BV46" s="125"/>
      <c r="BW46" s="176"/>
      <c r="BX46" s="177" t="s">
        <v>35</v>
      </c>
      <c r="BY46" s="178"/>
      <c r="BZ46" s="192">
        <v>0</v>
      </c>
      <c r="CA46" s="193"/>
      <c r="CC46" s="7"/>
      <c r="CD46" s="8"/>
      <c r="CE46" s="9">
        <f>SUM(CE40:CE45)</f>
        <v>342</v>
      </c>
      <c r="CG46" s="159"/>
      <c r="CH46" s="125"/>
      <c r="CI46" s="176"/>
      <c r="CJ46" s="177" t="s">
        <v>35</v>
      </c>
      <c r="CK46" s="178"/>
      <c r="CL46" s="214">
        <v>0</v>
      </c>
      <c r="CM46" s="215"/>
      <c r="CO46" s="7"/>
      <c r="CP46" s="8"/>
      <c r="CQ46" s="9">
        <f>SUM(CQ40:CQ45)</f>
        <v>953</v>
      </c>
      <c r="CS46" s="159"/>
      <c r="CT46" s="125"/>
      <c r="CU46" s="176"/>
      <c r="CV46" s="177" t="s">
        <v>35</v>
      </c>
      <c r="CW46" s="178"/>
      <c r="CX46" s="177">
        <v>0</v>
      </c>
      <c r="CY46" s="178"/>
      <c r="DA46" s="7"/>
      <c r="DB46" s="8"/>
      <c r="DC46" s="9">
        <f>SUM(DC40:DC45)</f>
        <v>0</v>
      </c>
      <c r="DD46" s="2"/>
      <c r="DE46" s="159"/>
      <c r="DF46" s="125"/>
      <c r="DG46" s="176"/>
      <c r="DH46" s="177" t="s">
        <v>35</v>
      </c>
      <c r="DI46" s="178"/>
      <c r="DJ46" s="177">
        <v>0</v>
      </c>
      <c r="DK46" s="178"/>
      <c r="DM46" s="7"/>
      <c r="DN46" s="8"/>
      <c r="DO46" s="9">
        <f>SUM(DO40:DO45)</f>
        <v>0</v>
      </c>
      <c r="DP46" s="2"/>
      <c r="DQ46" s="159"/>
      <c r="DR46" s="125"/>
      <c r="DS46" s="176"/>
      <c r="DT46" s="177" t="s">
        <v>35</v>
      </c>
      <c r="DU46" s="178"/>
      <c r="DV46" s="177">
        <v>0</v>
      </c>
      <c r="DW46" s="178"/>
      <c r="DY46" s="7"/>
      <c r="DZ46" s="8"/>
      <c r="EA46" s="9">
        <f>SUM(EA40:EA45)</f>
        <v>0</v>
      </c>
      <c r="EC46" s="159"/>
      <c r="ED46" s="125"/>
      <c r="EE46" s="176"/>
      <c r="EF46" s="177" t="s">
        <v>35</v>
      </c>
      <c r="EG46" s="178"/>
      <c r="EH46" s="177">
        <v>0</v>
      </c>
      <c r="EI46" s="178"/>
      <c r="EK46" s="7"/>
      <c r="EL46" s="8"/>
      <c r="EM46" s="9">
        <f>SUM(EM40:EM45)</f>
        <v>0</v>
      </c>
      <c r="EO46" s="233"/>
      <c r="EP46" s="125"/>
      <c r="EQ46" s="126"/>
      <c r="ER46" s="177" t="s">
        <v>35</v>
      </c>
      <c r="ES46" s="178"/>
      <c r="ET46" s="156">
        <f t="shared" si="2"/>
        <v>0</v>
      </c>
      <c r="EU46" s="157"/>
      <c r="EW46" s="7"/>
      <c r="EX46" s="8"/>
      <c r="EY46" s="9">
        <f>SUM(EY40:EY45)</f>
        <v>3634</v>
      </c>
    </row>
    <row r="47" spans="1:155" ht="17.100000000000001" customHeight="1" thickTop="1" thickBot="1" x14ac:dyDescent="0.25">
      <c r="A47" s="160"/>
      <c r="B47" s="102" t="s">
        <v>36</v>
      </c>
      <c r="C47" s="148"/>
      <c r="D47" s="148"/>
      <c r="E47" s="128"/>
      <c r="F47" s="184">
        <v>0</v>
      </c>
      <c r="G47" s="185"/>
      <c r="I47" s="111" t="s">
        <v>37</v>
      </c>
      <c r="J47" s="124"/>
      <c r="K47" s="162">
        <v>157</v>
      </c>
      <c r="M47" s="160"/>
      <c r="N47" s="102" t="s">
        <v>36</v>
      </c>
      <c r="O47" s="148"/>
      <c r="P47" s="148"/>
      <c r="Q47" s="128"/>
      <c r="R47" s="184">
        <v>0</v>
      </c>
      <c r="S47" s="185"/>
      <c r="U47" s="111" t="s">
        <v>37</v>
      </c>
      <c r="V47" s="124"/>
      <c r="W47" s="162">
        <v>0</v>
      </c>
      <c r="Y47" s="160"/>
      <c r="Z47" s="102" t="s">
        <v>36</v>
      </c>
      <c r="AA47" s="148"/>
      <c r="AB47" s="148"/>
      <c r="AC47" s="128"/>
      <c r="AD47" s="184">
        <v>0</v>
      </c>
      <c r="AE47" s="185"/>
      <c r="AG47" s="111" t="s">
        <v>37</v>
      </c>
      <c r="AH47" s="124"/>
      <c r="AI47" s="162">
        <v>95</v>
      </c>
      <c r="AK47" s="160"/>
      <c r="AL47" s="102" t="s">
        <v>36</v>
      </c>
      <c r="AM47" s="148"/>
      <c r="AN47" s="148"/>
      <c r="AO47" s="128"/>
      <c r="AP47" s="184">
        <v>0</v>
      </c>
      <c r="AQ47" s="185"/>
      <c r="AS47" s="111" t="s">
        <v>37</v>
      </c>
      <c r="AT47" s="124"/>
      <c r="AU47" s="162">
        <v>0</v>
      </c>
      <c r="AW47" s="160"/>
      <c r="AX47" s="102" t="s">
        <v>36</v>
      </c>
      <c r="AY47" s="148"/>
      <c r="AZ47" s="148"/>
      <c r="BA47" s="128"/>
      <c r="BB47" s="184">
        <v>0</v>
      </c>
      <c r="BC47" s="185"/>
      <c r="BE47" s="111" t="s">
        <v>37</v>
      </c>
      <c r="BF47" s="124"/>
      <c r="BG47" s="162">
        <v>70</v>
      </c>
      <c r="BI47" s="160"/>
      <c r="BJ47" s="102" t="s">
        <v>36</v>
      </c>
      <c r="BK47" s="148"/>
      <c r="BL47" s="148"/>
      <c r="BM47" s="128"/>
      <c r="BN47" s="184">
        <v>0</v>
      </c>
      <c r="BO47" s="185"/>
      <c r="BQ47" s="111" t="s">
        <v>37</v>
      </c>
      <c r="BR47" s="124"/>
      <c r="BS47" s="162">
        <v>532</v>
      </c>
      <c r="BU47" s="160"/>
      <c r="BV47" s="102" t="s">
        <v>36</v>
      </c>
      <c r="BW47" s="148"/>
      <c r="BX47" s="148"/>
      <c r="BY47" s="128"/>
      <c r="BZ47" s="184">
        <v>0</v>
      </c>
      <c r="CA47" s="185"/>
      <c r="CC47" s="111" t="s">
        <v>37</v>
      </c>
      <c r="CD47" s="124"/>
      <c r="CE47" s="162">
        <v>157</v>
      </c>
      <c r="CG47" s="160"/>
      <c r="CH47" s="102" t="s">
        <v>36</v>
      </c>
      <c r="CI47" s="148"/>
      <c r="CJ47" s="148"/>
      <c r="CK47" s="128"/>
      <c r="CL47" s="225">
        <v>0</v>
      </c>
      <c r="CM47" s="226"/>
      <c r="CO47" s="111" t="s">
        <v>37</v>
      </c>
      <c r="CP47" s="124"/>
      <c r="CQ47" s="162">
        <v>532</v>
      </c>
      <c r="CS47" s="160"/>
      <c r="CT47" s="102" t="s">
        <v>36</v>
      </c>
      <c r="CU47" s="148"/>
      <c r="CV47" s="148"/>
      <c r="CW47" s="128"/>
      <c r="CX47" s="156">
        <v>0</v>
      </c>
      <c r="CY47" s="157"/>
      <c r="DA47" s="111" t="s">
        <v>37</v>
      </c>
      <c r="DB47" s="124"/>
      <c r="DC47" s="162">
        <v>0</v>
      </c>
      <c r="DD47" s="2"/>
      <c r="DE47" s="160"/>
      <c r="DF47" s="102" t="s">
        <v>36</v>
      </c>
      <c r="DG47" s="148"/>
      <c r="DH47" s="148"/>
      <c r="DI47" s="128"/>
      <c r="DJ47" s="156">
        <v>0</v>
      </c>
      <c r="DK47" s="157"/>
      <c r="DM47" s="111" t="s">
        <v>37</v>
      </c>
      <c r="DN47" s="124"/>
      <c r="DO47" s="162">
        <v>0</v>
      </c>
      <c r="DP47" s="2"/>
      <c r="DQ47" s="160"/>
      <c r="DR47" s="102" t="s">
        <v>36</v>
      </c>
      <c r="DS47" s="148"/>
      <c r="DT47" s="148"/>
      <c r="DU47" s="128"/>
      <c r="DV47" s="156">
        <v>0</v>
      </c>
      <c r="DW47" s="157"/>
      <c r="DY47" s="111" t="s">
        <v>37</v>
      </c>
      <c r="DZ47" s="124"/>
      <c r="EA47" s="162">
        <v>0</v>
      </c>
      <c r="EC47" s="160"/>
      <c r="ED47" s="102" t="s">
        <v>36</v>
      </c>
      <c r="EE47" s="148"/>
      <c r="EF47" s="148"/>
      <c r="EG47" s="128"/>
      <c r="EH47" s="156">
        <v>0</v>
      </c>
      <c r="EI47" s="157"/>
      <c r="EK47" s="111" t="s">
        <v>37</v>
      </c>
      <c r="EL47" s="124"/>
      <c r="EM47" s="162">
        <v>0</v>
      </c>
      <c r="EO47" s="234"/>
      <c r="EP47" s="156" t="s">
        <v>36</v>
      </c>
      <c r="EQ47" s="187"/>
      <c r="ER47" s="187"/>
      <c r="ES47" s="157"/>
      <c r="ET47" s="156">
        <f t="shared" si="2"/>
        <v>0</v>
      </c>
      <c r="EU47" s="157"/>
      <c r="EW47" s="111" t="s">
        <v>37</v>
      </c>
      <c r="EX47" s="124"/>
      <c r="EY47" s="162">
        <f>K47+W47+AI47+AU47+BG47+BS47+CE47+CQ47+DC47+DO47+EA47+EM47</f>
        <v>1543</v>
      </c>
    </row>
    <row r="48" spans="1:155" ht="17.100000000000001" customHeight="1" thickTop="1" thickBot="1" x14ac:dyDescent="0.25">
      <c r="A48" s="111" t="s">
        <v>38</v>
      </c>
      <c r="B48" s="174"/>
      <c r="C48" s="124"/>
      <c r="D48" s="155" t="s">
        <v>39</v>
      </c>
      <c r="E48" s="161"/>
      <c r="F48" s="190">
        <v>2</v>
      </c>
      <c r="G48" s="191"/>
      <c r="I48" s="113"/>
      <c r="J48" s="112"/>
      <c r="K48" s="163"/>
      <c r="M48" s="111" t="s">
        <v>38</v>
      </c>
      <c r="N48" s="174"/>
      <c r="O48" s="124"/>
      <c r="P48" s="155" t="s">
        <v>39</v>
      </c>
      <c r="Q48" s="161"/>
      <c r="R48" s="190">
        <v>0</v>
      </c>
      <c r="S48" s="191"/>
      <c r="U48" s="113"/>
      <c r="V48" s="112"/>
      <c r="W48" s="163"/>
      <c r="Y48" s="111" t="s">
        <v>38</v>
      </c>
      <c r="Z48" s="174"/>
      <c r="AA48" s="124"/>
      <c r="AB48" s="155" t="s">
        <v>39</v>
      </c>
      <c r="AC48" s="161"/>
      <c r="AD48" s="190">
        <v>170</v>
      </c>
      <c r="AE48" s="191"/>
      <c r="AG48" s="113"/>
      <c r="AH48" s="112"/>
      <c r="AI48" s="163"/>
      <c r="AK48" s="111" t="s">
        <v>38</v>
      </c>
      <c r="AL48" s="174"/>
      <c r="AM48" s="124"/>
      <c r="AN48" s="155" t="s">
        <v>39</v>
      </c>
      <c r="AO48" s="161"/>
      <c r="AP48" s="190">
        <v>203</v>
      </c>
      <c r="AQ48" s="191"/>
      <c r="AS48" s="113"/>
      <c r="AT48" s="112"/>
      <c r="AU48" s="163"/>
      <c r="AW48" s="111" t="s">
        <v>38</v>
      </c>
      <c r="AX48" s="174"/>
      <c r="AY48" s="124"/>
      <c r="AZ48" s="155" t="s">
        <v>39</v>
      </c>
      <c r="BA48" s="161"/>
      <c r="BB48" s="190">
        <v>44</v>
      </c>
      <c r="BC48" s="191"/>
      <c r="BE48" s="113"/>
      <c r="BF48" s="112"/>
      <c r="BG48" s="163"/>
      <c r="BI48" s="111" t="s">
        <v>38</v>
      </c>
      <c r="BJ48" s="174"/>
      <c r="BK48" s="124"/>
      <c r="BL48" s="155" t="s">
        <v>39</v>
      </c>
      <c r="BM48" s="161"/>
      <c r="BN48" s="190">
        <v>25</v>
      </c>
      <c r="BO48" s="191"/>
      <c r="BQ48" s="113"/>
      <c r="BR48" s="112"/>
      <c r="BS48" s="163"/>
      <c r="BU48" s="111" t="s">
        <v>38</v>
      </c>
      <c r="BV48" s="174"/>
      <c r="BW48" s="124"/>
      <c r="BX48" s="155" t="s">
        <v>39</v>
      </c>
      <c r="BY48" s="161"/>
      <c r="BZ48" s="190">
        <v>56</v>
      </c>
      <c r="CA48" s="191"/>
      <c r="CC48" s="113"/>
      <c r="CD48" s="112"/>
      <c r="CE48" s="163"/>
      <c r="CG48" s="111" t="s">
        <v>38</v>
      </c>
      <c r="CH48" s="174"/>
      <c r="CI48" s="124"/>
      <c r="CJ48" s="155" t="s">
        <v>39</v>
      </c>
      <c r="CK48" s="161"/>
      <c r="CL48" s="210">
        <v>25</v>
      </c>
      <c r="CM48" s="211"/>
      <c r="CO48" s="113"/>
      <c r="CP48" s="112"/>
      <c r="CQ48" s="163"/>
      <c r="CS48" s="111" t="s">
        <v>38</v>
      </c>
      <c r="CT48" s="174"/>
      <c r="CU48" s="124"/>
      <c r="CV48" s="155" t="s">
        <v>39</v>
      </c>
      <c r="CW48" s="161"/>
      <c r="CX48" s="155">
        <v>0</v>
      </c>
      <c r="CY48" s="141"/>
      <c r="DA48" s="113"/>
      <c r="DB48" s="112"/>
      <c r="DC48" s="163"/>
      <c r="DD48" s="2"/>
      <c r="DE48" s="111" t="s">
        <v>38</v>
      </c>
      <c r="DF48" s="174"/>
      <c r="DG48" s="124"/>
      <c r="DH48" s="155" t="s">
        <v>39</v>
      </c>
      <c r="DI48" s="161"/>
      <c r="DJ48" s="155">
        <v>0</v>
      </c>
      <c r="DK48" s="141"/>
      <c r="DM48" s="113"/>
      <c r="DN48" s="112"/>
      <c r="DO48" s="163"/>
      <c r="DP48" s="2"/>
      <c r="DQ48" s="111" t="s">
        <v>38</v>
      </c>
      <c r="DR48" s="174"/>
      <c r="DS48" s="124"/>
      <c r="DT48" s="155" t="s">
        <v>39</v>
      </c>
      <c r="DU48" s="161"/>
      <c r="DV48" s="155">
        <v>0</v>
      </c>
      <c r="DW48" s="141"/>
      <c r="DY48" s="113"/>
      <c r="DZ48" s="112"/>
      <c r="EA48" s="163"/>
      <c r="EC48" s="111" t="s">
        <v>38</v>
      </c>
      <c r="ED48" s="174"/>
      <c r="EE48" s="124"/>
      <c r="EF48" s="155" t="s">
        <v>39</v>
      </c>
      <c r="EG48" s="161"/>
      <c r="EH48" s="155">
        <v>0</v>
      </c>
      <c r="EI48" s="141"/>
      <c r="EK48" s="113"/>
      <c r="EL48" s="112"/>
      <c r="EM48" s="163"/>
      <c r="EO48" s="111" t="s">
        <v>38</v>
      </c>
      <c r="EP48" s="174"/>
      <c r="EQ48" s="124"/>
      <c r="ER48" s="155" t="s">
        <v>39</v>
      </c>
      <c r="ES48" s="141"/>
      <c r="ET48" s="156">
        <f t="shared" si="2"/>
        <v>525</v>
      </c>
      <c r="EU48" s="157"/>
      <c r="EW48" s="113"/>
      <c r="EX48" s="112"/>
      <c r="EY48" s="163"/>
    </row>
    <row r="49" spans="1:155" ht="17.100000000000001" customHeight="1" thickBot="1" x14ac:dyDescent="0.25">
      <c r="A49" s="113"/>
      <c r="B49" s="175"/>
      <c r="C49" s="112"/>
      <c r="D49" s="154" t="s">
        <v>40</v>
      </c>
      <c r="E49" s="181"/>
      <c r="F49" s="182">
        <v>0</v>
      </c>
      <c r="G49" s="183"/>
      <c r="I49" s="125"/>
      <c r="J49" s="126"/>
      <c r="K49" s="164"/>
      <c r="M49" s="113"/>
      <c r="N49" s="175"/>
      <c r="O49" s="112"/>
      <c r="P49" s="154" t="s">
        <v>40</v>
      </c>
      <c r="Q49" s="181"/>
      <c r="R49" s="182">
        <v>0</v>
      </c>
      <c r="S49" s="183"/>
      <c r="U49" s="125"/>
      <c r="V49" s="126"/>
      <c r="W49" s="164"/>
      <c r="Y49" s="113"/>
      <c r="Z49" s="175"/>
      <c r="AA49" s="112"/>
      <c r="AB49" s="154" t="s">
        <v>40</v>
      </c>
      <c r="AC49" s="181"/>
      <c r="AD49" s="182">
        <v>0</v>
      </c>
      <c r="AE49" s="183"/>
      <c r="AG49" s="125"/>
      <c r="AH49" s="126"/>
      <c r="AI49" s="164"/>
      <c r="AK49" s="113"/>
      <c r="AL49" s="175"/>
      <c r="AM49" s="112"/>
      <c r="AN49" s="154" t="s">
        <v>40</v>
      </c>
      <c r="AO49" s="181"/>
      <c r="AP49" s="182">
        <v>0</v>
      </c>
      <c r="AQ49" s="183"/>
      <c r="AS49" s="125"/>
      <c r="AT49" s="126"/>
      <c r="AU49" s="164"/>
      <c r="AW49" s="113"/>
      <c r="AX49" s="175"/>
      <c r="AY49" s="112"/>
      <c r="AZ49" s="154" t="s">
        <v>40</v>
      </c>
      <c r="BA49" s="181"/>
      <c r="BB49" s="182">
        <v>0</v>
      </c>
      <c r="BC49" s="183"/>
      <c r="BE49" s="125"/>
      <c r="BF49" s="126"/>
      <c r="BG49" s="164"/>
      <c r="BI49" s="113"/>
      <c r="BJ49" s="175"/>
      <c r="BK49" s="112"/>
      <c r="BL49" s="154" t="s">
        <v>40</v>
      </c>
      <c r="BM49" s="181"/>
      <c r="BN49" s="182">
        <v>0</v>
      </c>
      <c r="BO49" s="183"/>
      <c r="BQ49" s="125"/>
      <c r="BR49" s="126"/>
      <c r="BS49" s="164"/>
      <c r="BU49" s="113"/>
      <c r="BV49" s="175"/>
      <c r="BW49" s="112"/>
      <c r="BX49" s="154" t="s">
        <v>40</v>
      </c>
      <c r="BY49" s="181"/>
      <c r="BZ49" s="182">
        <v>0</v>
      </c>
      <c r="CA49" s="183"/>
      <c r="CC49" s="125"/>
      <c r="CD49" s="126"/>
      <c r="CE49" s="164"/>
      <c r="CG49" s="113"/>
      <c r="CH49" s="175"/>
      <c r="CI49" s="112"/>
      <c r="CJ49" s="154" t="s">
        <v>40</v>
      </c>
      <c r="CK49" s="181"/>
      <c r="CL49" s="212">
        <v>0</v>
      </c>
      <c r="CM49" s="213"/>
      <c r="CO49" s="125"/>
      <c r="CP49" s="126"/>
      <c r="CQ49" s="164"/>
      <c r="CS49" s="113"/>
      <c r="CT49" s="175"/>
      <c r="CU49" s="112"/>
      <c r="CV49" s="154" t="s">
        <v>40</v>
      </c>
      <c r="CW49" s="181"/>
      <c r="CX49" s="154">
        <v>0</v>
      </c>
      <c r="CY49" s="142"/>
      <c r="DA49" s="125"/>
      <c r="DB49" s="126"/>
      <c r="DC49" s="164"/>
      <c r="DD49" s="2"/>
      <c r="DE49" s="113"/>
      <c r="DF49" s="175"/>
      <c r="DG49" s="112"/>
      <c r="DH49" s="154" t="s">
        <v>40</v>
      </c>
      <c r="DI49" s="181"/>
      <c r="DJ49" s="154">
        <v>0</v>
      </c>
      <c r="DK49" s="142"/>
      <c r="DM49" s="125"/>
      <c r="DN49" s="126"/>
      <c r="DO49" s="164"/>
      <c r="DP49" s="2"/>
      <c r="DQ49" s="113"/>
      <c r="DR49" s="175"/>
      <c r="DS49" s="112"/>
      <c r="DT49" s="154" t="s">
        <v>40</v>
      </c>
      <c r="DU49" s="181"/>
      <c r="DV49" s="154">
        <v>0</v>
      </c>
      <c r="DW49" s="142"/>
      <c r="DY49" s="125"/>
      <c r="DZ49" s="126"/>
      <c r="EA49" s="164"/>
      <c r="EC49" s="113"/>
      <c r="ED49" s="175"/>
      <c r="EE49" s="112"/>
      <c r="EF49" s="154" t="s">
        <v>40</v>
      </c>
      <c r="EG49" s="181"/>
      <c r="EH49" s="154">
        <v>0</v>
      </c>
      <c r="EI49" s="142"/>
      <c r="EK49" s="125"/>
      <c r="EL49" s="126"/>
      <c r="EM49" s="164"/>
      <c r="EO49" s="113"/>
      <c r="EP49" s="175"/>
      <c r="EQ49" s="112"/>
      <c r="ER49" s="154" t="s">
        <v>40</v>
      </c>
      <c r="ES49" s="142"/>
      <c r="ET49" s="156">
        <f t="shared" si="2"/>
        <v>0</v>
      </c>
      <c r="EU49" s="157"/>
      <c r="EW49" s="125"/>
      <c r="EX49" s="126"/>
      <c r="EY49" s="164"/>
    </row>
    <row r="50" spans="1:155" ht="17.100000000000001" customHeight="1" thickBot="1" x14ac:dyDescent="0.25">
      <c r="A50" s="113"/>
      <c r="B50" s="175"/>
      <c r="C50" s="112"/>
      <c r="D50" s="154" t="s">
        <v>41</v>
      </c>
      <c r="E50" s="181"/>
      <c r="F50" s="182">
        <v>0</v>
      </c>
      <c r="G50" s="183"/>
      <c r="I50" s="111" t="s">
        <v>20</v>
      </c>
      <c r="J50" s="124"/>
      <c r="K50" s="162">
        <v>133</v>
      </c>
      <c r="M50" s="113"/>
      <c r="N50" s="175"/>
      <c r="O50" s="112"/>
      <c r="P50" s="154" t="s">
        <v>41</v>
      </c>
      <c r="Q50" s="181"/>
      <c r="R50" s="182">
        <v>0</v>
      </c>
      <c r="S50" s="183"/>
      <c r="U50" s="111" t="s">
        <v>20</v>
      </c>
      <c r="V50" s="124"/>
      <c r="W50" s="162">
        <v>0</v>
      </c>
      <c r="Y50" s="113"/>
      <c r="Z50" s="175"/>
      <c r="AA50" s="112"/>
      <c r="AB50" s="154" t="s">
        <v>41</v>
      </c>
      <c r="AC50" s="181"/>
      <c r="AD50" s="182">
        <v>0</v>
      </c>
      <c r="AE50" s="183"/>
      <c r="AG50" s="111" t="s">
        <v>20</v>
      </c>
      <c r="AH50" s="124"/>
      <c r="AI50" s="162">
        <v>113</v>
      </c>
      <c r="AK50" s="113"/>
      <c r="AL50" s="175"/>
      <c r="AM50" s="112"/>
      <c r="AN50" s="154" t="s">
        <v>41</v>
      </c>
      <c r="AO50" s="181"/>
      <c r="AP50" s="182">
        <v>0</v>
      </c>
      <c r="AQ50" s="183"/>
      <c r="AS50" s="111" t="s">
        <v>20</v>
      </c>
      <c r="AT50" s="124"/>
      <c r="AU50" s="162">
        <v>0</v>
      </c>
      <c r="AW50" s="113"/>
      <c r="AX50" s="175"/>
      <c r="AY50" s="112"/>
      <c r="AZ50" s="154" t="s">
        <v>41</v>
      </c>
      <c r="BA50" s="181"/>
      <c r="BB50" s="182">
        <v>0</v>
      </c>
      <c r="BC50" s="183"/>
      <c r="BE50" s="111" t="s">
        <v>20</v>
      </c>
      <c r="BF50" s="124"/>
      <c r="BG50" s="162">
        <v>121</v>
      </c>
      <c r="BI50" s="113"/>
      <c r="BJ50" s="175"/>
      <c r="BK50" s="112"/>
      <c r="BL50" s="154" t="s">
        <v>41</v>
      </c>
      <c r="BM50" s="181"/>
      <c r="BN50" s="182">
        <v>0</v>
      </c>
      <c r="BO50" s="183"/>
      <c r="BQ50" s="111" t="s">
        <v>20</v>
      </c>
      <c r="BR50" s="124"/>
      <c r="BS50" s="162">
        <v>421</v>
      </c>
      <c r="BU50" s="113"/>
      <c r="BV50" s="175"/>
      <c r="BW50" s="112"/>
      <c r="BX50" s="154" t="s">
        <v>41</v>
      </c>
      <c r="BY50" s="181"/>
      <c r="BZ50" s="182">
        <v>0</v>
      </c>
      <c r="CA50" s="183"/>
      <c r="CC50" s="111" t="s">
        <v>20</v>
      </c>
      <c r="CD50" s="124"/>
      <c r="CE50" s="162">
        <v>133</v>
      </c>
      <c r="CG50" s="113"/>
      <c r="CH50" s="175"/>
      <c r="CI50" s="112"/>
      <c r="CJ50" s="154" t="s">
        <v>41</v>
      </c>
      <c r="CK50" s="181"/>
      <c r="CL50" s="212">
        <v>0</v>
      </c>
      <c r="CM50" s="213"/>
      <c r="CO50" s="111" t="s">
        <v>20</v>
      </c>
      <c r="CP50" s="124"/>
      <c r="CQ50" s="162">
        <v>421</v>
      </c>
      <c r="CS50" s="113"/>
      <c r="CT50" s="175"/>
      <c r="CU50" s="112"/>
      <c r="CV50" s="154" t="s">
        <v>41</v>
      </c>
      <c r="CW50" s="181"/>
      <c r="CX50" s="154">
        <v>0</v>
      </c>
      <c r="CY50" s="142"/>
      <c r="DA50" s="111" t="s">
        <v>20</v>
      </c>
      <c r="DB50" s="124"/>
      <c r="DC50" s="162">
        <v>0</v>
      </c>
      <c r="DD50" s="2"/>
      <c r="DE50" s="113"/>
      <c r="DF50" s="175"/>
      <c r="DG50" s="112"/>
      <c r="DH50" s="154" t="s">
        <v>41</v>
      </c>
      <c r="DI50" s="181"/>
      <c r="DJ50" s="154">
        <v>0</v>
      </c>
      <c r="DK50" s="142"/>
      <c r="DM50" s="111" t="s">
        <v>20</v>
      </c>
      <c r="DN50" s="124"/>
      <c r="DO50" s="162">
        <v>0</v>
      </c>
      <c r="DP50" s="2"/>
      <c r="DQ50" s="113"/>
      <c r="DR50" s="175"/>
      <c r="DS50" s="112"/>
      <c r="DT50" s="154" t="s">
        <v>41</v>
      </c>
      <c r="DU50" s="181"/>
      <c r="DV50" s="154">
        <v>0</v>
      </c>
      <c r="DW50" s="142"/>
      <c r="DY50" s="111" t="s">
        <v>20</v>
      </c>
      <c r="DZ50" s="124"/>
      <c r="EA50" s="162">
        <v>0</v>
      </c>
      <c r="EC50" s="113"/>
      <c r="ED50" s="175"/>
      <c r="EE50" s="112"/>
      <c r="EF50" s="154" t="s">
        <v>41</v>
      </c>
      <c r="EG50" s="181"/>
      <c r="EH50" s="154">
        <v>0</v>
      </c>
      <c r="EI50" s="142"/>
      <c r="EK50" s="111" t="s">
        <v>20</v>
      </c>
      <c r="EL50" s="124"/>
      <c r="EM50" s="162">
        <v>0</v>
      </c>
      <c r="EO50" s="113"/>
      <c r="EP50" s="175"/>
      <c r="EQ50" s="112"/>
      <c r="ER50" s="154" t="s">
        <v>41</v>
      </c>
      <c r="ES50" s="142"/>
      <c r="ET50" s="156">
        <f t="shared" si="2"/>
        <v>0</v>
      </c>
      <c r="EU50" s="157"/>
      <c r="EW50" s="111" t="s">
        <v>20</v>
      </c>
      <c r="EX50" s="124"/>
      <c r="EY50" s="162">
        <f>K50+W50+AI50+AU50+BG50+BS50+CE50+CQ50+DC50+DO50+EA50+EM50</f>
        <v>1342</v>
      </c>
    </row>
    <row r="51" spans="1:155" ht="17.100000000000001" customHeight="1" thickBot="1" x14ac:dyDescent="0.25">
      <c r="A51" s="125"/>
      <c r="B51" s="175"/>
      <c r="C51" s="112"/>
      <c r="D51" s="188" t="s">
        <v>42</v>
      </c>
      <c r="E51" s="189"/>
      <c r="F51" s="192">
        <v>3</v>
      </c>
      <c r="G51" s="193"/>
      <c r="I51" s="113"/>
      <c r="J51" s="112"/>
      <c r="K51" s="163"/>
      <c r="M51" s="125"/>
      <c r="N51" s="175"/>
      <c r="O51" s="112"/>
      <c r="P51" s="188" t="s">
        <v>42</v>
      </c>
      <c r="Q51" s="189"/>
      <c r="R51" s="192">
        <v>5</v>
      </c>
      <c r="S51" s="193"/>
      <c r="U51" s="113"/>
      <c r="V51" s="112"/>
      <c r="W51" s="163"/>
      <c r="Y51" s="125"/>
      <c r="Z51" s="175"/>
      <c r="AA51" s="112"/>
      <c r="AB51" s="188" t="s">
        <v>42</v>
      </c>
      <c r="AC51" s="189"/>
      <c r="AD51" s="192">
        <v>35</v>
      </c>
      <c r="AE51" s="193"/>
      <c r="AG51" s="113"/>
      <c r="AH51" s="112"/>
      <c r="AI51" s="163"/>
      <c r="AK51" s="125"/>
      <c r="AL51" s="175"/>
      <c r="AM51" s="112"/>
      <c r="AN51" s="188" t="s">
        <v>42</v>
      </c>
      <c r="AO51" s="189"/>
      <c r="AP51" s="192">
        <v>10</v>
      </c>
      <c r="AQ51" s="193"/>
      <c r="AS51" s="113"/>
      <c r="AT51" s="112"/>
      <c r="AU51" s="163"/>
      <c r="AW51" s="125"/>
      <c r="AX51" s="175"/>
      <c r="AY51" s="112"/>
      <c r="AZ51" s="188" t="s">
        <v>42</v>
      </c>
      <c r="BA51" s="189"/>
      <c r="BB51" s="192">
        <v>2</v>
      </c>
      <c r="BC51" s="193"/>
      <c r="BE51" s="113"/>
      <c r="BF51" s="112"/>
      <c r="BG51" s="163"/>
      <c r="BI51" s="125"/>
      <c r="BJ51" s="175"/>
      <c r="BK51" s="112"/>
      <c r="BL51" s="188" t="s">
        <v>42</v>
      </c>
      <c r="BM51" s="189"/>
      <c r="BN51" s="192">
        <v>9</v>
      </c>
      <c r="BO51" s="193"/>
      <c r="BQ51" s="113"/>
      <c r="BR51" s="112"/>
      <c r="BS51" s="163"/>
      <c r="BU51" s="125"/>
      <c r="BV51" s="175"/>
      <c r="BW51" s="112"/>
      <c r="BX51" s="188" t="s">
        <v>42</v>
      </c>
      <c r="BY51" s="189"/>
      <c r="BZ51" s="192">
        <v>17</v>
      </c>
      <c r="CA51" s="193"/>
      <c r="CC51" s="113"/>
      <c r="CD51" s="112"/>
      <c r="CE51" s="163"/>
      <c r="CG51" s="125"/>
      <c r="CH51" s="175"/>
      <c r="CI51" s="112"/>
      <c r="CJ51" s="188" t="s">
        <v>42</v>
      </c>
      <c r="CK51" s="189"/>
      <c r="CL51" s="214">
        <v>9</v>
      </c>
      <c r="CM51" s="215"/>
      <c r="CO51" s="113"/>
      <c r="CP51" s="112"/>
      <c r="CQ51" s="163"/>
      <c r="CS51" s="125"/>
      <c r="CT51" s="175"/>
      <c r="CU51" s="112"/>
      <c r="CV51" s="188" t="s">
        <v>42</v>
      </c>
      <c r="CW51" s="189"/>
      <c r="CX51" s="188">
        <v>0</v>
      </c>
      <c r="CY51" s="194"/>
      <c r="DA51" s="113"/>
      <c r="DB51" s="112"/>
      <c r="DC51" s="163"/>
      <c r="DD51" s="2"/>
      <c r="DE51" s="125"/>
      <c r="DF51" s="175"/>
      <c r="DG51" s="112"/>
      <c r="DH51" s="188" t="s">
        <v>42</v>
      </c>
      <c r="DI51" s="189"/>
      <c r="DJ51" s="188">
        <v>0</v>
      </c>
      <c r="DK51" s="194"/>
      <c r="DM51" s="113"/>
      <c r="DN51" s="112"/>
      <c r="DO51" s="163"/>
      <c r="DP51" s="2"/>
      <c r="DQ51" s="125"/>
      <c r="DR51" s="175"/>
      <c r="DS51" s="112"/>
      <c r="DT51" s="188" t="s">
        <v>42</v>
      </c>
      <c r="DU51" s="189"/>
      <c r="DV51" s="188">
        <v>0</v>
      </c>
      <c r="DW51" s="194"/>
      <c r="DY51" s="113"/>
      <c r="DZ51" s="112"/>
      <c r="EA51" s="163"/>
      <c r="EC51" s="125"/>
      <c r="ED51" s="175"/>
      <c r="EE51" s="112"/>
      <c r="EF51" s="188" t="s">
        <v>42</v>
      </c>
      <c r="EG51" s="189"/>
      <c r="EH51" s="188">
        <v>0</v>
      </c>
      <c r="EI51" s="194"/>
      <c r="EK51" s="113"/>
      <c r="EL51" s="112"/>
      <c r="EM51" s="163"/>
      <c r="EO51" s="125"/>
      <c r="EP51" s="176"/>
      <c r="EQ51" s="126"/>
      <c r="ER51" s="177" t="s">
        <v>42</v>
      </c>
      <c r="ES51" s="178"/>
      <c r="ET51" s="156">
        <f t="shared" si="2"/>
        <v>90</v>
      </c>
      <c r="EU51" s="157"/>
      <c r="EW51" s="113"/>
      <c r="EX51" s="112"/>
      <c r="EY51" s="163"/>
    </row>
    <row r="52" spans="1:155" ht="17.100000000000001" customHeight="1" thickBot="1" x14ac:dyDescent="0.25">
      <c r="A52" s="111" t="s">
        <v>43</v>
      </c>
      <c r="B52" s="61">
        <f>1</f>
        <v>1</v>
      </c>
      <c r="C52" s="62">
        <v>2</v>
      </c>
      <c r="D52" s="62">
        <v>3</v>
      </c>
      <c r="E52" s="62">
        <v>4</v>
      </c>
      <c r="F52" s="62">
        <v>5</v>
      </c>
      <c r="G52" s="80">
        <v>6</v>
      </c>
      <c r="I52" s="125"/>
      <c r="J52" s="126"/>
      <c r="K52" s="164"/>
      <c r="M52" s="111" t="s">
        <v>43</v>
      </c>
      <c r="N52" s="61">
        <f>1</f>
        <v>1</v>
      </c>
      <c r="O52" s="62">
        <v>2</v>
      </c>
      <c r="P52" s="62">
        <v>3</v>
      </c>
      <c r="Q52" s="62">
        <v>4</v>
      </c>
      <c r="R52" s="62">
        <v>5</v>
      </c>
      <c r="S52" s="80">
        <v>6</v>
      </c>
      <c r="U52" s="125"/>
      <c r="V52" s="126"/>
      <c r="W52" s="164"/>
      <c r="Y52" s="111" t="s">
        <v>43</v>
      </c>
      <c r="Z52" s="61">
        <f>1</f>
        <v>1</v>
      </c>
      <c r="AA52" s="62">
        <v>2</v>
      </c>
      <c r="AB52" s="62">
        <v>3</v>
      </c>
      <c r="AC52" s="62">
        <v>4</v>
      </c>
      <c r="AD52" s="62">
        <v>5</v>
      </c>
      <c r="AE52" s="80">
        <v>6</v>
      </c>
      <c r="AG52" s="125"/>
      <c r="AH52" s="126"/>
      <c r="AI52" s="164"/>
      <c r="AK52" s="111" t="s">
        <v>43</v>
      </c>
      <c r="AL52" s="61">
        <f>1</f>
        <v>1</v>
      </c>
      <c r="AM52" s="62">
        <v>2</v>
      </c>
      <c r="AN52" s="62">
        <v>3</v>
      </c>
      <c r="AO52" s="62">
        <v>4</v>
      </c>
      <c r="AP52" s="62">
        <v>5</v>
      </c>
      <c r="AQ52" s="80">
        <v>6</v>
      </c>
      <c r="AS52" s="125"/>
      <c r="AT52" s="126"/>
      <c r="AU52" s="164"/>
      <c r="AW52" s="111" t="s">
        <v>43</v>
      </c>
      <c r="AX52" s="61">
        <f>1</f>
        <v>1</v>
      </c>
      <c r="AY52" s="62">
        <v>2</v>
      </c>
      <c r="AZ52" s="62">
        <v>3</v>
      </c>
      <c r="BA52" s="62">
        <v>4</v>
      </c>
      <c r="BB52" s="62">
        <v>5</v>
      </c>
      <c r="BC52" s="80">
        <v>6</v>
      </c>
      <c r="BE52" s="125"/>
      <c r="BF52" s="126"/>
      <c r="BG52" s="164"/>
      <c r="BI52" s="111" t="s">
        <v>43</v>
      </c>
      <c r="BJ52" s="61">
        <f>1</f>
        <v>1</v>
      </c>
      <c r="BK52" s="62">
        <v>2</v>
      </c>
      <c r="BL52" s="62">
        <v>3</v>
      </c>
      <c r="BM52" s="62">
        <v>4</v>
      </c>
      <c r="BN52" s="62">
        <v>5</v>
      </c>
      <c r="BO52" s="80">
        <v>6</v>
      </c>
      <c r="BQ52" s="125"/>
      <c r="BR52" s="126"/>
      <c r="BS52" s="164"/>
      <c r="BU52" s="111" t="s">
        <v>43</v>
      </c>
      <c r="BV52" s="61">
        <f>1</f>
        <v>1</v>
      </c>
      <c r="BW52" s="62">
        <v>2</v>
      </c>
      <c r="BX52" s="62">
        <v>3</v>
      </c>
      <c r="BY52" s="62">
        <v>4</v>
      </c>
      <c r="BZ52" s="62">
        <v>5</v>
      </c>
      <c r="CA52" s="80">
        <v>6</v>
      </c>
      <c r="CC52" s="125"/>
      <c r="CD52" s="126"/>
      <c r="CE52" s="164"/>
      <c r="CG52" s="111" t="s">
        <v>43</v>
      </c>
      <c r="CH52" s="61">
        <f>1</f>
        <v>1</v>
      </c>
      <c r="CI52" s="62">
        <v>2</v>
      </c>
      <c r="CJ52" s="62">
        <v>3</v>
      </c>
      <c r="CK52" s="62">
        <v>4</v>
      </c>
      <c r="CL52" s="62">
        <v>5</v>
      </c>
      <c r="CM52" s="80">
        <v>6</v>
      </c>
      <c r="CO52" s="125"/>
      <c r="CP52" s="126"/>
      <c r="CQ52" s="164"/>
      <c r="CS52" s="111" t="s">
        <v>43</v>
      </c>
      <c r="CT52" s="61">
        <f>1</f>
        <v>1</v>
      </c>
      <c r="CU52" s="62">
        <v>2</v>
      </c>
      <c r="CV52" s="62">
        <v>3</v>
      </c>
      <c r="CW52" s="62">
        <v>4</v>
      </c>
      <c r="CX52" s="62">
        <v>5</v>
      </c>
      <c r="CY52" s="80">
        <v>6</v>
      </c>
      <c r="DA52" s="125"/>
      <c r="DB52" s="126"/>
      <c r="DC52" s="164"/>
      <c r="DD52" s="2"/>
      <c r="DE52" s="111" t="s">
        <v>43</v>
      </c>
      <c r="DF52" s="61">
        <f>1</f>
        <v>1</v>
      </c>
      <c r="DG52" s="62">
        <v>2</v>
      </c>
      <c r="DH52" s="62">
        <v>3</v>
      </c>
      <c r="DI52" s="62">
        <v>4</v>
      </c>
      <c r="DJ52" s="62">
        <v>5</v>
      </c>
      <c r="DK52" s="80">
        <v>6</v>
      </c>
      <c r="DM52" s="125"/>
      <c r="DN52" s="126"/>
      <c r="DO52" s="164"/>
      <c r="DP52" s="2"/>
      <c r="DQ52" s="111" t="s">
        <v>43</v>
      </c>
      <c r="DR52" s="61">
        <f>1</f>
        <v>1</v>
      </c>
      <c r="DS52" s="62">
        <v>2</v>
      </c>
      <c r="DT52" s="62">
        <v>3</v>
      </c>
      <c r="DU52" s="62">
        <v>4</v>
      </c>
      <c r="DV52" s="62">
        <v>5</v>
      </c>
      <c r="DW52" s="80">
        <v>6</v>
      </c>
      <c r="DY52" s="125"/>
      <c r="DZ52" s="126"/>
      <c r="EA52" s="164"/>
      <c r="EC52" s="111" t="s">
        <v>43</v>
      </c>
      <c r="ED52" s="61">
        <f>1</f>
        <v>1</v>
      </c>
      <c r="EE52" s="62">
        <v>2</v>
      </c>
      <c r="EF52" s="62">
        <v>3</v>
      </c>
      <c r="EG52" s="62">
        <v>4</v>
      </c>
      <c r="EH52" s="62">
        <v>5</v>
      </c>
      <c r="EI52" s="80">
        <v>6</v>
      </c>
      <c r="EK52" s="125"/>
      <c r="EL52" s="126"/>
      <c r="EM52" s="164"/>
      <c r="EO52" s="229" t="s">
        <v>43</v>
      </c>
      <c r="EP52" s="61">
        <f>1</f>
        <v>1</v>
      </c>
      <c r="EQ52" s="62">
        <v>2</v>
      </c>
      <c r="ER52" s="62">
        <v>3</v>
      </c>
      <c r="ES52" s="62">
        <v>4</v>
      </c>
      <c r="ET52" s="62">
        <v>5</v>
      </c>
      <c r="EU52" s="80">
        <v>6</v>
      </c>
      <c r="EW52" s="125"/>
      <c r="EX52" s="126"/>
      <c r="EY52" s="164"/>
    </row>
    <row r="53" spans="1:155" ht="17.100000000000001" customHeight="1" thickTop="1" thickBot="1" x14ac:dyDescent="0.25">
      <c r="A53" s="125"/>
      <c r="B53" s="10">
        <v>5</v>
      </c>
      <c r="C53" s="11">
        <v>6</v>
      </c>
      <c r="D53" s="11">
        <v>3</v>
      </c>
      <c r="E53" s="11">
        <v>0</v>
      </c>
      <c r="F53" s="11">
        <v>0</v>
      </c>
      <c r="G53" s="12">
        <v>0</v>
      </c>
      <c r="H53" s="13"/>
      <c r="I53" s="14"/>
      <c r="J53" s="14"/>
      <c r="K53" s="9">
        <f>SUM(K47:K52)</f>
        <v>290</v>
      </c>
      <c r="M53" s="125"/>
      <c r="N53" s="10">
        <v>4</v>
      </c>
      <c r="O53" s="11">
        <v>8</v>
      </c>
      <c r="P53" s="11">
        <v>9</v>
      </c>
      <c r="Q53" s="11">
        <v>0</v>
      </c>
      <c r="R53" s="11">
        <v>0</v>
      </c>
      <c r="S53" s="12">
        <v>0</v>
      </c>
      <c r="T53" s="13"/>
      <c r="U53" s="14"/>
      <c r="V53" s="14"/>
      <c r="W53" s="9">
        <f>SUM(W47:W52)</f>
        <v>0</v>
      </c>
      <c r="Y53" s="125"/>
      <c r="Z53" s="94">
        <v>2</v>
      </c>
      <c r="AA53" s="95">
        <v>6</v>
      </c>
      <c r="AB53" s="95">
        <v>20</v>
      </c>
      <c r="AC53" s="95">
        <v>0</v>
      </c>
      <c r="AD53" s="95">
        <v>0</v>
      </c>
      <c r="AE53" s="96">
        <v>0</v>
      </c>
      <c r="AF53" s="13"/>
      <c r="AG53" s="14"/>
      <c r="AH53" s="14"/>
      <c r="AI53" s="9">
        <f>SUM(AI47:AI52)</f>
        <v>208</v>
      </c>
      <c r="AK53" s="125"/>
      <c r="AL53" s="94">
        <v>8</v>
      </c>
      <c r="AM53" s="95">
        <v>27</v>
      </c>
      <c r="AN53" s="95">
        <v>42</v>
      </c>
      <c r="AO53" s="95">
        <v>0</v>
      </c>
      <c r="AP53" s="95">
        <v>0</v>
      </c>
      <c r="AQ53" s="96">
        <v>0</v>
      </c>
      <c r="AR53" s="13"/>
      <c r="AS53" s="14"/>
      <c r="AT53" s="14"/>
      <c r="AU53" s="9">
        <f>SUM(AU47:AU52)</f>
        <v>0</v>
      </c>
      <c r="AW53" s="125"/>
      <c r="AX53" s="10">
        <v>2</v>
      </c>
      <c r="AY53" s="11">
        <v>11</v>
      </c>
      <c r="AZ53" s="11">
        <v>4</v>
      </c>
      <c r="BA53" s="11">
        <v>0</v>
      </c>
      <c r="BB53" s="11">
        <v>0</v>
      </c>
      <c r="BC53" s="12">
        <v>0</v>
      </c>
      <c r="BD53" s="13"/>
      <c r="BE53" s="14"/>
      <c r="BF53" s="14"/>
      <c r="BG53" s="9">
        <f>SUM(BG47:BG52)</f>
        <v>191</v>
      </c>
      <c r="BI53" s="125"/>
      <c r="BJ53" s="10">
        <v>17</v>
      </c>
      <c r="BK53" s="11">
        <v>19</v>
      </c>
      <c r="BL53" s="11">
        <v>15</v>
      </c>
      <c r="BM53" s="11">
        <v>0</v>
      </c>
      <c r="BN53" s="11">
        <v>0</v>
      </c>
      <c r="BO53" s="12">
        <v>0</v>
      </c>
      <c r="BP53" s="13"/>
      <c r="BQ53" s="14"/>
      <c r="BR53" s="14"/>
      <c r="BS53" s="9">
        <f>SUM(BS47:BS52)</f>
        <v>953</v>
      </c>
      <c r="BU53" s="125"/>
      <c r="BV53" s="10">
        <v>14</v>
      </c>
      <c r="BW53" s="11">
        <v>19</v>
      </c>
      <c r="BX53" s="11">
        <v>6</v>
      </c>
      <c r="BY53" s="11">
        <v>0</v>
      </c>
      <c r="BZ53" s="11">
        <v>0</v>
      </c>
      <c r="CA53" s="12">
        <v>0</v>
      </c>
      <c r="CB53" s="13"/>
      <c r="CC53" s="14"/>
      <c r="CD53" s="14"/>
      <c r="CE53" s="9">
        <f>SUM(CE47:CE52)</f>
        <v>290</v>
      </c>
      <c r="CG53" s="125"/>
      <c r="CH53" s="10">
        <v>17</v>
      </c>
      <c r="CI53" s="11">
        <v>19</v>
      </c>
      <c r="CJ53" s="11">
        <v>15</v>
      </c>
      <c r="CK53" s="11">
        <v>0</v>
      </c>
      <c r="CL53" s="11">
        <v>0</v>
      </c>
      <c r="CM53" s="12">
        <v>0</v>
      </c>
      <c r="CN53" s="13"/>
      <c r="CO53" s="14"/>
      <c r="CP53" s="14"/>
      <c r="CQ53" s="9">
        <f>SUM(CQ47:CQ52)</f>
        <v>953</v>
      </c>
      <c r="CS53" s="125"/>
      <c r="CT53" s="10">
        <v>0</v>
      </c>
      <c r="CU53" s="11">
        <v>0</v>
      </c>
      <c r="CV53" s="11">
        <v>0</v>
      </c>
      <c r="CW53" s="11">
        <v>0</v>
      </c>
      <c r="CX53" s="11">
        <v>0</v>
      </c>
      <c r="CY53" s="12">
        <v>0</v>
      </c>
      <c r="CZ53" s="13"/>
      <c r="DA53" s="14"/>
      <c r="DB53" s="14"/>
      <c r="DC53" s="9">
        <f>SUM(DC47:DC52)</f>
        <v>0</v>
      </c>
      <c r="DD53" s="2"/>
      <c r="DE53" s="125"/>
      <c r="DF53" s="10">
        <v>0</v>
      </c>
      <c r="DG53" s="11">
        <v>0</v>
      </c>
      <c r="DH53" s="11">
        <v>0</v>
      </c>
      <c r="DI53" s="11">
        <v>0</v>
      </c>
      <c r="DJ53" s="11">
        <v>0</v>
      </c>
      <c r="DK53" s="12">
        <v>0</v>
      </c>
      <c r="DL53" s="13"/>
      <c r="DM53" s="14"/>
      <c r="DN53" s="14"/>
      <c r="DO53" s="9">
        <f>SUM(DO47:DO52)</f>
        <v>0</v>
      </c>
      <c r="DP53" s="2"/>
      <c r="DQ53" s="125"/>
      <c r="DR53" s="10">
        <v>0</v>
      </c>
      <c r="DS53" s="11">
        <v>0</v>
      </c>
      <c r="DT53" s="11">
        <v>0</v>
      </c>
      <c r="DU53" s="11">
        <v>0</v>
      </c>
      <c r="DV53" s="11">
        <v>0</v>
      </c>
      <c r="DW53" s="12">
        <v>0</v>
      </c>
      <c r="DX53" s="13"/>
      <c r="DY53" s="14"/>
      <c r="DZ53" s="14"/>
      <c r="EA53" s="9">
        <f>SUM(EA47:EA52)</f>
        <v>0</v>
      </c>
      <c r="EC53" s="125"/>
      <c r="ED53" s="10">
        <v>0</v>
      </c>
      <c r="EE53" s="11">
        <v>0</v>
      </c>
      <c r="EF53" s="11">
        <v>0</v>
      </c>
      <c r="EG53" s="11">
        <v>0</v>
      </c>
      <c r="EH53" s="11">
        <v>0</v>
      </c>
      <c r="EI53" s="12">
        <v>0</v>
      </c>
      <c r="EJ53" s="13"/>
      <c r="EK53" s="14"/>
      <c r="EL53" s="14"/>
      <c r="EM53" s="9">
        <f>SUM(EM47:EM52)</f>
        <v>0</v>
      </c>
      <c r="EO53" s="237"/>
      <c r="EP53" s="10">
        <f t="shared" ref="EP53:EU53" si="3">B53+N53+Z53+AL53+AX53+BJ53+BV53+CH53+CT53+DF53+DR53+ED53</f>
        <v>69</v>
      </c>
      <c r="EQ53" s="10">
        <f t="shared" si="3"/>
        <v>115</v>
      </c>
      <c r="ER53" s="10">
        <f t="shared" si="3"/>
        <v>114</v>
      </c>
      <c r="ES53" s="10">
        <f t="shared" si="3"/>
        <v>0</v>
      </c>
      <c r="ET53" s="10">
        <f t="shared" si="3"/>
        <v>0</v>
      </c>
      <c r="EU53" s="10">
        <f t="shared" si="3"/>
        <v>0</v>
      </c>
      <c r="EV53" s="13"/>
      <c r="EW53" s="14"/>
      <c r="EX53" s="14"/>
      <c r="EY53" s="9">
        <f>SUM(EY47:EY52)</f>
        <v>2885</v>
      </c>
    </row>
    <row r="54" spans="1:155" ht="18" customHeight="1" thickBot="1" x14ac:dyDescent="0.25">
      <c r="A54" s="59" t="s">
        <v>3</v>
      </c>
      <c r="B54" s="59"/>
      <c r="C54" s="201" t="s">
        <v>57</v>
      </c>
      <c r="D54" s="201"/>
      <c r="E54" s="201"/>
      <c r="G54" s="64"/>
      <c r="H54" s="186"/>
      <c r="I54" s="186"/>
      <c r="J54" s="15"/>
      <c r="M54" s="59" t="s">
        <v>3</v>
      </c>
      <c r="N54" s="59"/>
      <c r="O54" s="201" t="s">
        <v>57</v>
      </c>
      <c r="P54" s="201"/>
      <c r="Q54" s="201"/>
      <c r="S54" s="64"/>
      <c r="T54" s="186"/>
      <c r="U54" s="186"/>
      <c r="V54" s="15"/>
      <c r="Y54" s="59" t="s">
        <v>3</v>
      </c>
      <c r="Z54" s="59"/>
      <c r="AA54" s="201" t="s">
        <v>57</v>
      </c>
      <c r="AB54" s="201"/>
      <c r="AC54" s="201"/>
      <c r="AE54" s="64"/>
      <c r="AF54" s="186"/>
      <c r="AG54" s="186"/>
      <c r="AH54" s="15"/>
      <c r="AK54" s="59" t="s">
        <v>3</v>
      </c>
      <c r="AL54" s="59"/>
      <c r="AM54" s="201" t="s">
        <v>57</v>
      </c>
      <c r="AN54" s="201"/>
      <c r="AO54" s="201"/>
      <c r="AQ54" s="64"/>
      <c r="AR54" s="186"/>
      <c r="AS54" s="186"/>
      <c r="AT54" s="15"/>
      <c r="AW54" s="59" t="s">
        <v>3</v>
      </c>
      <c r="AX54" s="59"/>
      <c r="AY54" s="201" t="s">
        <v>57</v>
      </c>
      <c r="AZ54" s="201"/>
      <c r="BA54" s="201"/>
      <c r="BC54" s="64"/>
      <c r="BD54" s="186"/>
      <c r="BE54" s="186"/>
      <c r="BF54" s="15"/>
      <c r="BI54" s="59" t="s">
        <v>3</v>
      </c>
      <c r="BJ54" s="59"/>
      <c r="BK54" s="201" t="s">
        <v>57</v>
      </c>
      <c r="BL54" s="201"/>
      <c r="BM54" s="201"/>
      <c r="BO54" s="64"/>
      <c r="BP54" s="186"/>
      <c r="BQ54" s="186"/>
      <c r="BR54" s="15"/>
      <c r="BU54" s="59" t="s">
        <v>3</v>
      </c>
      <c r="BV54" s="59"/>
      <c r="BW54" s="201" t="s">
        <v>57</v>
      </c>
      <c r="BX54" s="201"/>
      <c r="BY54" s="201"/>
      <c r="CA54" s="64"/>
      <c r="CB54" s="186"/>
      <c r="CC54" s="186"/>
      <c r="CD54" s="15"/>
      <c r="CG54" s="59" t="s">
        <v>3</v>
      </c>
      <c r="CH54" s="59"/>
      <c r="CI54" s="201" t="s">
        <v>57</v>
      </c>
      <c r="CJ54" s="201"/>
      <c r="CK54" s="201"/>
      <c r="CM54" s="64"/>
      <c r="CN54" s="186"/>
      <c r="CO54" s="186"/>
      <c r="CP54" s="15"/>
      <c r="CS54" s="59" t="s">
        <v>3</v>
      </c>
      <c r="CT54" s="59"/>
      <c r="CU54" s="201" t="s">
        <v>57</v>
      </c>
      <c r="CV54" s="201"/>
      <c r="CW54" s="201"/>
      <c r="CY54" s="64"/>
      <c r="CZ54" s="186"/>
      <c r="DA54" s="186"/>
      <c r="DB54" s="15"/>
      <c r="DD54" s="2"/>
      <c r="DE54" s="59" t="s">
        <v>3</v>
      </c>
      <c r="DF54" s="59"/>
      <c r="DG54" s="201" t="s">
        <v>57</v>
      </c>
      <c r="DH54" s="201"/>
      <c r="DI54" s="201"/>
      <c r="DK54" s="64"/>
      <c r="DL54" s="186"/>
      <c r="DM54" s="186"/>
      <c r="DN54" s="15"/>
      <c r="DP54" s="2"/>
      <c r="DQ54" s="59" t="s">
        <v>3</v>
      </c>
      <c r="DR54" s="59"/>
      <c r="DS54" s="201" t="s">
        <v>57</v>
      </c>
      <c r="DT54" s="201"/>
      <c r="DU54" s="201"/>
      <c r="DW54" s="64"/>
      <c r="DX54" s="186"/>
      <c r="DY54" s="186"/>
      <c r="DZ54" s="15"/>
      <c r="EC54" s="59" t="s">
        <v>3</v>
      </c>
      <c r="ED54" s="59"/>
      <c r="EE54" s="201" t="s">
        <v>57</v>
      </c>
      <c r="EF54" s="201"/>
      <c r="EG54" s="201"/>
      <c r="EI54" s="64"/>
      <c r="EJ54" s="186"/>
      <c r="EK54" s="186"/>
      <c r="EL54" s="15"/>
      <c r="EO54" s="59" t="s">
        <v>3</v>
      </c>
      <c r="EP54" s="59"/>
      <c r="EQ54" s="230" t="str">
        <f>EE54</f>
        <v>السليمانية</v>
      </c>
      <c r="ER54" s="230"/>
      <c r="ES54" s="230"/>
      <c r="EU54" s="64"/>
      <c r="EV54" s="148"/>
      <c r="EW54" s="148"/>
      <c r="EX54" s="15"/>
    </row>
    <row r="55" spans="1:155" ht="17.100000000000001" customHeight="1" thickBot="1" x14ac:dyDescent="0.25">
      <c r="A55" s="156" t="s">
        <v>4</v>
      </c>
      <c r="B55" s="187"/>
      <c r="C55" s="187"/>
      <c r="D55" s="187"/>
      <c r="E55" s="157"/>
      <c r="F55" s="156" t="s">
        <v>5</v>
      </c>
      <c r="G55" s="157"/>
      <c r="I55" s="102" t="s">
        <v>6</v>
      </c>
      <c r="J55" s="229" t="s">
        <v>7</v>
      </c>
      <c r="K55" s="229">
        <v>61</v>
      </c>
      <c r="M55" s="156" t="s">
        <v>4</v>
      </c>
      <c r="N55" s="187"/>
      <c r="O55" s="187"/>
      <c r="P55" s="187"/>
      <c r="Q55" s="157"/>
      <c r="R55" s="156" t="s">
        <v>5</v>
      </c>
      <c r="S55" s="157"/>
      <c r="U55" s="102" t="s">
        <v>6</v>
      </c>
      <c r="V55" s="143" t="s">
        <v>7</v>
      </c>
      <c r="W55" s="165">
        <v>69</v>
      </c>
      <c r="Y55" s="156" t="s">
        <v>4</v>
      </c>
      <c r="Z55" s="187"/>
      <c r="AA55" s="187"/>
      <c r="AB55" s="187"/>
      <c r="AC55" s="157"/>
      <c r="AD55" s="156" t="s">
        <v>5</v>
      </c>
      <c r="AE55" s="157"/>
      <c r="AG55" s="102" t="s">
        <v>6</v>
      </c>
      <c r="AH55" s="143" t="s">
        <v>7</v>
      </c>
      <c r="AI55" s="165">
        <v>140</v>
      </c>
      <c r="AK55" s="156" t="s">
        <v>4</v>
      </c>
      <c r="AL55" s="187"/>
      <c r="AM55" s="187"/>
      <c r="AN55" s="187"/>
      <c r="AO55" s="157"/>
      <c r="AP55" s="156" t="s">
        <v>5</v>
      </c>
      <c r="AQ55" s="157"/>
      <c r="AS55" s="102" t="s">
        <v>6</v>
      </c>
      <c r="AT55" s="143" t="s">
        <v>7</v>
      </c>
      <c r="AU55" s="165">
        <v>99</v>
      </c>
      <c r="AW55" s="156" t="s">
        <v>4</v>
      </c>
      <c r="AX55" s="187"/>
      <c r="AY55" s="187"/>
      <c r="AZ55" s="187"/>
      <c r="BA55" s="157"/>
      <c r="BB55" s="156" t="s">
        <v>5</v>
      </c>
      <c r="BC55" s="157"/>
      <c r="BE55" s="102" t="s">
        <v>6</v>
      </c>
      <c r="BF55" s="143" t="s">
        <v>7</v>
      </c>
      <c r="BG55" s="165">
        <v>190</v>
      </c>
      <c r="BI55" s="156" t="s">
        <v>4</v>
      </c>
      <c r="BJ55" s="187"/>
      <c r="BK55" s="187"/>
      <c r="BL55" s="187"/>
      <c r="BM55" s="157"/>
      <c r="BN55" s="156" t="s">
        <v>5</v>
      </c>
      <c r="BO55" s="157"/>
      <c r="BQ55" s="102" t="s">
        <v>6</v>
      </c>
      <c r="BR55" s="143" t="s">
        <v>7</v>
      </c>
      <c r="BS55" s="165">
        <v>110</v>
      </c>
      <c r="BU55" s="156" t="s">
        <v>4</v>
      </c>
      <c r="BV55" s="187"/>
      <c r="BW55" s="187"/>
      <c r="BX55" s="187"/>
      <c r="BY55" s="157"/>
      <c r="BZ55" s="156" t="s">
        <v>5</v>
      </c>
      <c r="CA55" s="157"/>
      <c r="CC55" s="102" t="s">
        <v>6</v>
      </c>
      <c r="CD55" s="143" t="s">
        <v>7</v>
      </c>
      <c r="CE55" s="165">
        <v>99</v>
      </c>
      <c r="CG55" s="156" t="s">
        <v>4</v>
      </c>
      <c r="CH55" s="187"/>
      <c r="CI55" s="187"/>
      <c r="CJ55" s="187"/>
      <c r="CK55" s="157"/>
      <c r="CL55" s="156" t="s">
        <v>5</v>
      </c>
      <c r="CM55" s="157"/>
      <c r="CO55" s="102" t="s">
        <v>6</v>
      </c>
      <c r="CP55" s="143" t="s">
        <v>7</v>
      </c>
      <c r="CQ55" s="165">
        <v>0</v>
      </c>
      <c r="CS55" s="156" t="s">
        <v>4</v>
      </c>
      <c r="CT55" s="187"/>
      <c r="CU55" s="187"/>
      <c r="CV55" s="187"/>
      <c r="CW55" s="157"/>
      <c r="CX55" s="156" t="s">
        <v>5</v>
      </c>
      <c r="CY55" s="157"/>
      <c r="DA55" s="102" t="s">
        <v>6</v>
      </c>
      <c r="DB55" s="143" t="s">
        <v>7</v>
      </c>
      <c r="DC55" s="165">
        <v>0</v>
      </c>
      <c r="DD55" s="2"/>
      <c r="DE55" s="156" t="s">
        <v>4</v>
      </c>
      <c r="DF55" s="187"/>
      <c r="DG55" s="187"/>
      <c r="DH55" s="187"/>
      <c r="DI55" s="157"/>
      <c r="DJ55" s="156" t="s">
        <v>5</v>
      </c>
      <c r="DK55" s="157"/>
      <c r="DM55" s="102" t="s">
        <v>6</v>
      </c>
      <c r="DN55" s="143" t="s">
        <v>7</v>
      </c>
      <c r="DO55" s="165">
        <v>85</v>
      </c>
      <c r="DP55" s="2"/>
      <c r="DQ55" s="156" t="s">
        <v>4</v>
      </c>
      <c r="DR55" s="187"/>
      <c r="DS55" s="187"/>
      <c r="DT55" s="187"/>
      <c r="DU55" s="157"/>
      <c r="DV55" s="156" t="s">
        <v>5</v>
      </c>
      <c r="DW55" s="157"/>
      <c r="DY55" s="102" t="s">
        <v>6</v>
      </c>
      <c r="DZ55" s="143" t="s">
        <v>7</v>
      </c>
      <c r="EA55" s="165">
        <v>0</v>
      </c>
      <c r="EC55" s="156" t="s">
        <v>4</v>
      </c>
      <c r="ED55" s="187"/>
      <c r="EE55" s="187"/>
      <c r="EF55" s="187"/>
      <c r="EG55" s="157"/>
      <c r="EH55" s="156" t="s">
        <v>5</v>
      </c>
      <c r="EI55" s="157"/>
      <c r="EK55" s="102" t="s">
        <v>6</v>
      </c>
      <c r="EL55" s="143" t="s">
        <v>7</v>
      </c>
      <c r="EM55" s="165">
        <v>0</v>
      </c>
      <c r="EO55" s="156" t="s">
        <v>4</v>
      </c>
      <c r="EP55" s="187"/>
      <c r="EQ55" s="187"/>
      <c r="ER55" s="187"/>
      <c r="ES55" s="157"/>
      <c r="ET55" s="156" t="s">
        <v>5</v>
      </c>
      <c r="EU55" s="157"/>
      <c r="EW55" s="121" t="s">
        <v>6</v>
      </c>
      <c r="EX55" s="229" t="s">
        <v>7</v>
      </c>
      <c r="EY55" s="229">
        <f>K55+W55+AI55+AU55+BG55+BS55+CE55+CQ55+DC55+DO55+EA55+EM55</f>
        <v>853</v>
      </c>
    </row>
    <row r="56" spans="1:155" ht="17.100000000000001" customHeight="1" thickTop="1" thickBot="1" x14ac:dyDescent="0.25">
      <c r="A56" s="111" t="s">
        <v>8</v>
      </c>
      <c r="B56" s="174"/>
      <c r="C56" s="174"/>
      <c r="D56" s="155" t="s">
        <v>9</v>
      </c>
      <c r="E56" s="141"/>
      <c r="F56" s="197">
        <v>0</v>
      </c>
      <c r="G56" s="198"/>
      <c r="I56" s="103"/>
      <c r="J56" s="139"/>
      <c r="K56" s="139"/>
      <c r="M56" s="111" t="s">
        <v>8</v>
      </c>
      <c r="N56" s="174"/>
      <c r="O56" s="174"/>
      <c r="P56" s="155" t="s">
        <v>9</v>
      </c>
      <c r="Q56" s="141"/>
      <c r="R56" s="227">
        <v>0</v>
      </c>
      <c r="S56" s="228"/>
      <c r="U56" s="103"/>
      <c r="V56" s="140"/>
      <c r="W56" s="166"/>
      <c r="Y56" s="111" t="s">
        <v>8</v>
      </c>
      <c r="Z56" s="174"/>
      <c r="AA56" s="174"/>
      <c r="AB56" s="155" t="s">
        <v>9</v>
      </c>
      <c r="AC56" s="141"/>
      <c r="AD56" s="190">
        <v>0</v>
      </c>
      <c r="AE56" s="191"/>
      <c r="AG56" s="103"/>
      <c r="AH56" s="140"/>
      <c r="AI56" s="166"/>
      <c r="AK56" s="111" t="s">
        <v>8</v>
      </c>
      <c r="AL56" s="174"/>
      <c r="AM56" s="174"/>
      <c r="AN56" s="155" t="s">
        <v>9</v>
      </c>
      <c r="AO56" s="141"/>
      <c r="AP56" s="197">
        <v>0</v>
      </c>
      <c r="AQ56" s="198"/>
      <c r="AS56" s="103"/>
      <c r="AT56" s="140"/>
      <c r="AU56" s="166"/>
      <c r="AW56" s="111" t="s">
        <v>8</v>
      </c>
      <c r="AX56" s="174"/>
      <c r="AY56" s="174"/>
      <c r="AZ56" s="155" t="s">
        <v>9</v>
      </c>
      <c r="BA56" s="141"/>
      <c r="BB56" s="190">
        <v>0</v>
      </c>
      <c r="BC56" s="191"/>
      <c r="BE56" s="103"/>
      <c r="BF56" s="140"/>
      <c r="BG56" s="166"/>
      <c r="BI56" s="111" t="s">
        <v>8</v>
      </c>
      <c r="BJ56" s="174"/>
      <c r="BK56" s="174"/>
      <c r="BL56" s="155" t="s">
        <v>9</v>
      </c>
      <c r="BM56" s="141"/>
      <c r="BN56" s="190">
        <v>0</v>
      </c>
      <c r="BO56" s="191"/>
      <c r="BQ56" s="103"/>
      <c r="BR56" s="140"/>
      <c r="BS56" s="166"/>
      <c r="BU56" s="111" t="s">
        <v>8</v>
      </c>
      <c r="BV56" s="174"/>
      <c r="BW56" s="174"/>
      <c r="BX56" s="155" t="s">
        <v>9</v>
      </c>
      <c r="BY56" s="141"/>
      <c r="BZ56" s="197">
        <v>0</v>
      </c>
      <c r="CA56" s="198"/>
      <c r="CC56" s="103"/>
      <c r="CD56" s="140"/>
      <c r="CE56" s="166"/>
      <c r="CG56" s="111" t="s">
        <v>8</v>
      </c>
      <c r="CH56" s="174"/>
      <c r="CI56" s="174"/>
      <c r="CJ56" s="155" t="s">
        <v>9</v>
      </c>
      <c r="CK56" s="141"/>
      <c r="CL56" s="155">
        <v>0</v>
      </c>
      <c r="CM56" s="141"/>
      <c r="CO56" s="103"/>
      <c r="CP56" s="140"/>
      <c r="CQ56" s="166"/>
      <c r="CS56" s="111" t="s">
        <v>8</v>
      </c>
      <c r="CT56" s="174"/>
      <c r="CU56" s="174"/>
      <c r="CV56" s="155" t="s">
        <v>9</v>
      </c>
      <c r="CW56" s="141"/>
      <c r="CX56" s="155">
        <v>0</v>
      </c>
      <c r="CY56" s="141"/>
      <c r="DA56" s="103"/>
      <c r="DB56" s="140"/>
      <c r="DC56" s="166"/>
      <c r="DD56" s="2"/>
      <c r="DE56" s="111" t="s">
        <v>8</v>
      </c>
      <c r="DF56" s="174"/>
      <c r="DG56" s="174"/>
      <c r="DH56" s="155" t="s">
        <v>9</v>
      </c>
      <c r="DI56" s="141"/>
      <c r="DJ56" s="190">
        <v>0</v>
      </c>
      <c r="DK56" s="191"/>
      <c r="DM56" s="103"/>
      <c r="DN56" s="140"/>
      <c r="DO56" s="166"/>
      <c r="DP56" s="2"/>
      <c r="DQ56" s="111" t="s">
        <v>8</v>
      </c>
      <c r="DR56" s="174"/>
      <c r="DS56" s="174"/>
      <c r="DT56" s="155" t="s">
        <v>9</v>
      </c>
      <c r="DU56" s="141"/>
      <c r="DV56" s="155">
        <v>0</v>
      </c>
      <c r="DW56" s="141"/>
      <c r="DY56" s="103"/>
      <c r="DZ56" s="140"/>
      <c r="EA56" s="166"/>
      <c r="EC56" s="111" t="s">
        <v>8</v>
      </c>
      <c r="ED56" s="174"/>
      <c r="EE56" s="174"/>
      <c r="EF56" s="155" t="s">
        <v>9</v>
      </c>
      <c r="EG56" s="141"/>
      <c r="EH56" s="155">
        <v>0</v>
      </c>
      <c r="EI56" s="141"/>
      <c r="EK56" s="103"/>
      <c r="EL56" s="140"/>
      <c r="EM56" s="166"/>
      <c r="EO56" s="111" t="s">
        <v>8</v>
      </c>
      <c r="EP56" s="174"/>
      <c r="EQ56" s="124"/>
      <c r="ER56" s="155" t="s">
        <v>9</v>
      </c>
      <c r="ES56" s="141"/>
      <c r="ET56" s="156">
        <f>F56+R56+AD56+AP56+BB56+BN56+BZ56+CL56+CX56+DJ56+DV56+EH56</f>
        <v>0</v>
      </c>
      <c r="EU56" s="157"/>
      <c r="EW56" s="122"/>
      <c r="EX56" s="139"/>
      <c r="EY56" s="237"/>
    </row>
    <row r="57" spans="1:155" ht="17.100000000000001" customHeight="1" thickBot="1" x14ac:dyDescent="0.25">
      <c r="A57" s="113"/>
      <c r="B57" s="175"/>
      <c r="C57" s="175"/>
      <c r="D57" s="154" t="s">
        <v>10</v>
      </c>
      <c r="E57" s="142"/>
      <c r="F57" s="195">
        <v>0</v>
      </c>
      <c r="G57" s="196"/>
      <c r="I57" s="103"/>
      <c r="J57" s="140" t="s">
        <v>11</v>
      </c>
      <c r="K57" s="166">
        <v>170</v>
      </c>
      <c r="M57" s="113"/>
      <c r="N57" s="175"/>
      <c r="O57" s="175"/>
      <c r="P57" s="154" t="s">
        <v>10</v>
      </c>
      <c r="Q57" s="142"/>
      <c r="R57" s="195">
        <v>0</v>
      </c>
      <c r="S57" s="196"/>
      <c r="U57" s="103"/>
      <c r="V57" s="140" t="s">
        <v>11</v>
      </c>
      <c r="W57" s="166">
        <v>72</v>
      </c>
      <c r="Y57" s="113"/>
      <c r="Z57" s="175"/>
      <c r="AA57" s="175"/>
      <c r="AB57" s="154" t="s">
        <v>10</v>
      </c>
      <c r="AC57" s="142"/>
      <c r="AD57" s="182">
        <v>59</v>
      </c>
      <c r="AE57" s="183"/>
      <c r="AG57" s="103"/>
      <c r="AH57" s="140" t="s">
        <v>11</v>
      </c>
      <c r="AI57" s="166">
        <v>130</v>
      </c>
      <c r="AK57" s="113"/>
      <c r="AL57" s="175"/>
      <c r="AM57" s="175"/>
      <c r="AN57" s="154" t="s">
        <v>10</v>
      </c>
      <c r="AO57" s="142"/>
      <c r="AP57" s="195">
        <v>0</v>
      </c>
      <c r="AQ57" s="196"/>
      <c r="AS57" s="103"/>
      <c r="AT57" s="140" t="s">
        <v>11</v>
      </c>
      <c r="AU57" s="166">
        <v>129</v>
      </c>
      <c r="AW57" s="113"/>
      <c r="AX57" s="175"/>
      <c r="AY57" s="175"/>
      <c r="AZ57" s="154" t="s">
        <v>10</v>
      </c>
      <c r="BA57" s="142"/>
      <c r="BB57" s="182">
        <v>0</v>
      </c>
      <c r="BC57" s="183"/>
      <c r="BE57" s="103"/>
      <c r="BF57" s="140" t="s">
        <v>11</v>
      </c>
      <c r="BG57" s="166">
        <v>331</v>
      </c>
      <c r="BI57" s="113"/>
      <c r="BJ57" s="175"/>
      <c r="BK57" s="175"/>
      <c r="BL57" s="154" t="s">
        <v>10</v>
      </c>
      <c r="BM57" s="142"/>
      <c r="BN57" s="182">
        <v>63</v>
      </c>
      <c r="BO57" s="183"/>
      <c r="BQ57" s="103"/>
      <c r="BR57" s="140" t="s">
        <v>11</v>
      </c>
      <c r="BS57" s="166">
        <v>121</v>
      </c>
      <c r="BU57" s="113"/>
      <c r="BV57" s="175"/>
      <c r="BW57" s="175"/>
      <c r="BX57" s="154" t="s">
        <v>10</v>
      </c>
      <c r="BY57" s="142"/>
      <c r="BZ57" s="195">
        <v>0</v>
      </c>
      <c r="CA57" s="196"/>
      <c r="CC57" s="103"/>
      <c r="CD57" s="140" t="s">
        <v>11</v>
      </c>
      <c r="CE57" s="166">
        <v>129</v>
      </c>
      <c r="CG57" s="113"/>
      <c r="CH57" s="175"/>
      <c r="CI57" s="175"/>
      <c r="CJ57" s="154" t="s">
        <v>10</v>
      </c>
      <c r="CK57" s="142"/>
      <c r="CL57" s="154">
        <v>0</v>
      </c>
      <c r="CM57" s="142"/>
      <c r="CO57" s="103"/>
      <c r="CP57" s="140" t="s">
        <v>11</v>
      </c>
      <c r="CQ57" s="166">
        <v>0</v>
      </c>
      <c r="CS57" s="113"/>
      <c r="CT57" s="175"/>
      <c r="CU57" s="175"/>
      <c r="CV57" s="154" t="s">
        <v>10</v>
      </c>
      <c r="CW57" s="142"/>
      <c r="CX57" s="154">
        <v>0</v>
      </c>
      <c r="CY57" s="142"/>
      <c r="DA57" s="103"/>
      <c r="DB57" s="140" t="s">
        <v>11</v>
      </c>
      <c r="DC57" s="166">
        <v>0</v>
      </c>
      <c r="DD57" s="2"/>
      <c r="DE57" s="113"/>
      <c r="DF57" s="175"/>
      <c r="DG57" s="175"/>
      <c r="DH57" s="154" t="s">
        <v>10</v>
      </c>
      <c r="DI57" s="142"/>
      <c r="DJ57" s="182">
        <v>32</v>
      </c>
      <c r="DK57" s="183"/>
      <c r="DM57" s="103"/>
      <c r="DN57" s="140" t="s">
        <v>11</v>
      </c>
      <c r="DO57" s="166">
        <v>117</v>
      </c>
      <c r="DP57" s="2"/>
      <c r="DQ57" s="113"/>
      <c r="DR57" s="175"/>
      <c r="DS57" s="175"/>
      <c r="DT57" s="154" t="s">
        <v>10</v>
      </c>
      <c r="DU57" s="142"/>
      <c r="DV57" s="154">
        <v>0</v>
      </c>
      <c r="DW57" s="142"/>
      <c r="DY57" s="103"/>
      <c r="DZ57" s="140" t="s">
        <v>11</v>
      </c>
      <c r="EA57" s="166">
        <v>0</v>
      </c>
      <c r="EC57" s="113"/>
      <c r="ED57" s="175"/>
      <c r="EE57" s="175"/>
      <c r="EF57" s="154" t="s">
        <v>10</v>
      </c>
      <c r="EG57" s="142"/>
      <c r="EH57" s="154">
        <v>0</v>
      </c>
      <c r="EI57" s="142"/>
      <c r="EK57" s="103"/>
      <c r="EL57" s="140" t="s">
        <v>11</v>
      </c>
      <c r="EM57" s="166">
        <v>0</v>
      </c>
      <c r="EO57" s="113"/>
      <c r="EP57" s="175"/>
      <c r="EQ57" s="112"/>
      <c r="ER57" s="154" t="s">
        <v>10</v>
      </c>
      <c r="ES57" s="142"/>
      <c r="ET57" s="156">
        <f t="shared" ref="ET57:ET77" si="4">F57+R57+AD57+AP57+BB57+BN57+BZ57+CL57+CX57+DJ57+DV57+EH57</f>
        <v>154</v>
      </c>
      <c r="EU57" s="157"/>
      <c r="EW57" s="122"/>
      <c r="EX57" s="238" t="s">
        <v>11</v>
      </c>
      <c r="EY57" s="229">
        <f>K57+W57+AI57+AU57+BG57+BS57+CE57+CQ57+DC57+DO57+EA57+EM57</f>
        <v>1199</v>
      </c>
    </row>
    <row r="58" spans="1:155" ht="17.100000000000001" customHeight="1" thickBot="1" x14ac:dyDescent="0.25">
      <c r="A58" s="125"/>
      <c r="B58" s="176"/>
      <c r="C58" s="176"/>
      <c r="D58" s="177" t="s">
        <v>12</v>
      </c>
      <c r="E58" s="178"/>
      <c r="F58" s="199">
        <v>0</v>
      </c>
      <c r="G58" s="200"/>
      <c r="I58" s="151"/>
      <c r="J58" s="144"/>
      <c r="K58" s="180"/>
      <c r="M58" s="125"/>
      <c r="N58" s="176"/>
      <c r="O58" s="176"/>
      <c r="P58" s="177" t="s">
        <v>12</v>
      </c>
      <c r="Q58" s="178"/>
      <c r="R58" s="195">
        <v>0</v>
      </c>
      <c r="S58" s="196"/>
      <c r="U58" s="151"/>
      <c r="V58" s="144"/>
      <c r="W58" s="180"/>
      <c r="Y58" s="125"/>
      <c r="Z58" s="176"/>
      <c r="AA58" s="176"/>
      <c r="AB58" s="177" t="s">
        <v>12</v>
      </c>
      <c r="AC58" s="178"/>
      <c r="AD58" s="192">
        <v>0</v>
      </c>
      <c r="AE58" s="193"/>
      <c r="AG58" s="151"/>
      <c r="AH58" s="144"/>
      <c r="AI58" s="180"/>
      <c r="AK58" s="125"/>
      <c r="AL58" s="176"/>
      <c r="AM58" s="176"/>
      <c r="AN58" s="177" t="s">
        <v>12</v>
      </c>
      <c r="AO58" s="178"/>
      <c r="AP58" s="199">
        <v>0</v>
      </c>
      <c r="AQ58" s="200"/>
      <c r="AS58" s="151"/>
      <c r="AT58" s="144"/>
      <c r="AU58" s="180"/>
      <c r="AW58" s="125"/>
      <c r="AX58" s="176"/>
      <c r="AY58" s="176"/>
      <c r="AZ58" s="177" t="s">
        <v>12</v>
      </c>
      <c r="BA58" s="178"/>
      <c r="BB58" s="192">
        <v>39</v>
      </c>
      <c r="BC58" s="193"/>
      <c r="BE58" s="151"/>
      <c r="BF58" s="144"/>
      <c r="BG58" s="180"/>
      <c r="BI58" s="125"/>
      <c r="BJ58" s="176"/>
      <c r="BK58" s="176"/>
      <c r="BL58" s="177" t="s">
        <v>12</v>
      </c>
      <c r="BM58" s="178"/>
      <c r="BN58" s="192">
        <v>0</v>
      </c>
      <c r="BO58" s="193"/>
      <c r="BQ58" s="151"/>
      <c r="BR58" s="144"/>
      <c r="BS58" s="180"/>
      <c r="BU58" s="125"/>
      <c r="BV58" s="176"/>
      <c r="BW58" s="176"/>
      <c r="BX58" s="177" t="s">
        <v>12</v>
      </c>
      <c r="BY58" s="178"/>
      <c r="BZ58" s="199">
        <v>0</v>
      </c>
      <c r="CA58" s="200"/>
      <c r="CC58" s="151"/>
      <c r="CD58" s="144"/>
      <c r="CE58" s="180"/>
      <c r="CG58" s="125"/>
      <c r="CH58" s="176"/>
      <c r="CI58" s="176"/>
      <c r="CJ58" s="177" t="s">
        <v>12</v>
      </c>
      <c r="CK58" s="178"/>
      <c r="CL58" s="177">
        <v>0</v>
      </c>
      <c r="CM58" s="178"/>
      <c r="CO58" s="151"/>
      <c r="CP58" s="144"/>
      <c r="CQ58" s="180"/>
      <c r="CS58" s="125"/>
      <c r="CT58" s="176"/>
      <c r="CU58" s="176"/>
      <c r="CV58" s="177" t="s">
        <v>12</v>
      </c>
      <c r="CW58" s="178"/>
      <c r="CX58" s="177">
        <v>0</v>
      </c>
      <c r="CY58" s="178"/>
      <c r="DA58" s="151"/>
      <c r="DB58" s="144"/>
      <c r="DC58" s="180"/>
      <c r="DD58" s="2"/>
      <c r="DE58" s="125"/>
      <c r="DF58" s="176"/>
      <c r="DG58" s="176"/>
      <c r="DH58" s="177" t="s">
        <v>12</v>
      </c>
      <c r="DI58" s="178"/>
      <c r="DJ58" s="192">
        <v>0</v>
      </c>
      <c r="DK58" s="193"/>
      <c r="DM58" s="151"/>
      <c r="DN58" s="144"/>
      <c r="DO58" s="180"/>
      <c r="DP58" s="2"/>
      <c r="DQ58" s="125"/>
      <c r="DR58" s="176"/>
      <c r="DS58" s="176"/>
      <c r="DT58" s="177" t="s">
        <v>12</v>
      </c>
      <c r="DU58" s="178"/>
      <c r="DV58" s="177">
        <v>0</v>
      </c>
      <c r="DW58" s="178"/>
      <c r="DY58" s="151"/>
      <c r="DZ58" s="144"/>
      <c r="EA58" s="180"/>
      <c r="EC58" s="125"/>
      <c r="ED58" s="176"/>
      <c r="EE58" s="176"/>
      <c r="EF58" s="177" t="s">
        <v>12</v>
      </c>
      <c r="EG58" s="178"/>
      <c r="EH58" s="177">
        <v>0</v>
      </c>
      <c r="EI58" s="178"/>
      <c r="EK58" s="151"/>
      <c r="EL58" s="144"/>
      <c r="EM58" s="180"/>
      <c r="EO58" s="125"/>
      <c r="EP58" s="176"/>
      <c r="EQ58" s="126"/>
      <c r="ER58" s="177" t="s">
        <v>12</v>
      </c>
      <c r="ES58" s="178"/>
      <c r="ET58" s="156">
        <f t="shared" si="4"/>
        <v>39</v>
      </c>
      <c r="EU58" s="157"/>
      <c r="EW58" s="123"/>
      <c r="EX58" s="237"/>
      <c r="EY58" s="237"/>
    </row>
    <row r="59" spans="1:155" ht="17.100000000000001" customHeight="1" thickTop="1" thickBot="1" x14ac:dyDescent="0.25">
      <c r="A59" s="158" t="s">
        <v>13</v>
      </c>
      <c r="B59" s="111" t="s">
        <v>14</v>
      </c>
      <c r="C59" s="174"/>
      <c r="D59" s="155" t="s">
        <v>29</v>
      </c>
      <c r="E59" s="141"/>
      <c r="F59" s="197">
        <v>29</v>
      </c>
      <c r="G59" s="198"/>
      <c r="I59" s="102" t="s">
        <v>15</v>
      </c>
      <c r="J59" s="143" t="s">
        <v>7</v>
      </c>
      <c r="K59" s="165">
        <v>34</v>
      </c>
      <c r="M59" s="158" t="s">
        <v>13</v>
      </c>
      <c r="N59" s="111" t="s">
        <v>14</v>
      </c>
      <c r="O59" s="174"/>
      <c r="P59" s="155" t="s">
        <v>29</v>
      </c>
      <c r="Q59" s="141"/>
      <c r="R59" s="195">
        <v>6</v>
      </c>
      <c r="S59" s="196"/>
      <c r="U59" s="102" t="s">
        <v>15</v>
      </c>
      <c r="V59" s="143" t="s">
        <v>7</v>
      </c>
      <c r="W59" s="165">
        <v>63</v>
      </c>
      <c r="Y59" s="158" t="s">
        <v>13</v>
      </c>
      <c r="Z59" s="111" t="s">
        <v>14</v>
      </c>
      <c r="AA59" s="174"/>
      <c r="AB59" s="155" t="s">
        <v>29</v>
      </c>
      <c r="AC59" s="141"/>
      <c r="AD59" s="190">
        <v>21</v>
      </c>
      <c r="AE59" s="191"/>
      <c r="AG59" s="102" t="s">
        <v>15</v>
      </c>
      <c r="AH59" s="143" t="s">
        <v>7</v>
      </c>
      <c r="AI59" s="165">
        <v>33</v>
      </c>
      <c r="AK59" s="158" t="s">
        <v>13</v>
      </c>
      <c r="AL59" s="111" t="s">
        <v>14</v>
      </c>
      <c r="AM59" s="174"/>
      <c r="AN59" s="155" t="s">
        <v>29</v>
      </c>
      <c r="AO59" s="141"/>
      <c r="AP59" s="197">
        <v>19</v>
      </c>
      <c r="AQ59" s="198"/>
      <c r="AS59" s="102" t="s">
        <v>15</v>
      </c>
      <c r="AT59" s="143" t="s">
        <v>7</v>
      </c>
      <c r="AU59" s="165">
        <v>5</v>
      </c>
      <c r="AW59" s="158" t="s">
        <v>13</v>
      </c>
      <c r="AX59" s="111" t="s">
        <v>14</v>
      </c>
      <c r="AY59" s="174"/>
      <c r="AZ59" s="155" t="s">
        <v>29</v>
      </c>
      <c r="BA59" s="141"/>
      <c r="BB59" s="190">
        <v>21</v>
      </c>
      <c r="BC59" s="191"/>
      <c r="BE59" s="102" t="s">
        <v>15</v>
      </c>
      <c r="BF59" s="143" t="s">
        <v>7</v>
      </c>
      <c r="BG59" s="165">
        <v>60</v>
      </c>
      <c r="BI59" s="158" t="s">
        <v>13</v>
      </c>
      <c r="BJ59" s="111" t="s">
        <v>14</v>
      </c>
      <c r="BK59" s="174"/>
      <c r="BL59" s="155" t="s">
        <v>29</v>
      </c>
      <c r="BM59" s="141"/>
      <c r="BN59" s="190">
        <v>11</v>
      </c>
      <c r="BO59" s="191"/>
      <c r="BQ59" s="102" t="s">
        <v>15</v>
      </c>
      <c r="BR59" s="143" t="s">
        <v>7</v>
      </c>
      <c r="BS59" s="165">
        <v>30</v>
      </c>
      <c r="BU59" s="158" t="s">
        <v>13</v>
      </c>
      <c r="BV59" s="111" t="s">
        <v>14</v>
      </c>
      <c r="BW59" s="174"/>
      <c r="BX59" s="155" t="s">
        <v>29</v>
      </c>
      <c r="BY59" s="141"/>
      <c r="BZ59" s="197">
        <v>19</v>
      </c>
      <c r="CA59" s="198"/>
      <c r="CC59" s="102" t="s">
        <v>15</v>
      </c>
      <c r="CD59" s="143" t="s">
        <v>7</v>
      </c>
      <c r="CE59" s="165">
        <v>5</v>
      </c>
      <c r="CG59" s="158" t="s">
        <v>13</v>
      </c>
      <c r="CH59" s="111" t="s">
        <v>14</v>
      </c>
      <c r="CI59" s="174"/>
      <c r="CJ59" s="155" t="s">
        <v>29</v>
      </c>
      <c r="CK59" s="141"/>
      <c r="CL59" s="155">
        <v>0</v>
      </c>
      <c r="CM59" s="141"/>
      <c r="CO59" s="102" t="s">
        <v>15</v>
      </c>
      <c r="CP59" s="143" t="s">
        <v>7</v>
      </c>
      <c r="CQ59" s="165">
        <v>0</v>
      </c>
      <c r="CS59" s="158" t="s">
        <v>13</v>
      </c>
      <c r="CT59" s="111" t="s">
        <v>14</v>
      </c>
      <c r="CU59" s="174"/>
      <c r="CV59" s="155" t="s">
        <v>29</v>
      </c>
      <c r="CW59" s="141"/>
      <c r="CX59" s="155">
        <v>0</v>
      </c>
      <c r="CY59" s="141"/>
      <c r="DA59" s="102" t="s">
        <v>15</v>
      </c>
      <c r="DB59" s="143" t="s">
        <v>7</v>
      </c>
      <c r="DC59" s="165">
        <v>0</v>
      </c>
      <c r="DD59" s="2"/>
      <c r="DE59" s="158" t="s">
        <v>13</v>
      </c>
      <c r="DF59" s="111" t="s">
        <v>14</v>
      </c>
      <c r="DG59" s="174"/>
      <c r="DH59" s="155" t="s">
        <v>29</v>
      </c>
      <c r="DI59" s="141"/>
      <c r="DJ59" s="190">
        <v>12</v>
      </c>
      <c r="DK59" s="191"/>
      <c r="DM59" s="102" t="s">
        <v>15</v>
      </c>
      <c r="DN59" s="143" t="s">
        <v>7</v>
      </c>
      <c r="DO59" s="165">
        <v>14</v>
      </c>
      <c r="DP59" s="2"/>
      <c r="DQ59" s="158" t="s">
        <v>13</v>
      </c>
      <c r="DR59" s="111" t="s">
        <v>14</v>
      </c>
      <c r="DS59" s="174"/>
      <c r="DT59" s="155" t="s">
        <v>29</v>
      </c>
      <c r="DU59" s="141"/>
      <c r="DV59" s="155">
        <v>0</v>
      </c>
      <c r="DW59" s="141"/>
      <c r="DY59" s="102" t="s">
        <v>15</v>
      </c>
      <c r="DZ59" s="143" t="s">
        <v>7</v>
      </c>
      <c r="EA59" s="165">
        <v>0</v>
      </c>
      <c r="EC59" s="158" t="s">
        <v>13</v>
      </c>
      <c r="ED59" s="111" t="s">
        <v>14</v>
      </c>
      <c r="EE59" s="174"/>
      <c r="EF59" s="155" t="s">
        <v>29</v>
      </c>
      <c r="EG59" s="141"/>
      <c r="EH59" s="155">
        <v>0</v>
      </c>
      <c r="EI59" s="141"/>
      <c r="EK59" s="102" t="s">
        <v>15</v>
      </c>
      <c r="EL59" s="143" t="s">
        <v>7</v>
      </c>
      <c r="EM59" s="165">
        <v>0</v>
      </c>
      <c r="EO59" s="232" t="s">
        <v>13</v>
      </c>
      <c r="EP59" s="111" t="s">
        <v>14</v>
      </c>
      <c r="EQ59" s="124"/>
      <c r="ER59" s="155" t="s">
        <v>29</v>
      </c>
      <c r="ES59" s="141"/>
      <c r="ET59" s="156">
        <f t="shared" si="4"/>
        <v>138</v>
      </c>
      <c r="EU59" s="157"/>
      <c r="EW59" s="121" t="s">
        <v>15</v>
      </c>
      <c r="EX59" s="229" t="s">
        <v>7</v>
      </c>
      <c r="EY59" s="229">
        <f>K59+W59+AI59+AU59+BG59+BS59+CE59+CQ59+DC59+DO59+EA59+EM59</f>
        <v>244</v>
      </c>
    </row>
    <row r="60" spans="1:155" ht="17.100000000000001" customHeight="1" thickBot="1" x14ac:dyDescent="0.25">
      <c r="A60" s="159"/>
      <c r="B60" s="113"/>
      <c r="C60" s="175"/>
      <c r="D60" s="154" t="s">
        <v>16</v>
      </c>
      <c r="E60" s="142"/>
      <c r="F60" s="195">
        <v>18</v>
      </c>
      <c r="G60" s="196"/>
      <c r="I60" s="103"/>
      <c r="J60" s="140"/>
      <c r="K60" s="166"/>
      <c r="M60" s="159"/>
      <c r="N60" s="113"/>
      <c r="O60" s="175"/>
      <c r="P60" s="154" t="s">
        <v>16</v>
      </c>
      <c r="Q60" s="142"/>
      <c r="R60" s="195">
        <v>2</v>
      </c>
      <c r="S60" s="196"/>
      <c r="U60" s="103"/>
      <c r="V60" s="140"/>
      <c r="W60" s="166"/>
      <c r="Y60" s="159"/>
      <c r="Z60" s="113"/>
      <c r="AA60" s="175"/>
      <c r="AB60" s="154" t="s">
        <v>16</v>
      </c>
      <c r="AC60" s="142"/>
      <c r="AD60" s="182">
        <v>7</v>
      </c>
      <c r="AE60" s="183"/>
      <c r="AG60" s="103"/>
      <c r="AH60" s="140"/>
      <c r="AI60" s="166"/>
      <c r="AK60" s="159"/>
      <c r="AL60" s="113"/>
      <c r="AM60" s="175"/>
      <c r="AN60" s="154" t="s">
        <v>16</v>
      </c>
      <c r="AO60" s="142"/>
      <c r="AP60" s="195">
        <v>0</v>
      </c>
      <c r="AQ60" s="196"/>
      <c r="AS60" s="103"/>
      <c r="AT60" s="140"/>
      <c r="AU60" s="166"/>
      <c r="AW60" s="159"/>
      <c r="AX60" s="113"/>
      <c r="AY60" s="175"/>
      <c r="AZ60" s="154" t="s">
        <v>16</v>
      </c>
      <c r="BA60" s="142"/>
      <c r="BB60" s="182">
        <v>15</v>
      </c>
      <c r="BC60" s="183"/>
      <c r="BE60" s="103"/>
      <c r="BF60" s="140"/>
      <c r="BG60" s="166"/>
      <c r="BI60" s="159"/>
      <c r="BJ60" s="113"/>
      <c r="BK60" s="175"/>
      <c r="BL60" s="154" t="s">
        <v>16</v>
      </c>
      <c r="BM60" s="142"/>
      <c r="BN60" s="182">
        <v>3</v>
      </c>
      <c r="BO60" s="183"/>
      <c r="BQ60" s="103"/>
      <c r="BR60" s="140"/>
      <c r="BS60" s="166"/>
      <c r="BU60" s="159"/>
      <c r="BV60" s="113"/>
      <c r="BW60" s="175"/>
      <c r="BX60" s="154" t="s">
        <v>16</v>
      </c>
      <c r="BY60" s="142"/>
      <c r="BZ60" s="195">
        <v>0</v>
      </c>
      <c r="CA60" s="196"/>
      <c r="CC60" s="103"/>
      <c r="CD60" s="140"/>
      <c r="CE60" s="166"/>
      <c r="CG60" s="159"/>
      <c r="CH60" s="113"/>
      <c r="CI60" s="175"/>
      <c r="CJ60" s="154" t="s">
        <v>16</v>
      </c>
      <c r="CK60" s="142"/>
      <c r="CL60" s="154">
        <v>0</v>
      </c>
      <c r="CM60" s="142"/>
      <c r="CO60" s="103"/>
      <c r="CP60" s="140"/>
      <c r="CQ60" s="166"/>
      <c r="CS60" s="159"/>
      <c r="CT60" s="113"/>
      <c r="CU60" s="175"/>
      <c r="CV60" s="154" t="s">
        <v>16</v>
      </c>
      <c r="CW60" s="142"/>
      <c r="CX60" s="154">
        <v>0</v>
      </c>
      <c r="CY60" s="142"/>
      <c r="DA60" s="103"/>
      <c r="DB60" s="140"/>
      <c r="DC60" s="166"/>
      <c r="DD60" s="2"/>
      <c r="DE60" s="159"/>
      <c r="DF60" s="113"/>
      <c r="DG60" s="175"/>
      <c r="DH60" s="154" t="s">
        <v>16</v>
      </c>
      <c r="DI60" s="142"/>
      <c r="DJ60" s="182">
        <v>6</v>
      </c>
      <c r="DK60" s="183"/>
      <c r="DM60" s="103"/>
      <c r="DN60" s="140"/>
      <c r="DO60" s="166"/>
      <c r="DP60" s="2"/>
      <c r="DQ60" s="159"/>
      <c r="DR60" s="113"/>
      <c r="DS60" s="175"/>
      <c r="DT60" s="154" t="s">
        <v>16</v>
      </c>
      <c r="DU60" s="142"/>
      <c r="DV60" s="154">
        <v>0</v>
      </c>
      <c r="DW60" s="142"/>
      <c r="DY60" s="103"/>
      <c r="DZ60" s="140"/>
      <c r="EA60" s="166"/>
      <c r="EC60" s="159"/>
      <c r="ED60" s="113"/>
      <c r="EE60" s="175"/>
      <c r="EF60" s="154" t="s">
        <v>16</v>
      </c>
      <c r="EG60" s="142"/>
      <c r="EH60" s="154">
        <v>0</v>
      </c>
      <c r="EI60" s="142"/>
      <c r="EK60" s="103"/>
      <c r="EL60" s="140"/>
      <c r="EM60" s="166"/>
      <c r="EO60" s="233"/>
      <c r="EP60" s="113"/>
      <c r="EQ60" s="112"/>
      <c r="ER60" s="154" t="s">
        <v>16</v>
      </c>
      <c r="ES60" s="142"/>
      <c r="ET60" s="156">
        <f t="shared" si="4"/>
        <v>51</v>
      </c>
      <c r="EU60" s="157"/>
      <c r="EW60" s="122"/>
      <c r="EX60" s="139"/>
      <c r="EY60" s="237"/>
    </row>
    <row r="61" spans="1:155" ht="17.100000000000001" customHeight="1" thickBot="1" x14ac:dyDescent="0.25">
      <c r="A61" s="159"/>
      <c r="B61" s="125"/>
      <c r="C61" s="176"/>
      <c r="D61" s="177" t="s">
        <v>17</v>
      </c>
      <c r="E61" s="178"/>
      <c r="F61" s="199">
        <v>0</v>
      </c>
      <c r="G61" s="200"/>
      <c r="I61" s="103"/>
      <c r="J61" s="140" t="s">
        <v>11</v>
      </c>
      <c r="K61" s="166">
        <v>78</v>
      </c>
      <c r="M61" s="159"/>
      <c r="N61" s="125"/>
      <c r="O61" s="176"/>
      <c r="P61" s="177" t="s">
        <v>17</v>
      </c>
      <c r="Q61" s="178"/>
      <c r="R61" s="199">
        <v>0</v>
      </c>
      <c r="S61" s="200"/>
      <c r="U61" s="103"/>
      <c r="V61" s="140" t="s">
        <v>11</v>
      </c>
      <c r="W61" s="166">
        <v>78</v>
      </c>
      <c r="Y61" s="159"/>
      <c r="Z61" s="125"/>
      <c r="AA61" s="176"/>
      <c r="AB61" s="177" t="s">
        <v>17</v>
      </c>
      <c r="AC61" s="178"/>
      <c r="AD61" s="192">
        <v>0</v>
      </c>
      <c r="AE61" s="193"/>
      <c r="AG61" s="103"/>
      <c r="AH61" s="140" t="s">
        <v>11</v>
      </c>
      <c r="AI61" s="166">
        <v>45</v>
      </c>
      <c r="AK61" s="159"/>
      <c r="AL61" s="125"/>
      <c r="AM61" s="176"/>
      <c r="AN61" s="177" t="s">
        <v>17</v>
      </c>
      <c r="AO61" s="178"/>
      <c r="AP61" s="199">
        <v>0</v>
      </c>
      <c r="AQ61" s="200"/>
      <c r="AS61" s="103"/>
      <c r="AT61" s="140" t="s">
        <v>11</v>
      </c>
      <c r="AU61" s="166">
        <v>129</v>
      </c>
      <c r="AW61" s="159"/>
      <c r="AX61" s="125"/>
      <c r="AY61" s="176"/>
      <c r="AZ61" s="177" t="s">
        <v>17</v>
      </c>
      <c r="BA61" s="178"/>
      <c r="BB61" s="192">
        <v>0</v>
      </c>
      <c r="BC61" s="193"/>
      <c r="BE61" s="103"/>
      <c r="BF61" s="140" t="s">
        <v>11</v>
      </c>
      <c r="BG61" s="166">
        <v>0</v>
      </c>
      <c r="BI61" s="159"/>
      <c r="BJ61" s="125"/>
      <c r="BK61" s="176"/>
      <c r="BL61" s="177" t="s">
        <v>17</v>
      </c>
      <c r="BM61" s="178"/>
      <c r="BN61" s="192">
        <v>0</v>
      </c>
      <c r="BO61" s="193"/>
      <c r="BQ61" s="103"/>
      <c r="BR61" s="140" t="s">
        <v>11</v>
      </c>
      <c r="BS61" s="166">
        <v>32</v>
      </c>
      <c r="BU61" s="159"/>
      <c r="BV61" s="125"/>
      <c r="BW61" s="176"/>
      <c r="BX61" s="177" t="s">
        <v>17</v>
      </c>
      <c r="BY61" s="178"/>
      <c r="BZ61" s="199">
        <v>0</v>
      </c>
      <c r="CA61" s="200"/>
      <c r="CC61" s="103"/>
      <c r="CD61" s="140" t="s">
        <v>11</v>
      </c>
      <c r="CE61" s="166">
        <v>129</v>
      </c>
      <c r="CG61" s="159"/>
      <c r="CH61" s="125"/>
      <c r="CI61" s="176"/>
      <c r="CJ61" s="177" t="s">
        <v>17</v>
      </c>
      <c r="CK61" s="178"/>
      <c r="CL61" s="177">
        <v>0</v>
      </c>
      <c r="CM61" s="178"/>
      <c r="CO61" s="103"/>
      <c r="CP61" s="140" t="s">
        <v>11</v>
      </c>
      <c r="CQ61" s="166">
        <v>0</v>
      </c>
      <c r="CS61" s="159"/>
      <c r="CT61" s="125"/>
      <c r="CU61" s="176"/>
      <c r="CV61" s="177" t="s">
        <v>17</v>
      </c>
      <c r="CW61" s="178"/>
      <c r="CX61" s="177">
        <v>0</v>
      </c>
      <c r="CY61" s="178"/>
      <c r="DA61" s="103"/>
      <c r="DB61" s="140" t="s">
        <v>11</v>
      </c>
      <c r="DC61" s="166">
        <v>0</v>
      </c>
      <c r="DD61" s="2"/>
      <c r="DE61" s="159"/>
      <c r="DF61" s="125"/>
      <c r="DG61" s="176"/>
      <c r="DH61" s="177" t="s">
        <v>17</v>
      </c>
      <c r="DI61" s="178"/>
      <c r="DJ61" s="192">
        <v>0</v>
      </c>
      <c r="DK61" s="193"/>
      <c r="DM61" s="103"/>
      <c r="DN61" s="140" t="s">
        <v>11</v>
      </c>
      <c r="DO61" s="166">
        <v>24</v>
      </c>
      <c r="DP61" s="2"/>
      <c r="DQ61" s="159"/>
      <c r="DR61" s="125"/>
      <c r="DS61" s="176"/>
      <c r="DT61" s="177" t="s">
        <v>17</v>
      </c>
      <c r="DU61" s="178"/>
      <c r="DV61" s="177">
        <v>0</v>
      </c>
      <c r="DW61" s="178"/>
      <c r="DY61" s="103"/>
      <c r="DZ61" s="140" t="s">
        <v>11</v>
      </c>
      <c r="EA61" s="166">
        <v>0</v>
      </c>
      <c r="EC61" s="159"/>
      <c r="ED61" s="125"/>
      <c r="EE61" s="176"/>
      <c r="EF61" s="177" t="s">
        <v>17</v>
      </c>
      <c r="EG61" s="178"/>
      <c r="EH61" s="177">
        <v>0</v>
      </c>
      <c r="EI61" s="178"/>
      <c r="EK61" s="103"/>
      <c r="EL61" s="140" t="s">
        <v>11</v>
      </c>
      <c r="EM61" s="166">
        <v>0</v>
      </c>
      <c r="EO61" s="233"/>
      <c r="EP61" s="125"/>
      <c r="EQ61" s="126"/>
      <c r="ER61" s="177" t="s">
        <v>17</v>
      </c>
      <c r="ES61" s="178"/>
      <c r="ET61" s="156">
        <f t="shared" si="4"/>
        <v>0</v>
      </c>
      <c r="EU61" s="157"/>
      <c r="EW61" s="122"/>
      <c r="EX61" s="238" t="s">
        <v>11</v>
      </c>
      <c r="EY61" s="229">
        <f>K61+W61+AI61+AU61+BG61+BS61+CE61+CQ61+DC61+DO61+EA61+EM61</f>
        <v>515</v>
      </c>
    </row>
    <row r="62" spans="1:155" ht="17.100000000000001" customHeight="1" thickTop="1" thickBot="1" x14ac:dyDescent="0.25">
      <c r="A62" s="159"/>
      <c r="B62" s="111" t="s">
        <v>18</v>
      </c>
      <c r="C62" s="174"/>
      <c r="D62" s="155" t="s">
        <v>19</v>
      </c>
      <c r="E62" s="141"/>
      <c r="F62" s="197">
        <v>0</v>
      </c>
      <c r="G62" s="198"/>
      <c r="I62" s="103"/>
      <c r="J62" s="144"/>
      <c r="K62" s="180"/>
      <c r="M62" s="159"/>
      <c r="N62" s="111" t="s">
        <v>18</v>
      </c>
      <c r="O62" s="174"/>
      <c r="P62" s="155" t="s">
        <v>19</v>
      </c>
      <c r="Q62" s="141"/>
      <c r="R62" s="197">
        <v>0</v>
      </c>
      <c r="S62" s="198"/>
      <c r="U62" s="103"/>
      <c r="V62" s="144"/>
      <c r="W62" s="180"/>
      <c r="Y62" s="159"/>
      <c r="Z62" s="111" t="s">
        <v>18</v>
      </c>
      <c r="AA62" s="174"/>
      <c r="AB62" s="155" t="s">
        <v>19</v>
      </c>
      <c r="AC62" s="141"/>
      <c r="AD62" s="190">
        <v>0</v>
      </c>
      <c r="AE62" s="191"/>
      <c r="AG62" s="103"/>
      <c r="AH62" s="144"/>
      <c r="AI62" s="180"/>
      <c r="AK62" s="159"/>
      <c r="AL62" s="111" t="s">
        <v>18</v>
      </c>
      <c r="AM62" s="174"/>
      <c r="AN62" s="155" t="s">
        <v>19</v>
      </c>
      <c r="AO62" s="141"/>
      <c r="AP62" s="197">
        <v>0</v>
      </c>
      <c r="AQ62" s="198"/>
      <c r="AS62" s="103"/>
      <c r="AT62" s="144"/>
      <c r="AU62" s="180"/>
      <c r="AW62" s="159"/>
      <c r="AX62" s="111" t="s">
        <v>18</v>
      </c>
      <c r="AY62" s="174"/>
      <c r="AZ62" s="155" t="s">
        <v>19</v>
      </c>
      <c r="BA62" s="141"/>
      <c r="BB62" s="190">
        <v>0</v>
      </c>
      <c r="BC62" s="191"/>
      <c r="BE62" s="103"/>
      <c r="BF62" s="144"/>
      <c r="BG62" s="180"/>
      <c r="BI62" s="159"/>
      <c r="BJ62" s="111" t="s">
        <v>18</v>
      </c>
      <c r="BK62" s="174"/>
      <c r="BL62" s="155" t="s">
        <v>19</v>
      </c>
      <c r="BM62" s="141"/>
      <c r="BN62" s="190">
        <v>0</v>
      </c>
      <c r="BO62" s="191"/>
      <c r="BQ62" s="103"/>
      <c r="BR62" s="144"/>
      <c r="BS62" s="180"/>
      <c r="BU62" s="159"/>
      <c r="BV62" s="111" t="s">
        <v>18</v>
      </c>
      <c r="BW62" s="174"/>
      <c r="BX62" s="155" t="s">
        <v>19</v>
      </c>
      <c r="BY62" s="141"/>
      <c r="BZ62" s="197">
        <v>0</v>
      </c>
      <c r="CA62" s="198"/>
      <c r="CC62" s="103"/>
      <c r="CD62" s="144"/>
      <c r="CE62" s="180"/>
      <c r="CG62" s="159"/>
      <c r="CH62" s="111" t="s">
        <v>18</v>
      </c>
      <c r="CI62" s="174"/>
      <c r="CJ62" s="155" t="s">
        <v>19</v>
      </c>
      <c r="CK62" s="141"/>
      <c r="CL62" s="155">
        <v>0</v>
      </c>
      <c r="CM62" s="141"/>
      <c r="CO62" s="103"/>
      <c r="CP62" s="144"/>
      <c r="CQ62" s="180"/>
      <c r="CS62" s="159"/>
      <c r="CT62" s="111" t="s">
        <v>18</v>
      </c>
      <c r="CU62" s="174"/>
      <c r="CV62" s="155" t="s">
        <v>19</v>
      </c>
      <c r="CW62" s="141"/>
      <c r="CX62" s="155">
        <v>0</v>
      </c>
      <c r="CY62" s="141"/>
      <c r="DA62" s="103"/>
      <c r="DB62" s="144"/>
      <c r="DC62" s="180"/>
      <c r="DD62" s="2"/>
      <c r="DE62" s="159"/>
      <c r="DF62" s="111" t="s">
        <v>18</v>
      </c>
      <c r="DG62" s="174"/>
      <c r="DH62" s="155" t="s">
        <v>19</v>
      </c>
      <c r="DI62" s="141"/>
      <c r="DJ62" s="190">
        <v>0</v>
      </c>
      <c r="DK62" s="191"/>
      <c r="DM62" s="103"/>
      <c r="DN62" s="144"/>
      <c r="DO62" s="180"/>
      <c r="DP62" s="2"/>
      <c r="DQ62" s="159"/>
      <c r="DR62" s="111" t="s">
        <v>18</v>
      </c>
      <c r="DS62" s="174"/>
      <c r="DT62" s="155" t="s">
        <v>19</v>
      </c>
      <c r="DU62" s="141"/>
      <c r="DV62" s="155">
        <v>0</v>
      </c>
      <c r="DW62" s="141"/>
      <c r="DY62" s="103"/>
      <c r="DZ62" s="144"/>
      <c r="EA62" s="180"/>
      <c r="EC62" s="159"/>
      <c r="ED62" s="111" t="s">
        <v>18</v>
      </c>
      <c r="EE62" s="174"/>
      <c r="EF62" s="155" t="s">
        <v>19</v>
      </c>
      <c r="EG62" s="141"/>
      <c r="EH62" s="155">
        <v>0</v>
      </c>
      <c r="EI62" s="141"/>
      <c r="EK62" s="103"/>
      <c r="EL62" s="144"/>
      <c r="EM62" s="180"/>
      <c r="EO62" s="233"/>
      <c r="EP62" s="111" t="s">
        <v>18</v>
      </c>
      <c r="EQ62" s="124"/>
      <c r="ER62" s="155" t="s">
        <v>19</v>
      </c>
      <c r="ES62" s="141"/>
      <c r="ET62" s="156">
        <f t="shared" si="4"/>
        <v>0</v>
      </c>
      <c r="EU62" s="157"/>
      <c r="EW62" s="123"/>
      <c r="EX62" s="237"/>
      <c r="EY62" s="139"/>
    </row>
    <row r="63" spans="1:155" ht="17.100000000000001" customHeight="1" thickBot="1" x14ac:dyDescent="0.25">
      <c r="A63" s="159"/>
      <c r="B63" s="125"/>
      <c r="C63" s="176"/>
      <c r="D63" s="177" t="s">
        <v>20</v>
      </c>
      <c r="E63" s="178"/>
      <c r="F63" s="199">
        <v>0</v>
      </c>
      <c r="G63" s="200"/>
      <c r="I63" s="167" t="s">
        <v>21</v>
      </c>
      <c r="J63" s="168"/>
      <c r="K63" s="172">
        <f>SUM(K55:K62)</f>
        <v>343</v>
      </c>
      <c r="M63" s="159"/>
      <c r="N63" s="125"/>
      <c r="O63" s="176"/>
      <c r="P63" s="177" t="s">
        <v>20</v>
      </c>
      <c r="Q63" s="178"/>
      <c r="R63" s="199">
        <v>0</v>
      </c>
      <c r="S63" s="200"/>
      <c r="U63" s="167" t="s">
        <v>21</v>
      </c>
      <c r="V63" s="168"/>
      <c r="W63" s="172">
        <f>SUM(W55:W62)</f>
        <v>282</v>
      </c>
      <c r="Y63" s="159"/>
      <c r="Z63" s="125"/>
      <c r="AA63" s="176"/>
      <c r="AB63" s="177" t="s">
        <v>20</v>
      </c>
      <c r="AC63" s="178"/>
      <c r="AD63" s="192">
        <v>0</v>
      </c>
      <c r="AE63" s="193"/>
      <c r="AG63" s="167" t="s">
        <v>21</v>
      </c>
      <c r="AH63" s="168"/>
      <c r="AI63" s="172">
        <f>SUM(AI55:AI62)</f>
        <v>348</v>
      </c>
      <c r="AK63" s="159"/>
      <c r="AL63" s="125"/>
      <c r="AM63" s="176"/>
      <c r="AN63" s="177" t="s">
        <v>20</v>
      </c>
      <c r="AO63" s="178"/>
      <c r="AP63" s="199">
        <v>0</v>
      </c>
      <c r="AQ63" s="200"/>
      <c r="AS63" s="167" t="s">
        <v>21</v>
      </c>
      <c r="AT63" s="168"/>
      <c r="AU63" s="172">
        <f>SUM(AU55:AU62)</f>
        <v>362</v>
      </c>
      <c r="AW63" s="159"/>
      <c r="AX63" s="125"/>
      <c r="AY63" s="176"/>
      <c r="AZ63" s="177" t="s">
        <v>20</v>
      </c>
      <c r="BA63" s="178"/>
      <c r="BB63" s="192">
        <v>0</v>
      </c>
      <c r="BC63" s="193"/>
      <c r="BE63" s="167" t="s">
        <v>21</v>
      </c>
      <c r="BF63" s="168"/>
      <c r="BG63" s="172">
        <f>SUM(BG55:BG62)</f>
        <v>581</v>
      </c>
      <c r="BI63" s="159"/>
      <c r="BJ63" s="125"/>
      <c r="BK63" s="176"/>
      <c r="BL63" s="177" t="s">
        <v>20</v>
      </c>
      <c r="BM63" s="178"/>
      <c r="BN63" s="192">
        <v>0</v>
      </c>
      <c r="BO63" s="193"/>
      <c r="BQ63" s="167" t="s">
        <v>21</v>
      </c>
      <c r="BR63" s="168"/>
      <c r="BS63" s="172">
        <f>SUM(BS55:BS62)</f>
        <v>293</v>
      </c>
      <c r="BU63" s="159"/>
      <c r="BV63" s="125"/>
      <c r="BW63" s="176"/>
      <c r="BX63" s="177" t="s">
        <v>20</v>
      </c>
      <c r="BY63" s="178"/>
      <c r="BZ63" s="199">
        <v>0</v>
      </c>
      <c r="CA63" s="200"/>
      <c r="CC63" s="167" t="s">
        <v>21</v>
      </c>
      <c r="CD63" s="168"/>
      <c r="CE63" s="172">
        <f>SUM(CE55:CE62)</f>
        <v>362</v>
      </c>
      <c r="CG63" s="159"/>
      <c r="CH63" s="125"/>
      <c r="CI63" s="176"/>
      <c r="CJ63" s="177" t="s">
        <v>20</v>
      </c>
      <c r="CK63" s="178"/>
      <c r="CL63" s="177">
        <v>0</v>
      </c>
      <c r="CM63" s="178"/>
      <c r="CO63" s="167" t="s">
        <v>21</v>
      </c>
      <c r="CP63" s="168"/>
      <c r="CQ63" s="172">
        <f>SUM(CQ55:CQ62)</f>
        <v>0</v>
      </c>
      <c r="CS63" s="159"/>
      <c r="CT63" s="125"/>
      <c r="CU63" s="176"/>
      <c r="CV63" s="177" t="s">
        <v>20</v>
      </c>
      <c r="CW63" s="178"/>
      <c r="CX63" s="177">
        <v>0</v>
      </c>
      <c r="CY63" s="178"/>
      <c r="DA63" s="167" t="s">
        <v>21</v>
      </c>
      <c r="DB63" s="168"/>
      <c r="DC63" s="172">
        <f>SUM(DC55:DC62)</f>
        <v>0</v>
      </c>
      <c r="DD63" s="2"/>
      <c r="DE63" s="159"/>
      <c r="DF63" s="125"/>
      <c r="DG63" s="176"/>
      <c r="DH63" s="177" t="s">
        <v>20</v>
      </c>
      <c r="DI63" s="178"/>
      <c r="DJ63" s="192">
        <v>0</v>
      </c>
      <c r="DK63" s="193"/>
      <c r="DM63" s="167" t="s">
        <v>21</v>
      </c>
      <c r="DN63" s="168"/>
      <c r="DO63" s="172">
        <f>SUM(DO55:DO62)</f>
        <v>240</v>
      </c>
      <c r="DP63" s="2"/>
      <c r="DQ63" s="159"/>
      <c r="DR63" s="125"/>
      <c r="DS63" s="176"/>
      <c r="DT63" s="177" t="s">
        <v>20</v>
      </c>
      <c r="DU63" s="178"/>
      <c r="DV63" s="177">
        <v>0</v>
      </c>
      <c r="DW63" s="178"/>
      <c r="DY63" s="167" t="s">
        <v>21</v>
      </c>
      <c r="DZ63" s="168"/>
      <c r="EA63" s="172">
        <f>SUM(EA55:EA62)</f>
        <v>0</v>
      </c>
      <c r="EC63" s="159"/>
      <c r="ED63" s="125"/>
      <c r="EE63" s="176"/>
      <c r="EF63" s="177" t="s">
        <v>20</v>
      </c>
      <c r="EG63" s="178"/>
      <c r="EH63" s="177">
        <v>0</v>
      </c>
      <c r="EI63" s="178"/>
      <c r="EK63" s="167" t="s">
        <v>21</v>
      </c>
      <c r="EL63" s="168"/>
      <c r="EM63" s="172">
        <f>SUM(EM55:EM62)</f>
        <v>0</v>
      </c>
      <c r="EO63" s="233"/>
      <c r="EP63" s="125"/>
      <c r="EQ63" s="126"/>
      <c r="ER63" s="177" t="s">
        <v>20</v>
      </c>
      <c r="ES63" s="178"/>
      <c r="ET63" s="156">
        <f t="shared" si="4"/>
        <v>0</v>
      </c>
      <c r="EU63" s="157"/>
      <c r="EW63" s="167" t="s">
        <v>21</v>
      </c>
      <c r="EX63" s="239"/>
      <c r="EY63" s="240">
        <f>SUM(EY55:EY62)</f>
        <v>2811</v>
      </c>
    </row>
    <row r="64" spans="1:155" ht="17.100000000000001" customHeight="1" thickTop="1" thickBot="1" x14ac:dyDescent="0.25">
      <c r="A64" s="159"/>
      <c r="B64" s="111" t="s">
        <v>22</v>
      </c>
      <c r="C64" s="174"/>
      <c r="D64" s="155" t="s">
        <v>23</v>
      </c>
      <c r="E64" s="141"/>
      <c r="F64" s="197">
        <v>23</v>
      </c>
      <c r="G64" s="198"/>
      <c r="I64" s="169"/>
      <c r="J64" s="168"/>
      <c r="K64" s="172"/>
      <c r="M64" s="159"/>
      <c r="N64" s="111" t="s">
        <v>22</v>
      </c>
      <c r="O64" s="174"/>
      <c r="P64" s="155" t="s">
        <v>23</v>
      </c>
      <c r="Q64" s="141"/>
      <c r="R64" s="197">
        <v>12</v>
      </c>
      <c r="S64" s="198"/>
      <c r="U64" s="169"/>
      <c r="V64" s="168"/>
      <c r="W64" s="172"/>
      <c r="Y64" s="159"/>
      <c r="Z64" s="111" t="s">
        <v>22</v>
      </c>
      <c r="AA64" s="174"/>
      <c r="AB64" s="155" t="s">
        <v>23</v>
      </c>
      <c r="AC64" s="141"/>
      <c r="AD64" s="190">
        <v>22</v>
      </c>
      <c r="AE64" s="191"/>
      <c r="AG64" s="169"/>
      <c r="AH64" s="168"/>
      <c r="AI64" s="172"/>
      <c r="AK64" s="159"/>
      <c r="AL64" s="111" t="s">
        <v>22</v>
      </c>
      <c r="AM64" s="174"/>
      <c r="AN64" s="155" t="s">
        <v>23</v>
      </c>
      <c r="AO64" s="141"/>
      <c r="AP64" s="197">
        <v>35</v>
      </c>
      <c r="AQ64" s="198"/>
      <c r="AS64" s="169"/>
      <c r="AT64" s="168"/>
      <c r="AU64" s="172"/>
      <c r="AW64" s="159"/>
      <c r="AX64" s="111" t="s">
        <v>22</v>
      </c>
      <c r="AY64" s="174"/>
      <c r="AZ64" s="155" t="s">
        <v>23</v>
      </c>
      <c r="BA64" s="141"/>
      <c r="BB64" s="190">
        <v>32</v>
      </c>
      <c r="BC64" s="191"/>
      <c r="BE64" s="169"/>
      <c r="BF64" s="168"/>
      <c r="BG64" s="172"/>
      <c r="BI64" s="159"/>
      <c r="BJ64" s="111" t="s">
        <v>22</v>
      </c>
      <c r="BK64" s="174"/>
      <c r="BL64" s="155" t="s">
        <v>23</v>
      </c>
      <c r="BM64" s="141"/>
      <c r="BN64" s="190">
        <v>9</v>
      </c>
      <c r="BO64" s="191"/>
      <c r="BQ64" s="169"/>
      <c r="BR64" s="168"/>
      <c r="BS64" s="172"/>
      <c r="BU64" s="159"/>
      <c r="BV64" s="111" t="s">
        <v>22</v>
      </c>
      <c r="BW64" s="174"/>
      <c r="BX64" s="155" t="s">
        <v>23</v>
      </c>
      <c r="BY64" s="141"/>
      <c r="BZ64" s="197">
        <v>35</v>
      </c>
      <c r="CA64" s="198"/>
      <c r="CC64" s="169"/>
      <c r="CD64" s="168"/>
      <c r="CE64" s="172"/>
      <c r="CG64" s="159"/>
      <c r="CH64" s="111" t="s">
        <v>22</v>
      </c>
      <c r="CI64" s="174"/>
      <c r="CJ64" s="155" t="s">
        <v>23</v>
      </c>
      <c r="CK64" s="141"/>
      <c r="CL64" s="155">
        <v>0</v>
      </c>
      <c r="CM64" s="141"/>
      <c r="CO64" s="169"/>
      <c r="CP64" s="168"/>
      <c r="CQ64" s="172"/>
      <c r="CS64" s="159"/>
      <c r="CT64" s="111" t="s">
        <v>22</v>
      </c>
      <c r="CU64" s="174"/>
      <c r="CV64" s="155" t="s">
        <v>23</v>
      </c>
      <c r="CW64" s="141"/>
      <c r="CX64" s="155">
        <v>0</v>
      </c>
      <c r="CY64" s="141"/>
      <c r="DA64" s="169"/>
      <c r="DB64" s="168"/>
      <c r="DC64" s="172"/>
      <c r="DD64" s="2"/>
      <c r="DE64" s="159"/>
      <c r="DF64" s="111" t="s">
        <v>22</v>
      </c>
      <c r="DG64" s="174"/>
      <c r="DH64" s="155" t="s">
        <v>23</v>
      </c>
      <c r="DI64" s="141"/>
      <c r="DJ64" s="190">
        <v>19</v>
      </c>
      <c r="DK64" s="191"/>
      <c r="DM64" s="169"/>
      <c r="DN64" s="168"/>
      <c r="DO64" s="172"/>
      <c r="DP64" s="2"/>
      <c r="DQ64" s="159"/>
      <c r="DR64" s="111" t="s">
        <v>22</v>
      </c>
      <c r="DS64" s="174"/>
      <c r="DT64" s="155" t="s">
        <v>23</v>
      </c>
      <c r="DU64" s="141"/>
      <c r="DV64" s="155">
        <v>0</v>
      </c>
      <c r="DW64" s="141"/>
      <c r="DY64" s="169"/>
      <c r="DZ64" s="168"/>
      <c r="EA64" s="172"/>
      <c r="EC64" s="159"/>
      <c r="ED64" s="111" t="s">
        <v>22</v>
      </c>
      <c r="EE64" s="174"/>
      <c r="EF64" s="155" t="s">
        <v>23</v>
      </c>
      <c r="EG64" s="141"/>
      <c r="EH64" s="155">
        <v>0</v>
      </c>
      <c r="EI64" s="141"/>
      <c r="EK64" s="169"/>
      <c r="EL64" s="168"/>
      <c r="EM64" s="172"/>
      <c r="EO64" s="233"/>
      <c r="EP64" s="111" t="s">
        <v>22</v>
      </c>
      <c r="EQ64" s="124"/>
      <c r="ER64" s="155" t="s">
        <v>23</v>
      </c>
      <c r="ES64" s="141"/>
      <c r="ET64" s="156">
        <f t="shared" si="4"/>
        <v>187</v>
      </c>
      <c r="EU64" s="157"/>
      <c r="EW64" s="169"/>
      <c r="EX64" s="168"/>
      <c r="EY64" s="172"/>
    </row>
    <row r="65" spans="1:156" ht="17.100000000000001" customHeight="1" thickBot="1" x14ac:dyDescent="0.25">
      <c r="A65" s="159"/>
      <c r="B65" s="113"/>
      <c r="C65" s="175"/>
      <c r="D65" s="154" t="s">
        <v>24</v>
      </c>
      <c r="E65" s="142"/>
      <c r="F65" s="195">
        <v>0</v>
      </c>
      <c r="G65" s="196"/>
      <c r="I65" s="170"/>
      <c r="J65" s="171"/>
      <c r="K65" s="173"/>
      <c r="M65" s="159"/>
      <c r="N65" s="113"/>
      <c r="O65" s="175"/>
      <c r="P65" s="154" t="s">
        <v>24</v>
      </c>
      <c r="Q65" s="142"/>
      <c r="R65" s="195">
        <v>0</v>
      </c>
      <c r="S65" s="196"/>
      <c r="U65" s="170"/>
      <c r="V65" s="171"/>
      <c r="W65" s="173"/>
      <c r="Y65" s="159"/>
      <c r="Z65" s="113"/>
      <c r="AA65" s="175"/>
      <c r="AB65" s="154" t="s">
        <v>24</v>
      </c>
      <c r="AC65" s="142"/>
      <c r="AD65" s="182">
        <v>0</v>
      </c>
      <c r="AE65" s="183"/>
      <c r="AG65" s="170"/>
      <c r="AH65" s="171"/>
      <c r="AI65" s="173"/>
      <c r="AK65" s="159"/>
      <c r="AL65" s="113"/>
      <c r="AM65" s="175"/>
      <c r="AN65" s="154" t="s">
        <v>24</v>
      </c>
      <c r="AO65" s="142"/>
      <c r="AP65" s="195">
        <v>0</v>
      </c>
      <c r="AQ65" s="196"/>
      <c r="AS65" s="170"/>
      <c r="AT65" s="171"/>
      <c r="AU65" s="173"/>
      <c r="AW65" s="159"/>
      <c r="AX65" s="113"/>
      <c r="AY65" s="175"/>
      <c r="AZ65" s="154" t="s">
        <v>24</v>
      </c>
      <c r="BA65" s="142"/>
      <c r="BB65" s="182">
        <v>0</v>
      </c>
      <c r="BC65" s="183"/>
      <c r="BE65" s="170"/>
      <c r="BF65" s="171"/>
      <c r="BG65" s="173"/>
      <c r="BI65" s="159"/>
      <c r="BJ65" s="113"/>
      <c r="BK65" s="175"/>
      <c r="BL65" s="154" t="s">
        <v>24</v>
      </c>
      <c r="BM65" s="142"/>
      <c r="BN65" s="182">
        <v>0</v>
      </c>
      <c r="BO65" s="183"/>
      <c r="BQ65" s="170"/>
      <c r="BR65" s="171"/>
      <c r="BS65" s="173"/>
      <c r="BU65" s="159"/>
      <c r="BV65" s="113"/>
      <c r="BW65" s="175"/>
      <c r="BX65" s="154" t="s">
        <v>24</v>
      </c>
      <c r="BY65" s="142"/>
      <c r="BZ65" s="195">
        <v>0</v>
      </c>
      <c r="CA65" s="196"/>
      <c r="CC65" s="170"/>
      <c r="CD65" s="171"/>
      <c r="CE65" s="173"/>
      <c r="CG65" s="159"/>
      <c r="CH65" s="113"/>
      <c r="CI65" s="175"/>
      <c r="CJ65" s="154" t="s">
        <v>24</v>
      </c>
      <c r="CK65" s="142"/>
      <c r="CL65" s="154">
        <v>0</v>
      </c>
      <c r="CM65" s="142"/>
      <c r="CO65" s="170"/>
      <c r="CP65" s="171"/>
      <c r="CQ65" s="173"/>
      <c r="CS65" s="159"/>
      <c r="CT65" s="113"/>
      <c r="CU65" s="175"/>
      <c r="CV65" s="154" t="s">
        <v>24</v>
      </c>
      <c r="CW65" s="142"/>
      <c r="CX65" s="154">
        <v>0</v>
      </c>
      <c r="CY65" s="142"/>
      <c r="DA65" s="170"/>
      <c r="DB65" s="171"/>
      <c r="DC65" s="173"/>
      <c r="DD65" s="2"/>
      <c r="DE65" s="159"/>
      <c r="DF65" s="113"/>
      <c r="DG65" s="175"/>
      <c r="DH65" s="154" t="s">
        <v>24</v>
      </c>
      <c r="DI65" s="142"/>
      <c r="DJ65" s="182">
        <v>0</v>
      </c>
      <c r="DK65" s="183"/>
      <c r="DM65" s="170"/>
      <c r="DN65" s="171"/>
      <c r="DO65" s="173"/>
      <c r="DP65" s="2"/>
      <c r="DQ65" s="159"/>
      <c r="DR65" s="113"/>
      <c r="DS65" s="175"/>
      <c r="DT65" s="154" t="s">
        <v>24</v>
      </c>
      <c r="DU65" s="142"/>
      <c r="DV65" s="154">
        <v>0</v>
      </c>
      <c r="DW65" s="142"/>
      <c r="DY65" s="170"/>
      <c r="DZ65" s="171"/>
      <c r="EA65" s="173"/>
      <c r="EC65" s="159"/>
      <c r="ED65" s="113"/>
      <c r="EE65" s="175"/>
      <c r="EF65" s="154" t="s">
        <v>24</v>
      </c>
      <c r="EG65" s="142"/>
      <c r="EH65" s="154">
        <v>0</v>
      </c>
      <c r="EI65" s="142"/>
      <c r="EK65" s="170"/>
      <c r="EL65" s="171"/>
      <c r="EM65" s="173"/>
      <c r="EO65" s="233"/>
      <c r="EP65" s="113"/>
      <c r="EQ65" s="112"/>
      <c r="ER65" s="154" t="s">
        <v>24</v>
      </c>
      <c r="ES65" s="142"/>
      <c r="ET65" s="156">
        <f t="shared" si="4"/>
        <v>0</v>
      </c>
      <c r="EU65" s="157"/>
      <c r="EW65" s="170"/>
      <c r="EX65" s="171"/>
      <c r="EY65" s="173"/>
    </row>
    <row r="66" spans="1:156" ht="17.100000000000001" customHeight="1" thickBot="1" x14ac:dyDescent="0.25">
      <c r="A66" s="159"/>
      <c r="B66" s="113"/>
      <c r="C66" s="175"/>
      <c r="D66" s="154" t="s">
        <v>25</v>
      </c>
      <c r="E66" s="142"/>
      <c r="F66" s="195">
        <v>62</v>
      </c>
      <c r="G66" s="196"/>
      <c r="I66" s="111" t="s">
        <v>26</v>
      </c>
      <c r="J66" s="124"/>
      <c r="K66" s="162">
        <v>343</v>
      </c>
      <c r="M66" s="159"/>
      <c r="N66" s="113"/>
      <c r="O66" s="175"/>
      <c r="P66" s="154" t="s">
        <v>25</v>
      </c>
      <c r="Q66" s="142"/>
      <c r="R66" s="195">
        <v>59</v>
      </c>
      <c r="S66" s="196"/>
      <c r="U66" s="111" t="s">
        <v>26</v>
      </c>
      <c r="V66" s="124"/>
      <c r="W66" s="162">
        <v>282</v>
      </c>
      <c r="Y66" s="159"/>
      <c r="Z66" s="113"/>
      <c r="AA66" s="175"/>
      <c r="AB66" s="154" t="s">
        <v>25</v>
      </c>
      <c r="AC66" s="142"/>
      <c r="AD66" s="182">
        <v>50</v>
      </c>
      <c r="AE66" s="183"/>
      <c r="AG66" s="111" t="s">
        <v>26</v>
      </c>
      <c r="AH66" s="124"/>
      <c r="AI66" s="162">
        <v>348</v>
      </c>
      <c r="AK66" s="159"/>
      <c r="AL66" s="113"/>
      <c r="AM66" s="175"/>
      <c r="AN66" s="154" t="s">
        <v>25</v>
      </c>
      <c r="AO66" s="142"/>
      <c r="AP66" s="195">
        <v>112</v>
      </c>
      <c r="AQ66" s="196"/>
      <c r="AS66" s="111" t="s">
        <v>26</v>
      </c>
      <c r="AT66" s="124"/>
      <c r="AU66" s="162">
        <v>362</v>
      </c>
      <c r="AW66" s="159"/>
      <c r="AX66" s="113"/>
      <c r="AY66" s="175"/>
      <c r="AZ66" s="154" t="s">
        <v>25</v>
      </c>
      <c r="BA66" s="142"/>
      <c r="BB66" s="182">
        <v>230</v>
      </c>
      <c r="BC66" s="183"/>
      <c r="BE66" s="111" t="s">
        <v>26</v>
      </c>
      <c r="BF66" s="124"/>
      <c r="BG66" s="162">
        <v>581</v>
      </c>
      <c r="BI66" s="159"/>
      <c r="BJ66" s="113"/>
      <c r="BK66" s="175"/>
      <c r="BL66" s="154" t="s">
        <v>25</v>
      </c>
      <c r="BM66" s="142"/>
      <c r="BN66" s="182">
        <v>44</v>
      </c>
      <c r="BO66" s="183"/>
      <c r="BQ66" s="111" t="s">
        <v>26</v>
      </c>
      <c r="BR66" s="124"/>
      <c r="BS66" s="162">
        <v>293</v>
      </c>
      <c r="BU66" s="159"/>
      <c r="BV66" s="113"/>
      <c r="BW66" s="175"/>
      <c r="BX66" s="154" t="s">
        <v>25</v>
      </c>
      <c r="BY66" s="142"/>
      <c r="BZ66" s="195">
        <v>112</v>
      </c>
      <c r="CA66" s="196"/>
      <c r="CC66" s="111" t="s">
        <v>26</v>
      </c>
      <c r="CD66" s="124"/>
      <c r="CE66" s="162">
        <v>362</v>
      </c>
      <c r="CG66" s="159"/>
      <c r="CH66" s="113"/>
      <c r="CI66" s="175"/>
      <c r="CJ66" s="154" t="s">
        <v>25</v>
      </c>
      <c r="CK66" s="142"/>
      <c r="CL66" s="154">
        <v>0</v>
      </c>
      <c r="CM66" s="142"/>
      <c r="CO66" s="111" t="s">
        <v>26</v>
      </c>
      <c r="CP66" s="124"/>
      <c r="CQ66" s="162">
        <v>0</v>
      </c>
      <c r="CS66" s="159"/>
      <c r="CT66" s="113"/>
      <c r="CU66" s="175"/>
      <c r="CV66" s="154" t="s">
        <v>25</v>
      </c>
      <c r="CW66" s="142"/>
      <c r="CX66" s="154">
        <v>0</v>
      </c>
      <c r="CY66" s="142"/>
      <c r="DA66" s="111" t="s">
        <v>26</v>
      </c>
      <c r="DB66" s="124"/>
      <c r="DC66" s="162">
        <v>0</v>
      </c>
      <c r="DD66" s="2"/>
      <c r="DE66" s="159"/>
      <c r="DF66" s="113"/>
      <c r="DG66" s="175"/>
      <c r="DH66" s="154" t="s">
        <v>25</v>
      </c>
      <c r="DI66" s="142"/>
      <c r="DJ66" s="182">
        <v>72</v>
      </c>
      <c r="DK66" s="183"/>
      <c r="DM66" s="111" t="s">
        <v>26</v>
      </c>
      <c r="DN66" s="124"/>
      <c r="DO66" s="162">
        <v>240</v>
      </c>
      <c r="DP66" s="2"/>
      <c r="DQ66" s="159"/>
      <c r="DR66" s="113"/>
      <c r="DS66" s="175"/>
      <c r="DT66" s="154" t="s">
        <v>25</v>
      </c>
      <c r="DU66" s="142"/>
      <c r="DV66" s="154">
        <v>0</v>
      </c>
      <c r="DW66" s="142"/>
      <c r="DY66" s="111" t="s">
        <v>26</v>
      </c>
      <c r="DZ66" s="124"/>
      <c r="EA66" s="162">
        <v>0</v>
      </c>
      <c r="EC66" s="159"/>
      <c r="ED66" s="113"/>
      <c r="EE66" s="175"/>
      <c r="EF66" s="154" t="s">
        <v>25</v>
      </c>
      <c r="EG66" s="142"/>
      <c r="EH66" s="154">
        <v>0</v>
      </c>
      <c r="EI66" s="142"/>
      <c r="EK66" s="111" t="s">
        <v>26</v>
      </c>
      <c r="EL66" s="124"/>
      <c r="EM66" s="162">
        <v>0</v>
      </c>
      <c r="EO66" s="233"/>
      <c r="EP66" s="113"/>
      <c r="EQ66" s="112"/>
      <c r="ER66" s="154" t="s">
        <v>25</v>
      </c>
      <c r="ES66" s="142"/>
      <c r="ET66" s="156">
        <f t="shared" si="4"/>
        <v>741</v>
      </c>
      <c r="EU66" s="157"/>
      <c r="EW66" s="111" t="s">
        <v>26</v>
      </c>
      <c r="EX66" s="124"/>
      <c r="EY66" s="162">
        <f>K66+W66+AI66+AU66+BG66+BS66+CE66+CQ66+DC66+DO66+EA66+EM66</f>
        <v>2811</v>
      </c>
    </row>
    <row r="67" spans="1:156" ht="17.100000000000001" customHeight="1" thickBot="1" x14ac:dyDescent="0.25">
      <c r="A67" s="159"/>
      <c r="B67" s="125"/>
      <c r="C67" s="176"/>
      <c r="D67" s="177" t="s">
        <v>27</v>
      </c>
      <c r="E67" s="178"/>
      <c r="F67" s="199">
        <v>43</v>
      </c>
      <c r="G67" s="200"/>
      <c r="I67" s="113"/>
      <c r="J67" s="112"/>
      <c r="K67" s="163"/>
      <c r="M67" s="159"/>
      <c r="N67" s="125"/>
      <c r="O67" s="176"/>
      <c r="P67" s="177" t="s">
        <v>27</v>
      </c>
      <c r="Q67" s="178"/>
      <c r="R67" s="199">
        <v>68</v>
      </c>
      <c r="S67" s="200"/>
      <c r="U67" s="113"/>
      <c r="V67" s="112"/>
      <c r="W67" s="163"/>
      <c r="Y67" s="159"/>
      <c r="Z67" s="125"/>
      <c r="AA67" s="176"/>
      <c r="AB67" s="177" t="s">
        <v>27</v>
      </c>
      <c r="AC67" s="178"/>
      <c r="AD67" s="192">
        <v>14</v>
      </c>
      <c r="AE67" s="193"/>
      <c r="AG67" s="113"/>
      <c r="AH67" s="112"/>
      <c r="AI67" s="163"/>
      <c r="AK67" s="159"/>
      <c r="AL67" s="125"/>
      <c r="AM67" s="176"/>
      <c r="AN67" s="177" t="s">
        <v>27</v>
      </c>
      <c r="AO67" s="178"/>
      <c r="AP67" s="199">
        <v>99</v>
      </c>
      <c r="AQ67" s="200"/>
      <c r="AS67" s="113"/>
      <c r="AT67" s="112"/>
      <c r="AU67" s="163"/>
      <c r="AW67" s="159"/>
      <c r="AX67" s="125"/>
      <c r="AY67" s="176"/>
      <c r="AZ67" s="177" t="s">
        <v>27</v>
      </c>
      <c r="BA67" s="178"/>
      <c r="BB67" s="192">
        <v>201</v>
      </c>
      <c r="BC67" s="193"/>
      <c r="BE67" s="113"/>
      <c r="BF67" s="112"/>
      <c r="BG67" s="163"/>
      <c r="BI67" s="159"/>
      <c r="BJ67" s="125"/>
      <c r="BK67" s="176"/>
      <c r="BL67" s="177" t="s">
        <v>27</v>
      </c>
      <c r="BM67" s="178"/>
      <c r="BN67" s="192">
        <v>19</v>
      </c>
      <c r="BO67" s="193"/>
      <c r="BQ67" s="113"/>
      <c r="BR67" s="112"/>
      <c r="BS67" s="163"/>
      <c r="BU67" s="159"/>
      <c r="BV67" s="125"/>
      <c r="BW67" s="176"/>
      <c r="BX67" s="177" t="s">
        <v>27</v>
      </c>
      <c r="BY67" s="178"/>
      <c r="BZ67" s="199">
        <v>99</v>
      </c>
      <c r="CA67" s="200"/>
      <c r="CC67" s="113"/>
      <c r="CD67" s="112"/>
      <c r="CE67" s="163"/>
      <c r="CG67" s="159"/>
      <c r="CH67" s="125"/>
      <c r="CI67" s="176"/>
      <c r="CJ67" s="177" t="s">
        <v>27</v>
      </c>
      <c r="CK67" s="178"/>
      <c r="CL67" s="177">
        <v>0</v>
      </c>
      <c r="CM67" s="178"/>
      <c r="CO67" s="113"/>
      <c r="CP67" s="112"/>
      <c r="CQ67" s="163"/>
      <c r="CS67" s="159"/>
      <c r="CT67" s="125"/>
      <c r="CU67" s="176"/>
      <c r="CV67" s="177" t="s">
        <v>27</v>
      </c>
      <c r="CW67" s="178"/>
      <c r="CX67" s="177">
        <v>0</v>
      </c>
      <c r="CY67" s="178"/>
      <c r="DA67" s="113"/>
      <c r="DB67" s="112"/>
      <c r="DC67" s="163"/>
      <c r="DD67" s="2"/>
      <c r="DE67" s="159"/>
      <c r="DF67" s="125"/>
      <c r="DG67" s="176"/>
      <c r="DH67" s="177" t="s">
        <v>27</v>
      </c>
      <c r="DI67" s="178"/>
      <c r="DJ67" s="192">
        <v>21</v>
      </c>
      <c r="DK67" s="193"/>
      <c r="DM67" s="113"/>
      <c r="DN67" s="112"/>
      <c r="DO67" s="163"/>
      <c r="DP67" s="2"/>
      <c r="DQ67" s="159"/>
      <c r="DR67" s="125"/>
      <c r="DS67" s="176"/>
      <c r="DT67" s="177" t="s">
        <v>27</v>
      </c>
      <c r="DU67" s="178"/>
      <c r="DV67" s="177">
        <v>0</v>
      </c>
      <c r="DW67" s="178"/>
      <c r="DY67" s="113"/>
      <c r="DZ67" s="112"/>
      <c r="EA67" s="163"/>
      <c r="EC67" s="159"/>
      <c r="ED67" s="125"/>
      <c r="EE67" s="176"/>
      <c r="EF67" s="177" t="s">
        <v>27</v>
      </c>
      <c r="EG67" s="178"/>
      <c r="EH67" s="177">
        <v>0</v>
      </c>
      <c r="EI67" s="178"/>
      <c r="EK67" s="113"/>
      <c r="EL67" s="112"/>
      <c r="EM67" s="163"/>
      <c r="EO67" s="233"/>
      <c r="EP67" s="125"/>
      <c r="EQ67" s="126"/>
      <c r="ER67" s="177" t="s">
        <v>27</v>
      </c>
      <c r="ES67" s="178"/>
      <c r="ET67" s="156">
        <f t="shared" si="4"/>
        <v>564</v>
      </c>
      <c r="EU67" s="157"/>
      <c r="EW67" s="113"/>
      <c r="EX67" s="112"/>
      <c r="EY67" s="163"/>
    </row>
    <row r="68" spans="1:156" ht="17.100000000000001" customHeight="1" thickTop="1" thickBot="1" x14ac:dyDescent="0.25">
      <c r="A68" s="159"/>
      <c r="B68" s="111" t="s">
        <v>28</v>
      </c>
      <c r="C68" s="174"/>
      <c r="D68" s="155" t="s">
        <v>29</v>
      </c>
      <c r="E68" s="141"/>
      <c r="F68" s="197">
        <v>0</v>
      </c>
      <c r="G68" s="198"/>
      <c r="I68" s="125"/>
      <c r="J68" s="126"/>
      <c r="K68" s="164"/>
      <c r="M68" s="159"/>
      <c r="N68" s="111" t="s">
        <v>28</v>
      </c>
      <c r="O68" s="174"/>
      <c r="P68" s="155" t="s">
        <v>29</v>
      </c>
      <c r="Q68" s="141"/>
      <c r="R68" s="197">
        <v>0</v>
      </c>
      <c r="S68" s="198"/>
      <c r="U68" s="125"/>
      <c r="V68" s="126"/>
      <c r="W68" s="164"/>
      <c r="Y68" s="159"/>
      <c r="Z68" s="111" t="s">
        <v>28</v>
      </c>
      <c r="AA68" s="174"/>
      <c r="AB68" s="155" t="s">
        <v>29</v>
      </c>
      <c r="AC68" s="141"/>
      <c r="AD68" s="190">
        <v>0</v>
      </c>
      <c r="AE68" s="191"/>
      <c r="AG68" s="125"/>
      <c r="AH68" s="126"/>
      <c r="AI68" s="164"/>
      <c r="AK68" s="159"/>
      <c r="AL68" s="111" t="s">
        <v>28</v>
      </c>
      <c r="AM68" s="174"/>
      <c r="AN68" s="155" t="s">
        <v>29</v>
      </c>
      <c r="AO68" s="141"/>
      <c r="AP68" s="197">
        <v>0</v>
      </c>
      <c r="AQ68" s="198"/>
      <c r="AS68" s="125"/>
      <c r="AT68" s="126"/>
      <c r="AU68" s="164"/>
      <c r="AW68" s="159"/>
      <c r="AX68" s="111" t="s">
        <v>28</v>
      </c>
      <c r="AY68" s="174"/>
      <c r="AZ68" s="155" t="s">
        <v>29</v>
      </c>
      <c r="BA68" s="141"/>
      <c r="BB68" s="190">
        <v>0</v>
      </c>
      <c r="BC68" s="191"/>
      <c r="BE68" s="125"/>
      <c r="BF68" s="126"/>
      <c r="BG68" s="164"/>
      <c r="BI68" s="159"/>
      <c r="BJ68" s="111" t="s">
        <v>28</v>
      </c>
      <c r="BK68" s="174"/>
      <c r="BL68" s="155" t="s">
        <v>29</v>
      </c>
      <c r="BM68" s="141"/>
      <c r="BN68" s="190">
        <v>0</v>
      </c>
      <c r="BO68" s="191"/>
      <c r="BQ68" s="125"/>
      <c r="BR68" s="126"/>
      <c r="BS68" s="164"/>
      <c r="BU68" s="159"/>
      <c r="BV68" s="111" t="s">
        <v>28</v>
      </c>
      <c r="BW68" s="174"/>
      <c r="BX68" s="155" t="s">
        <v>29</v>
      </c>
      <c r="BY68" s="141"/>
      <c r="BZ68" s="197">
        <v>0</v>
      </c>
      <c r="CA68" s="198"/>
      <c r="CC68" s="125"/>
      <c r="CD68" s="126"/>
      <c r="CE68" s="164"/>
      <c r="CG68" s="159"/>
      <c r="CH68" s="111" t="s">
        <v>28</v>
      </c>
      <c r="CI68" s="174"/>
      <c r="CJ68" s="155" t="s">
        <v>29</v>
      </c>
      <c r="CK68" s="141"/>
      <c r="CL68" s="155">
        <v>0</v>
      </c>
      <c r="CM68" s="141"/>
      <c r="CO68" s="125"/>
      <c r="CP68" s="126"/>
      <c r="CQ68" s="164"/>
      <c r="CS68" s="159"/>
      <c r="CT68" s="111" t="s">
        <v>28</v>
      </c>
      <c r="CU68" s="174"/>
      <c r="CV68" s="155" t="s">
        <v>29</v>
      </c>
      <c r="CW68" s="141"/>
      <c r="CX68" s="155">
        <v>0</v>
      </c>
      <c r="CY68" s="141"/>
      <c r="DA68" s="125"/>
      <c r="DB68" s="126"/>
      <c r="DC68" s="164"/>
      <c r="DD68" s="2"/>
      <c r="DE68" s="159"/>
      <c r="DF68" s="111" t="s">
        <v>28</v>
      </c>
      <c r="DG68" s="174"/>
      <c r="DH68" s="155" t="s">
        <v>29</v>
      </c>
      <c r="DI68" s="141"/>
      <c r="DJ68" s="190">
        <v>0</v>
      </c>
      <c r="DK68" s="191"/>
      <c r="DM68" s="125"/>
      <c r="DN68" s="126"/>
      <c r="DO68" s="164"/>
      <c r="DP68" s="2"/>
      <c r="DQ68" s="159"/>
      <c r="DR68" s="111" t="s">
        <v>28</v>
      </c>
      <c r="DS68" s="174"/>
      <c r="DT68" s="155" t="s">
        <v>29</v>
      </c>
      <c r="DU68" s="141"/>
      <c r="DV68" s="155">
        <v>0</v>
      </c>
      <c r="DW68" s="141"/>
      <c r="DY68" s="125"/>
      <c r="DZ68" s="126"/>
      <c r="EA68" s="164"/>
      <c r="EC68" s="159"/>
      <c r="ED68" s="111" t="s">
        <v>28</v>
      </c>
      <c r="EE68" s="174"/>
      <c r="EF68" s="155" t="s">
        <v>29</v>
      </c>
      <c r="EG68" s="141"/>
      <c r="EH68" s="155">
        <v>0</v>
      </c>
      <c r="EI68" s="141"/>
      <c r="EK68" s="125"/>
      <c r="EL68" s="126"/>
      <c r="EM68" s="164"/>
      <c r="EO68" s="233"/>
      <c r="EP68" s="111" t="s">
        <v>28</v>
      </c>
      <c r="EQ68" s="124"/>
      <c r="ER68" s="155" t="s">
        <v>29</v>
      </c>
      <c r="ES68" s="141"/>
      <c r="ET68" s="156">
        <f t="shared" si="4"/>
        <v>0</v>
      </c>
      <c r="EU68" s="157"/>
      <c r="EW68" s="125"/>
      <c r="EX68" s="126"/>
      <c r="EY68" s="164"/>
    </row>
    <row r="69" spans="1:156" ht="17.100000000000001" customHeight="1" thickBot="1" x14ac:dyDescent="0.25">
      <c r="A69" s="159"/>
      <c r="B69" s="113"/>
      <c r="C69" s="175"/>
      <c r="D69" s="154" t="s">
        <v>30</v>
      </c>
      <c r="E69" s="142"/>
      <c r="F69" s="195">
        <v>48</v>
      </c>
      <c r="G69" s="196"/>
      <c r="I69" s="111" t="s">
        <v>31</v>
      </c>
      <c r="J69" s="124"/>
      <c r="K69" s="162">
        <v>0</v>
      </c>
      <c r="M69" s="159"/>
      <c r="N69" s="113"/>
      <c r="O69" s="175"/>
      <c r="P69" s="154" t="s">
        <v>30</v>
      </c>
      <c r="Q69" s="142"/>
      <c r="R69" s="195">
        <v>19</v>
      </c>
      <c r="S69" s="196"/>
      <c r="U69" s="111" t="s">
        <v>31</v>
      </c>
      <c r="V69" s="124"/>
      <c r="W69" s="162">
        <v>0</v>
      </c>
      <c r="Y69" s="159"/>
      <c r="Z69" s="113"/>
      <c r="AA69" s="175"/>
      <c r="AB69" s="154" t="s">
        <v>30</v>
      </c>
      <c r="AC69" s="142"/>
      <c r="AD69" s="182">
        <v>15</v>
      </c>
      <c r="AE69" s="183"/>
      <c r="AG69" s="111" t="s">
        <v>31</v>
      </c>
      <c r="AH69" s="124"/>
      <c r="AI69" s="162">
        <v>0</v>
      </c>
      <c r="AK69" s="159"/>
      <c r="AL69" s="113"/>
      <c r="AM69" s="175"/>
      <c r="AN69" s="154" t="s">
        <v>30</v>
      </c>
      <c r="AO69" s="142"/>
      <c r="AP69" s="195">
        <v>53</v>
      </c>
      <c r="AQ69" s="196"/>
      <c r="AS69" s="111" t="s">
        <v>31</v>
      </c>
      <c r="AT69" s="124"/>
      <c r="AU69" s="162">
        <v>0</v>
      </c>
      <c r="AW69" s="159"/>
      <c r="AX69" s="113"/>
      <c r="AY69" s="175"/>
      <c r="AZ69" s="154" t="s">
        <v>30</v>
      </c>
      <c r="BA69" s="142"/>
      <c r="BB69" s="182">
        <v>22</v>
      </c>
      <c r="BC69" s="183"/>
      <c r="BE69" s="111" t="s">
        <v>31</v>
      </c>
      <c r="BF69" s="124"/>
      <c r="BG69" s="162">
        <v>0</v>
      </c>
      <c r="BI69" s="159"/>
      <c r="BJ69" s="113"/>
      <c r="BK69" s="175"/>
      <c r="BL69" s="154" t="s">
        <v>30</v>
      </c>
      <c r="BM69" s="142"/>
      <c r="BN69" s="182">
        <v>3</v>
      </c>
      <c r="BO69" s="183"/>
      <c r="BQ69" s="111" t="s">
        <v>31</v>
      </c>
      <c r="BR69" s="124"/>
      <c r="BS69" s="162">
        <v>0</v>
      </c>
      <c r="BU69" s="159"/>
      <c r="BV69" s="113"/>
      <c r="BW69" s="175"/>
      <c r="BX69" s="154" t="s">
        <v>30</v>
      </c>
      <c r="BY69" s="142"/>
      <c r="BZ69" s="195">
        <v>53</v>
      </c>
      <c r="CA69" s="196"/>
      <c r="CC69" s="111" t="s">
        <v>31</v>
      </c>
      <c r="CD69" s="124"/>
      <c r="CE69" s="162">
        <v>0</v>
      </c>
      <c r="CG69" s="159"/>
      <c r="CH69" s="113"/>
      <c r="CI69" s="175"/>
      <c r="CJ69" s="154" t="s">
        <v>30</v>
      </c>
      <c r="CK69" s="142"/>
      <c r="CL69" s="154">
        <v>0</v>
      </c>
      <c r="CM69" s="142"/>
      <c r="CO69" s="111" t="s">
        <v>31</v>
      </c>
      <c r="CP69" s="124"/>
      <c r="CQ69" s="162">
        <v>0</v>
      </c>
      <c r="CS69" s="159"/>
      <c r="CT69" s="113"/>
      <c r="CU69" s="175"/>
      <c r="CV69" s="154" t="s">
        <v>30</v>
      </c>
      <c r="CW69" s="142"/>
      <c r="CX69" s="154">
        <v>0</v>
      </c>
      <c r="CY69" s="142"/>
      <c r="DA69" s="111" t="s">
        <v>31</v>
      </c>
      <c r="DB69" s="124"/>
      <c r="DC69" s="162">
        <v>0</v>
      </c>
      <c r="DD69" s="2"/>
      <c r="DE69" s="159"/>
      <c r="DF69" s="113"/>
      <c r="DG69" s="175"/>
      <c r="DH69" s="154" t="s">
        <v>30</v>
      </c>
      <c r="DI69" s="142"/>
      <c r="DJ69" s="182">
        <v>25</v>
      </c>
      <c r="DK69" s="183"/>
      <c r="DM69" s="111" t="s">
        <v>31</v>
      </c>
      <c r="DN69" s="124"/>
      <c r="DO69" s="162">
        <v>0</v>
      </c>
      <c r="DP69" s="2"/>
      <c r="DQ69" s="159"/>
      <c r="DR69" s="113"/>
      <c r="DS69" s="175"/>
      <c r="DT69" s="154" t="s">
        <v>30</v>
      </c>
      <c r="DU69" s="142"/>
      <c r="DV69" s="154">
        <v>0</v>
      </c>
      <c r="DW69" s="142"/>
      <c r="DY69" s="111" t="s">
        <v>31</v>
      </c>
      <c r="DZ69" s="124"/>
      <c r="EA69" s="162">
        <v>0</v>
      </c>
      <c r="EC69" s="159"/>
      <c r="ED69" s="113"/>
      <c r="EE69" s="175"/>
      <c r="EF69" s="154" t="s">
        <v>30</v>
      </c>
      <c r="EG69" s="142"/>
      <c r="EH69" s="154">
        <v>0</v>
      </c>
      <c r="EI69" s="142"/>
      <c r="EK69" s="111" t="s">
        <v>31</v>
      </c>
      <c r="EL69" s="124"/>
      <c r="EM69" s="162">
        <v>0</v>
      </c>
      <c r="EO69" s="233"/>
      <c r="EP69" s="113"/>
      <c r="EQ69" s="112"/>
      <c r="ER69" s="154" t="s">
        <v>30</v>
      </c>
      <c r="ES69" s="142"/>
      <c r="ET69" s="156">
        <f t="shared" si="4"/>
        <v>238</v>
      </c>
      <c r="EU69" s="157"/>
      <c r="EW69" s="111" t="s">
        <v>31</v>
      </c>
      <c r="EX69" s="124"/>
      <c r="EY69" s="162">
        <f>K69+W69+AI69+AU69+BG69+BS69+CE69+CQ69+DC69+DO69+EA69+EM69</f>
        <v>0</v>
      </c>
    </row>
    <row r="70" spans="1:156" ht="17.100000000000001" customHeight="1" thickBot="1" x14ac:dyDescent="0.25">
      <c r="A70" s="159"/>
      <c r="B70" s="125"/>
      <c r="C70" s="176"/>
      <c r="D70" s="177" t="s">
        <v>32</v>
      </c>
      <c r="E70" s="178"/>
      <c r="F70" s="199">
        <v>0</v>
      </c>
      <c r="G70" s="200"/>
      <c r="I70" s="113"/>
      <c r="J70" s="112"/>
      <c r="K70" s="163"/>
      <c r="M70" s="159"/>
      <c r="N70" s="125"/>
      <c r="O70" s="176"/>
      <c r="P70" s="177" t="s">
        <v>32</v>
      </c>
      <c r="Q70" s="178"/>
      <c r="R70" s="195">
        <v>0</v>
      </c>
      <c r="S70" s="196"/>
      <c r="U70" s="113"/>
      <c r="V70" s="112"/>
      <c r="W70" s="163"/>
      <c r="Y70" s="159"/>
      <c r="Z70" s="125"/>
      <c r="AA70" s="176"/>
      <c r="AB70" s="177" t="s">
        <v>32</v>
      </c>
      <c r="AC70" s="178"/>
      <c r="AD70" s="192">
        <v>0</v>
      </c>
      <c r="AE70" s="193"/>
      <c r="AG70" s="113"/>
      <c r="AH70" s="112"/>
      <c r="AI70" s="163"/>
      <c r="AK70" s="159"/>
      <c r="AL70" s="125"/>
      <c r="AM70" s="176"/>
      <c r="AN70" s="177" t="s">
        <v>32</v>
      </c>
      <c r="AO70" s="178"/>
      <c r="AP70" s="199">
        <v>0</v>
      </c>
      <c r="AQ70" s="200"/>
      <c r="AS70" s="113"/>
      <c r="AT70" s="112"/>
      <c r="AU70" s="163"/>
      <c r="AW70" s="159"/>
      <c r="AX70" s="125"/>
      <c r="AY70" s="176"/>
      <c r="AZ70" s="177" t="s">
        <v>32</v>
      </c>
      <c r="BA70" s="178"/>
      <c r="BB70" s="192">
        <v>0</v>
      </c>
      <c r="BC70" s="193"/>
      <c r="BE70" s="113"/>
      <c r="BF70" s="112"/>
      <c r="BG70" s="163"/>
      <c r="BI70" s="159"/>
      <c r="BJ70" s="125"/>
      <c r="BK70" s="176"/>
      <c r="BL70" s="177" t="s">
        <v>32</v>
      </c>
      <c r="BM70" s="178"/>
      <c r="BN70" s="192">
        <v>0</v>
      </c>
      <c r="BO70" s="193"/>
      <c r="BQ70" s="113"/>
      <c r="BR70" s="112"/>
      <c r="BS70" s="163"/>
      <c r="BU70" s="159"/>
      <c r="BV70" s="125"/>
      <c r="BW70" s="176"/>
      <c r="BX70" s="177" t="s">
        <v>32</v>
      </c>
      <c r="BY70" s="178"/>
      <c r="BZ70" s="199">
        <v>0</v>
      </c>
      <c r="CA70" s="200"/>
      <c r="CC70" s="113"/>
      <c r="CD70" s="112"/>
      <c r="CE70" s="163"/>
      <c r="CG70" s="159"/>
      <c r="CH70" s="125"/>
      <c r="CI70" s="176"/>
      <c r="CJ70" s="177" t="s">
        <v>32</v>
      </c>
      <c r="CK70" s="178"/>
      <c r="CL70" s="177">
        <v>0</v>
      </c>
      <c r="CM70" s="178"/>
      <c r="CO70" s="113"/>
      <c r="CP70" s="112"/>
      <c r="CQ70" s="163"/>
      <c r="CS70" s="159"/>
      <c r="CT70" s="125"/>
      <c r="CU70" s="176"/>
      <c r="CV70" s="177" t="s">
        <v>32</v>
      </c>
      <c r="CW70" s="178"/>
      <c r="CX70" s="177">
        <v>0</v>
      </c>
      <c r="CY70" s="178"/>
      <c r="DA70" s="113"/>
      <c r="DB70" s="112"/>
      <c r="DC70" s="163"/>
      <c r="DD70" s="2"/>
      <c r="DE70" s="159"/>
      <c r="DF70" s="125"/>
      <c r="DG70" s="176"/>
      <c r="DH70" s="177" t="s">
        <v>32</v>
      </c>
      <c r="DI70" s="178"/>
      <c r="DJ70" s="192">
        <v>0</v>
      </c>
      <c r="DK70" s="193"/>
      <c r="DM70" s="113"/>
      <c r="DN70" s="112"/>
      <c r="DO70" s="163"/>
      <c r="DP70" s="2"/>
      <c r="DQ70" s="159"/>
      <c r="DR70" s="125"/>
      <c r="DS70" s="176"/>
      <c r="DT70" s="177" t="s">
        <v>32</v>
      </c>
      <c r="DU70" s="178"/>
      <c r="DV70" s="177">
        <v>0</v>
      </c>
      <c r="DW70" s="178"/>
      <c r="DY70" s="113"/>
      <c r="DZ70" s="112"/>
      <c r="EA70" s="163"/>
      <c r="EC70" s="159"/>
      <c r="ED70" s="125"/>
      <c r="EE70" s="176"/>
      <c r="EF70" s="177" t="s">
        <v>32</v>
      </c>
      <c r="EG70" s="178"/>
      <c r="EH70" s="177">
        <v>0</v>
      </c>
      <c r="EI70" s="178"/>
      <c r="EK70" s="113"/>
      <c r="EL70" s="112"/>
      <c r="EM70" s="163"/>
      <c r="EO70" s="233"/>
      <c r="EP70" s="125"/>
      <c r="EQ70" s="126"/>
      <c r="ER70" s="177" t="s">
        <v>32</v>
      </c>
      <c r="ES70" s="178"/>
      <c r="ET70" s="156">
        <f t="shared" si="4"/>
        <v>0</v>
      </c>
      <c r="EU70" s="157"/>
      <c r="EW70" s="113"/>
      <c r="EX70" s="112"/>
      <c r="EY70" s="163"/>
    </row>
    <row r="71" spans="1:156" ht="17.100000000000001" customHeight="1" thickTop="1" thickBot="1" x14ac:dyDescent="0.25">
      <c r="A71" s="159"/>
      <c r="B71" s="111" t="s">
        <v>33</v>
      </c>
      <c r="C71" s="174"/>
      <c r="D71" s="155" t="s">
        <v>34</v>
      </c>
      <c r="E71" s="141"/>
      <c r="F71" s="197">
        <v>30</v>
      </c>
      <c r="G71" s="198"/>
      <c r="I71" s="125"/>
      <c r="J71" s="126"/>
      <c r="K71" s="164"/>
      <c r="M71" s="159"/>
      <c r="N71" s="111" t="s">
        <v>33</v>
      </c>
      <c r="O71" s="174"/>
      <c r="P71" s="155" t="s">
        <v>34</v>
      </c>
      <c r="Q71" s="141"/>
      <c r="R71" s="195">
        <v>41</v>
      </c>
      <c r="S71" s="196"/>
      <c r="U71" s="125"/>
      <c r="V71" s="126"/>
      <c r="W71" s="164"/>
      <c r="Y71" s="159"/>
      <c r="Z71" s="111" t="s">
        <v>33</v>
      </c>
      <c r="AA71" s="174"/>
      <c r="AB71" s="155" t="s">
        <v>34</v>
      </c>
      <c r="AC71" s="141"/>
      <c r="AD71" s="190">
        <v>32</v>
      </c>
      <c r="AE71" s="191"/>
      <c r="AG71" s="125"/>
      <c r="AH71" s="126"/>
      <c r="AI71" s="164"/>
      <c r="AK71" s="159"/>
      <c r="AL71" s="111" t="s">
        <v>33</v>
      </c>
      <c r="AM71" s="174"/>
      <c r="AN71" s="155" t="s">
        <v>34</v>
      </c>
      <c r="AO71" s="141"/>
      <c r="AP71" s="197">
        <v>41</v>
      </c>
      <c r="AQ71" s="198"/>
      <c r="AS71" s="125"/>
      <c r="AT71" s="126"/>
      <c r="AU71" s="164"/>
      <c r="AW71" s="159"/>
      <c r="AX71" s="111" t="s">
        <v>33</v>
      </c>
      <c r="AY71" s="174"/>
      <c r="AZ71" s="155" t="s">
        <v>34</v>
      </c>
      <c r="BA71" s="141"/>
      <c r="BB71" s="190">
        <v>19</v>
      </c>
      <c r="BC71" s="191"/>
      <c r="BE71" s="125"/>
      <c r="BF71" s="126"/>
      <c r="BG71" s="164"/>
      <c r="BI71" s="159"/>
      <c r="BJ71" s="111" t="s">
        <v>33</v>
      </c>
      <c r="BK71" s="174"/>
      <c r="BL71" s="155" t="s">
        <v>34</v>
      </c>
      <c r="BM71" s="141"/>
      <c r="BN71" s="190">
        <v>33</v>
      </c>
      <c r="BO71" s="191"/>
      <c r="BQ71" s="125"/>
      <c r="BR71" s="126"/>
      <c r="BS71" s="164"/>
      <c r="BU71" s="159"/>
      <c r="BV71" s="111" t="s">
        <v>33</v>
      </c>
      <c r="BW71" s="174"/>
      <c r="BX71" s="155" t="s">
        <v>34</v>
      </c>
      <c r="BY71" s="141"/>
      <c r="BZ71" s="197">
        <v>41</v>
      </c>
      <c r="CA71" s="198"/>
      <c r="CC71" s="125"/>
      <c r="CD71" s="126"/>
      <c r="CE71" s="164"/>
      <c r="CG71" s="159"/>
      <c r="CH71" s="111" t="s">
        <v>33</v>
      </c>
      <c r="CI71" s="174"/>
      <c r="CJ71" s="155" t="s">
        <v>34</v>
      </c>
      <c r="CK71" s="141"/>
      <c r="CL71" s="155">
        <v>0</v>
      </c>
      <c r="CM71" s="141"/>
      <c r="CO71" s="125"/>
      <c r="CP71" s="126"/>
      <c r="CQ71" s="164"/>
      <c r="CS71" s="159"/>
      <c r="CT71" s="111" t="s">
        <v>33</v>
      </c>
      <c r="CU71" s="174"/>
      <c r="CV71" s="155" t="s">
        <v>34</v>
      </c>
      <c r="CW71" s="141"/>
      <c r="CX71" s="155">
        <v>0</v>
      </c>
      <c r="CY71" s="141"/>
      <c r="DA71" s="125"/>
      <c r="DB71" s="126"/>
      <c r="DC71" s="164"/>
      <c r="DD71" s="2"/>
      <c r="DE71" s="159"/>
      <c r="DF71" s="111" t="s">
        <v>33</v>
      </c>
      <c r="DG71" s="174"/>
      <c r="DH71" s="155" t="s">
        <v>34</v>
      </c>
      <c r="DI71" s="141"/>
      <c r="DJ71" s="190">
        <v>50</v>
      </c>
      <c r="DK71" s="191"/>
      <c r="DM71" s="125"/>
      <c r="DN71" s="126"/>
      <c r="DO71" s="164"/>
      <c r="DP71" s="2"/>
      <c r="DQ71" s="159"/>
      <c r="DR71" s="111" t="s">
        <v>33</v>
      </c>
      <c r="DS71" s="174"/>
      <c r="DT71" s="155" t="s">
        <v>34</v>
      </c>
      <c r="DU71" s="141"/>
      <c r="DV71" s="155">
        <v>0</v>
      </c>
      <c r="DW71" s="141"/>
      <c r="DY71" s="125"/>
      <c r="DZ71" s="126"/>
      <c r="EA71" s="164"/>
      <c r="EC71" s="159"/>
      <c r="ED71" s="111" t="s">
        <v>33</v>
      </c>
      <c r="EE71" s="174"/>
      <c r="EF71" s="155" t="s">
        <v>34</v>
      </c>
      <c r="EG71" s="141"/>
      <c r="EH71" s="155">
        <v>0</v>
      </c>
      <c r="EI71" s="141"/>
      <c r="EK71" s="125"/>
      <c r="EL71" s="126"/>
      <c r="EM71" s="164"/>
      <c r="EO71" s="233"/>
      <c r="EP71" s="111" t="s">
        <v>33</v>
      </c>
      <c r="EQ71" s="124"/>
      <c r="ER71" s="155" t="s">
        <v>34</v>
      </c>
      <c r="ES71" s="141"/>
      <c r="ET71" s="156">
        <f t="shared" si="4"/>
        <v>287</v>
      </c>
      <c r="EU71" s="157"/>
      <c r="EW71" s="125"/>
      <c r="EX71" s="126"/>
      <c r="EY71" s="164"/>
    </row>
    <row r="72" spans="1:156" ht="17.100000000000001" customHeight="1" thickBot="1" x14ac:dyDescent="0.25">
      <c r="A72" s="159"/>
      <c r="B72" s="125"/>
      <c r="C72" s="176"/>
      <c r="D72" s="177" t="s">
        <v>35</v>
      </c>
      <c r="E72" s="178"/>
      <c r="F72" s="199">
        <v>0</v>
      </c>
      <c r="G72" s="200"/>
      <c r="I72" s="7"/>
      <c r="J72" s="8"/>
      <c r="K72" s="9">
        <f>SUM(K66:K71)</f>
        <v>343</v>
      </c>
      <c r="M72" s="159"/>
      <c r="N72" s="125"/>
      <c r="O72" s="176"/>
      <c r="P72" s="177" t="s">
        <v>35</v>
      </c>
      <c r="Q72" s="178"/>
      <c r="R72" s="195">
        <v>0</v>
      </c>
      <c r="S72" s="196"/>
      <c r="U72" s="7"/>
      <c r="V72" s="8"/>
      <c r="W72" s="9">
        <f>SUM(W66:W71)</f>
        <v>282</v>
      </c>
      <c r="Y72" s="159"/>
      <c r="Z72" s="125"/>
      <c r="AA72" s="176"/>
      <c r="AB72" s="177" t="s">
        <v>35</v>
      </c>
      <c r="AC72" s="178"/>
      <c r="AD72" s="192">
        <v>0</v>
      </c>
      <c r="AE72" s="193"/>
      <c r="AG72" s="7"/>
      <c r="AH72" s="8"/>
      <c r="AI72" s="9">
        <f>SUM(AI66:AI71)</f>
        <v>348</v>
      </c>
      <c r="AK72" s="159"/>
      <c r="AL72" s="125"/>
      <c r="AM72" s="176"/>
      <c r="AN72" s="177" t="s">
        <v>35</v>
      </c>
      <c r="AO72" s="178"/>
      <c r="AP72" s="199">
        <v>0</v>
      </c>
      <c r="AQ72" s="200"/>
      <c r="AS72" s="7"/>
      <c r="AT72" s="8"/>
      <c r="AU72" s="9">
        <f>SUM(AU66:AU71)</f>
        <v>362</v>
      </c>
      <c r="AW72" s="159"/>
      <c r="AX72" s="125"/>
      <c r="AY72" s="176"/>
      <c r="AZ72" s="177" t="s">
        <v>35</v>
      </c>
      <c r="BA72" s="178"/>
      <c r="BB72" s="192">
        <v>0</v>
      </c>
      <c r="BC72" s="193"/>
      <c r="BE72" s="7"/>
      <c r="BF72" s="8"/>
      <c r="BG72" s="9">
        <f>SUM(BG66:BG71)</f>
        <v>581</v>
      </c>
      <c r="BI72" s="159"/>
      <c r="BJ72" s="125"/>
      <c r="BK72" s="176"/>
      <c r="BL72" s="177" t="s">
        <v>35</v>
      </c>
      <c r="BM72" s="178"/>
      <c r="BN72" s="192">
        <v>0</v>
      </c>
      <c r="BO72" s="193"/>
      <c r="BQ72" s="7"/>
      <c r="BR72" s="8"/>
      <c r="BS72" s="9">
        <f>SUM(BS66:BS71)</f>
        <v>293</v>
      </c>
      <c r="BU72" s="159"/>
      <c r="BV72" s="125"/>
      <c r="BW72" s="176"/>
      <c r="BX72" s="177" t="s">
        <v>35</v>
      </c>
      <c r="BY72" s="178"/>
      <c r="BZ72" s="199">
        <v>0</v>
      </c>
      <c r="CA72" s="200"/>
      <c r="CC72" s="7"/>
      <c r="CD72" s="8"/>
      <c r="CE72" s="9">
        <f>SUM(CE66:CE71)</f>
        <v>362</v>
      </c>
      <c r="CG72" s="159"/>
      <c r="CH72" s="125"/>
      <c r="CI72" s="176"/>
      <c r="CJ72" s="177" t="s">
        <v>35</v>
      </c>
      <c r="CK72" s="178"/>
      <c r="CL72" s="177">
        <v>0</v>
      </c>
      <c r="CM72" s="178"/>
      <c r="CO72" s="7"/>
      <c r="CP72" s="8"/>
      <c r="CQ72" s="9">
        <f>SUM(CQ66:CQ71)</f>
        <v>0</v>
      </c>
      <c r="CS72" s="159"/>
      <c r="CT72" s="125"/>
      <c r="CU72" s="176"/>
      <c r="CV72" s="177" t="s">
        <v>35</v>
      </c>
      <c r="CW72" s="178"/>
      <c r="CX72" s="177">
        <v>0</v>
      </c>
      <c r="CY72" s="178"/>
      <c r="DA72" s="7"/>
      <c r="DB72" s="8"/>
      <c r="DC72" s="9">
        <f>SUM(DC66:DC71)</f>
        <v>0</v>
      </c>
      <c r="DD72" s="2"/>
      <c r="DE72" s="159"/>
      <c r="DF72" s="125"/>
      <c r="DG72" s="176"/>
      <c r="DH72" s="177" t="s">
        <v>35</v>
      </c>
      <c r="DI72" s="178"/>
      <c r="DJ72" s="192">
        <v>0</v>
      </c>
      <c r="DK72" s="193"/>
      <c r="DM72" s="7"/>
      <c r="DN72" s="8"/>
      <c r="DO72" s="9">
        <f>SUM(DO66:DO71)</f>
        <v>240</v>
      </c>
      <c r="DP72" s="2"/>
      <c r="DQ72" s="159"/>
      <c r="DR72" s="125"/>
      <c r="DS72" s="176"/>
      <c r="DT72" s="177" t="s">
        <v>35</v>
      </c>
      <c r="DU72" s="178"/>
      <c r="DV72" s="177">
        <v>0</v>
      </c>
      <c r="DW72" s="178"/>
      <c r="DY72" s="7"/>
      <c r="DZ72" s="8"/>
      <c r="EA72" s="9">
        <f>SUM(EA66:EA71)</f>
        <v>0</v>
      </c>
      <c r="EC72" s="159"/>
      <c r="ED72" s="125"/>
      <c r="EE72" s="176"/>
      <c r="EF72" s="177" t="s">
        <v>35</v>
      </c>
      <c r="EG72" s="178"/>
      <c r="EH72" s="177">
        <v>0</v>
      </c>
      <c r="EI72" s="178"/>
      <c r="EK72" s="7"/>
      <c r="EL72" s="8"/>
      <c r="EM72" s="9">
        <f>SUM(EM66:EM71)</f>
        <v>0</v>
      </c>
      <c r="EO72" s="233"/>
      <c r="EP72" s="125"/>
      <c r="EQ72" s="126"/>
      <c r="ER72" s="177" t="s">
        <v>35</v>
      </c>
      <c r="ES72" s="178"/>
      <c r="ET72" s="156">
        <f t="shared" si="4"/>
        <v>0</v>
      </c>
      <c r="EU72" s="157"/>
      <c r="EW72" s="7"/>
      <c r="EX72" s="8"/>
      <c r="EY72" s="9">
        <f>SUM(EY66:EY71)</f>
        <v>2811</v>
      </c>
    </row>
    <row r="73" spans="1:156" ht="17.100000000000001" customHeight="1" thickTop="1" thickBot="1" x14ac:dyDescent="0.25">
      <c r="A73" s="160"/>
      <c r="B73" s="102" t="s">
        <v>36</v>
      </c>
      <c r="C73" s="148"/>
      <c r="D73" s="148"/>
      <c r="E73" s="128"/>
      <c r="F73" s="218">
        <v>0</v>
      </c>
      <c r="G73" s="219"/>
      <c r="I73" s="111" t="s">
        <v>37</v>
      </c>
      <c r="J73" s="124"/>
      <c r="K73" s="162">
        <v>203</v>
      </c>
      <c r="M73" s="160"/>
      <c r="N73" s="102" t="s">
        <v>36</v>
      </c>
      <c r="O73" s="148"/>
      <c r="P73" s="148"/>
      <c r="Q73" s="128"/>
      <c r="R73" s="199">
        <v>0</v>
      </c>
      <c r="S73" s="200"/>
      <c r="U73" s="111" t="s">
        <v>37</v>
      </c>
      <c r="V73" s="124"/>
      <c r="W73" s="162">
        <v>174</v>
      </c>
      <c r="Y73" s="160"/>
      <c r="Z73" s="102" t="s">
        <v>36</v>
      </c>
      <c r="AA73" s="148"/>
      <c r="AB73" s="148"/>
      <c r="AC73" s="128"/>
      <c r="AD73" s="184">
        <v>0</v>
      </c>
      <c r="AE73" s="185"/>
      <c r="AG73" s="111" t="s">
        <v>37</v>
      </c>
      <c r="AH73" s="124"/>
      <c r="AI73" s="162">
        <v>158</v>
      </c>
      <c r="AK73" s="160"/>
      <c r="AL73" s="102" t="s">
        <v>36</v>
      </c>
      <c r="AM73" s="148"/>
      <c r="AN73" s="148"/>
      <c r="AO73" s="128"/>
      <c r="AP73" s="218">
        <v>0</v>
      </c>
      <c r="AQ73" s="219"/>
      <c r="AS73" s="111" t="s">
        <v>37</v>
      </c>
      <c r="AT73" s="124"/>
      <c r="AU73" s="162">
        <v>0</v>
      </c>
      <c r="AW73" s="160"/>
      <c r="AX73" s="102" t="s">
        <v>36</v>
      </c>
      <c r="AY73" s="148"/>
      <c r="AZ73" s="148"/>
      <c r="BA73" s="128"/>
      <c r="BB73" s="184">
        <v>0</v>
      </c>
      <c r="BC73" s="185"/>
      <c r="BE73" s="111" t="s">
        <v>37</v>
      </c>
      <c r="BF73" s="124"/>
      <c r="BG73" s="162">
        <v>280</v>
      </c>
      <c r="BI73" s="160"/>
      <c r="BJ73" s="102" t="s">
        <v>36</v>
      </c>
      <c r="BK73" s="148"/>
      <c r="BL73" s="148"/>
      <c r="BM73" s="128"/>
      <c r="BN73" s="184">
        <v>0</v>
      </c>
      <c r="BO73" s="185"/>
      <c r="BQ73" s="111" t="s">
        <v>37</v>
      </c>
      <c r="BR73" s="124"/>
      <c r="BS73" s="162">
        <v>163</v>
      </c>
      <c r="BU73" s="160"/>
      <c r="BV73" s="102" t="s">
        <v>36</v>
      </c>
      <c r="BW73" s="148"/>
      <c r="BX73" s="148"/>
      <c r="BY73" s="128"/>
      <c r="BZ73" s="218">
        <v>0</v>
      </c>
      <c r="CA73" s="219"/>
      <c r="CC73" s="111" t="s">
        <v>37</v>
      </c>
      <c r="CD73" s="124"/>
      <c r="CE73" s="162">
        <v>175</v>
      </c>
      <c r="CG73" s="160"/>
      <c r="CH73" s="102" t="s">
        <v>36</v>
      </c>
      <c r="CI73" s="148"/>
      <c r="CJ73" s="148"/>
      <c r="CK73" s="128"/>
      <c r="CL73" s="156">
        <v>0</v>
      </c>
      <c r="CM73" s="157"/>
      <c r="CO73" s="111" t="s">
        <v>37</v>
      </c>
      <c r="CP73" s="124"/>
      <c r="CQ73" s="162">
        <v>0</v>
      </c>
      <c r="CS73" s="160"/>
      <c r="CT73" s="102" t="s">
        <v>36</v>
      </c>
      <c r="CU73" s="148"/>
      <c r="CV73" s="148"/>
      <c r="CW73" s="128"/>
      <c r="CX73" s="156">
        <v>0</v>
      </c>
      <c r="CY73" s="157"/>
      <c r="DA73" s="111" t="s">
        <v>37</v>
      </c>
      <c r="DB73" s="124"/>
      <c r="DC73" s="162">
        <v>0</v>
      </c>
      <c r="DD73" s="2"/>
      <c r="DE73" s="160"/>
      <c r="DF73" s="102" t="s">
        <v>36</v>
      </c>
      <c r="DG73" s="148"/>
      <c r="DH73" s="148"/>
      <c r="DI73" s="128"/>
      <c r="DJ73" s="184">
        <v>0</v>
      </c>
      <c r="DK73" s="185"/>
      <c r="DM73" s="111" t="s">
        <v>37</v>
      </c>
      <c r="DN73" s="124"/>
      <c r="DO73" s="162">
        <v>216</v>
      </c>
      <c r="DP73" s="2"/>
      <c r="DQ73" s="160"/>
      <c r="DR73" s="102" t="s">
        <v>36</v>
      </c>
      <c r="DS73" s="148"/>
      <c r="DT73" s="148"/>
      <c r="DU73" s="128"/>
      <c r="DV73" s="156">
        <v>0</v>
      </c>
      <c r="DW73" s="157"/>
      <c r="DY73" s="111" t="s">
        <v>37</v>
      </c>
      <c r="DZ73" s="124"/>
      <c r="EA73" s="162">
        <v>0</v>
      </c>
      <c r="EC73" s="160"/>
      <c r="ED73" s="102" t="s">
        <v>36</v>
      </c>
      <c r="EE73" s="148"/>
      <c r="EF73" s="148"/>
      <c r="EG73" s="128"/>
      <c r="EH73" s="156">
        <v>0</v>
      </c>
      <c r="EI73" s="157"/>
      <c r="EK73" s="111" t="s">
        <v>37</v>
      </c>
      <c r="EL73" s="124"/>
      <c r="EM73" s="162">
        <v>0</v>
      </c>
      <c r="EO73" s="234"/>
      <c r="EP73" s="156" t="s">
        <v>36</v>
      </c>
      <c r="EQ73" s="187"/>
      <c r="ER73" s="187"/>
      <c r="ES73" s="157"/>
      <c r="ET73" s="156">
        <f t="shared" si="4"/>
        <v>0</v>
      </c>
      <c r="EU73" s="157"/>
      <c r="EW73" s="111" t="s">
        <v>37</v>
      </c>
      <c r="EX73" s="124"/>
      <c r="EY73" s="162">
        <f>K73+W73+AI73+AU73+BG73+BS73+CE73+CQ73+DC73+DO73+EA73+EM73</f>
        <v>1369</v>
      </c>
    </row>
    <row r="74" spans="1:156" ht="17.100000000000001" customHeight="1" thickTop="1" thickBot="1" x14ac:dyDescent="0.25">
      <c r="A74" s="111" t="s">
        <v>38</v>
      </c>
      <c r="B74" s="174"/>
      <c r="C74" s="124"/>
      <c r="D74" s="155" t="s">
        <v>39</v>
      </c>
      <c r="E74" s="161"/>
      <c r="F74" s="197">
        <v>343</v>
      </c>
      <c r="G74" s="207"/>
      <c r="I74" s="113"/>
      <c r="J74" s="112"/>
      <c r="K74" s="163"/>
      <c r="M74" s="111" t="s">
        <v>38</v>
      </c>
      <c r="N74" s="174"/>
      <c r="O74" s="124"/>
      <c r="P74" s="155" t="s">
        <v>39</v>
      </c>
      <c r="Q74" s="161"/>
      <c r="R74" s="197">
        <v>272</v>
      </c>
      <c r="S74" s="207"/>
      <c r="U74" s="113"/>
      <c r="V74" s="112"/>
      <c r="W74" s="163"/>
      <c r="Y74" s="111" t="s">
        <v>38</v>
      </c>
      <c r="Z74" s="174"/>
      <c r="AA74" s="124"/>
      <c r="AB74" s="155" t="s">
        <v>39</v>
      </c>
      <c r="AC74" s="161"/>
      <c r="AD74" s="190">
        <v>348</v>
      </c>
      <c r="AE74" s="191"/>
      <c r="AG74" s="113"/>
      <c r="AH74" s="112"/>
      <c r="AI74" s="163"/>
      <c r="AK74" s="111" t="s">
        <v>38</v>
      </c>
      <c r="AL74" s="174"/>
      <c r="AM74" s="124"/>
      <c r="AN74" s="155" t="s">
        <v>39</v>
      </c>
      <c r="AO74" s="161"/>
      <c r="AP74" s="197">
        <v>362</v>
      </c>
      <c r="AQ74" s="207"/>
      <c r="AS74" s="113"/>
      <c r="AT74" s="112"/>
      <c r="AU74" s="163"/>
      <c r="AW74" s="111" t="s">
        <v>38</v>
      </c>
      <c r="AX74" s="174"/>
      <c r="AY74" s="124"/>
      <c r="AZ74" s="155" t="s">
        <v>39</v>
      </c>
      <c r="BA74" s="161"/>
      <c r="BB74" s="190">
        <v>562</v>
      </c>
      <c r="BC74" s="191"/>
      <c r="BE74" s="113"/>
      <c r="BF74" s="112"/>
      <c r="BG74" s="163"/>
      <c r="BI74" s="111" t="s">
        <v>38</v>
      </c>
      <c r="BJ74" s="174"/>
      <c r="BK74" s="124"/>
      <c r="BL74" s="155" t="s">
        <v>39</v>
      </c>
      <c r="BM74" s="161"/>
      <c r="BN74" s="190">
        <v>293</v>
      </c>
      <c r="BO74" s="191"/>
      <c r="BQ74" s="113"/>
      <c r="BR74" s="112"/>
      <c r="BS74" s="163"/>
      <c r="BU74" s="111" t="s">
        <v>38</v>
      </c>
      <c r="BV74" s="174"/>
      <c r="BW74" s="124"/>
      <c r="BX74" s="155" t="s">
        <v>39</v>
      </c>
      <c r="BY74" s="161"/>
      <c r="BZ74" s="197">
        <v>362</v>
      </c>
      <c r="CA74" s="207"/>
      <c r="CC74" s="113"/>
      <c r="CD74" s="112"/>
      <c r="CE74" s="163"/>
      <c r="CG74" s="111" t="s">
        <v>38</v>
      </c>
      <c r="CH74" s="174"/>
      <c r="CI74" s="124"/>
      <c r="CJ74" s="155" t="s">
        <v>39</v>
      </c>
      <c r="CK74" s="161"/>
      <c r="CL74" s="155">
        <v>0</v>
      </c>
      <c r="CM74" s="141"/>
      <c r="CO74" s="113"/>
      <c r="CP74" s="112"/>
      <c r="CQ74" s="163"/>
      <c r="CS74" s="111" t="s">
        <v>38</v>
      </c>
      <c r="CT74" s="174"/>
      <c r="CU74" s="124"/>
      <c r="CV74" s="155" t="s">
        <v>39</v>
      </c>
      <c r="CW74" s="161"/>
      <c r="CX74" s="155">
        <v>0</v>
      </c>
      <c r="CY74" s="141"/>
      <c r="DA74" s="113"/>
      <c r="DB74" s="112"/>
      <c r="DC74" s="163"/>
      <c r="DD74" s="2"/>
      <c r="DE74" s="111" t="s">
        <v>38</v>
      </c>
      <c r="DF74" s="174"/>
      <c r="DG74" s="124"/>
      <c r="DH74" s="155" t="s">
        <v>39</v>
      </c>
      <c r="DI74" s="161"/>
      <c r="DJ74" s="190">
        <v>240</v>
      </c>
      <c r="DK74" s="191"/>
      <c r="DM74" s="113"/>
      <c r="DN74" s="112"/>
      <c r="DO74" s="163"/>
      <c r="DP74" s="2"/>
      <c r="DQ74" s="111" t="s">
        <v>38</v>
      </c>
      <c r="DR74" s="174"/>
      <c r="DS74" s="124"/>
      <c r="DT74" s="155" t="s">
        <v>39</v>
      </c>
      <c r="DU74" s="161"/>
      <c r="DV74" s="155">
        <v>0</v>
      </c>
      <c r="DW74" s="141"/>
      <c r="DY74" s="113"/>
      <c r="DZ74" s="112"/>
      <c r="EA74" s="163"/>
      <c r="EC74" s="111" t="s">
        <v>38</v>
      </c>
      <c r="ED74" s="174"/>
      <c r="EE74" s="124"/>
      <c r="EF74" s="155" t="s">
        <v>39</v>
      </c>
      <c r="EG74" s="161"/>
      <c r="EH74" s="155">
        <v>0</v>
      </c>
      <c r="EI74" s="141"/>
      <c r="EK74" s="113"/>
      <c r="EL74" s="112"/>
      <c r="EM74" s="163"/>
      <c r="EO74" s="111" t="s">
        <v>38</v>
      </c>
      <c r="EP74" s="174"/>
      <c r="EQ74" s="124"/>
      <c r="ER74" s="155" t="s">
        <v>39</v>
      </c>
      <c r="ES74" s="141"/>
      <c r="ET74" s="156">
        <f t="shared" si="4"/>
        <v>2782</v>
      </c>
      <c r="EU74" s="157"/>
      <c r="EW74" s="113"/>
      <c r="EX74" s="112"/>
      <c r="EY74" s="163"/>
    </row>
    <row r="75" spans="1:156" ht="17.100000000000001" customHeight="1" thickBot="1" x14ac:dyDescent="0.25">
      <c r="A75" s="113"/>
      <c r="B75" s="175"/>
      <c r="C75" s="112"/>
      <c r="D75" s="154" t="s">
        <v>40</v>
      </c>
      <c r="E75" s="181"/>
      <c r="F75" s="195">
        <v>0</v>
      </c>
      <c r="G75" s="208"/>
      <c r="I75" s="125"/>
      <c r="J75" s="126"/>
      <c r="K75" s="164"/>
      <c r="M75" s="113"/>
      <c r="N75" s="175"/>
      <c r="O75" s="112"/>
      <c r="P75" s="154" t="s">
        <v>40</v>
      </c>
      <c r="Q75" s="181"/>
      <c r="R75" s="195">
        <v>0</v>
      </c>
      <c r="S75" s="208"/>
      <c r="U75" s="125"/>
      <c r="V75" s="126"/>
      <c r="W75" s="164"/>
      <c r="Y75" s="113"/>
      <c r="Z75" s="175"/>
      <c r="AA75" s="112"/>
      <c r="AB75" s="154" t="s">
        <v>40</v>
      </c>
      <c r="AC75" s="181"/>
      <c r="AD75" s="182">
        <v>0</v>
      </c>
      <c r="AE75" s="183"/>
      <c r="AG75" s="125"/>
      <c r="AH75" s="126"/>
      <c r="AI75" s="164"/>
      <c r="AK75" s="113"/>
      <c r="AL75" s="175"/>
      <c r="AM75" s="112"/>
      <c r="AN75" s="154" t="s">
        <v>40</v>
      </c>
      <c r="AO75" s="181"/>
      <c r="AP75" s="195">
        <v>0</v>
      </c>
      <c r="AQ75" s="208"/>
      <c r="AS75" s="125"/>
      <c r="AT75" s="126"/>
      <c r="AU75" s="164"/>
      <c r="AW75" s="113"/>
      <c r="AX75" s="175"/>
      <c r="AY75" s="112"/>
      <c r="AZ75" s="154" t="s">
        <v>40</v>
      </c>
      <c r="BA75" s="181"/>
      <c r="BB75" s="182">
        <v>0</v>
      </c>
      <c r="BC75" s="183"/>
      <c r="BE75" s="125"/>
      <c r="BF75" s="126"/>
      <c r="BG75" s="164"/>
      <c r="BI75" s="113"/>
      <c r="BJ75" s="175"/>
      <c r="BK75" s="112"/>
      <c r="BL75" s="154" t="s">
        <v>40</v>
      </c>
      <c r="BM75" s="181"/>
      <c r="BN75" s="182">
        <v>0</v>
      </c>
      <c r="BO75" s="183"/>
      <c r="BQ75" s="125"/>
      <c r="BR75" s="126"/>
      <c r="BS75" s="164"/>
      <c r="BU75" s="113"/>
      <c r="BV75" s="175"/>
      <c r="BW75" s="112"/>
      <c r="BX75" s="154" t="s">
        <v>40</v>
      </c>
      <c r="BY75" s="181"/>
      <c r="BZ75" s="195">
        <v>0</v>
      </c>
      <c r="CA75" s="208"/>
      <c r="CC75" s="125"/>
      <c r="CD75" s="126"/>
      <c r="CE75" s="164"/>
      <c r="CG75" s="113"/>
      <c r="CH75" s="175"/>
      <c r="CI75" s="112"/>
      <c r="CJ75" s="154" t="s">
        <v>40</v>
      </c>
      <c r="CK75" s="181"/>
      <c r="CL75" s="154">
        <v>0</v>
      </c>
      <c r="CM75" s="142"/>
      <c r="CO75" s="125"/>
      <c r="CP75" s="126"/>
      <c r="CQ75" s="164"/>
      <c r="CS75" s="113"/>
      <c r="CT75" s="175"/>
      <c r="CU75" s="112"/>
      <c r="CV75" s="154" t="s">
        <v>40</v>
      </c>
      <c r="CW75" s="181"/>
      <c r="CX75" s="154">
        <v>0</v>
      </c>
      <c r="CY75" s="142"/>
      <c r="DA75" s="125"/>
      <c r="DB75" s="126"/>
      <c r="DC75" s="164"/>
      <c r="DD75" s="2"/>
      <c r="DE75" s="113"/>
      <c r="DF75" s="175"/>
      <c r="DG75" s="112"/>
      <c r="DH75" s="154" t="s">
        <v>40</v>
      </c>
      <c r="DI75" s="181"/>
      <c r="DJ75" s="182">
        <v>0</v>
      </c>
      <c r="DK75" s="183"/>
      <c r="DM75" s="125"/>
      <c r="DN75" s="126"/>
      <c r="DO75" s="164"/>
      <c r="DP75" s="2"/>
      <c r="DQ75" s="113"/>
      <c r="DR75" s="175"/>
      <c r="DS75" s="112"/>
      <c r="DT75" s="154" t="s">
        <v>40</v>
      </c>
      <c r="DU75" s="181"/>
      <c r="DV75" s="154">
        <v>0</v>
      </c>
      <c r="DW75" s="142"/>
      <c r="DY75" s="125"/>
      <c r="DZ75" s="126"/>
      <c r="EA75" s="164"/>
      <c r="EC75" s="113"/>
      <c r="ED75" s="175"/>
      <c r="EE75" s="112"/>
      <c r="EF75" s="154" t="s">
        <v>40</v>
      </c>
      <c r="EG75" s="181"/>
      <c r="EH75" s="154">
        <v>0</v>
      </c>
      <c r="EI75" s="142"/>
      <c r="EK75" s="125"/>
      <c r="EL75" s="126"/>
      <c r="EM75" s="164"/>
      <c r="EO75" s="113"/>
      <c r="EP75" s="175"/>
      <c r="EQ75" s="112"/>
      <c r="ER75" s="154" t="s">
        <v>40</v>
      </c>
      <c r="ES75" s="142"/>
      <c r="ET75" s="156">
        <f t="shared" si="4"/>
        <v>0</v>
      </c>
      <c r="EU75" s="157"/>
      <c r="EW75" s="125"/>
      <c r="EX75" s="126"/>
      <c r="EY75" s="164"/>
    </row>
    <row r="76" spans="1:156" ht="17.100000000000001" customHeight="1" thickBot="1" x14ac:dyDescent="0.25">
      <c r="A76" s="113"/>
      <c r="B76" s="175"/>
      <c r="C76" s="112"/>
      <c r="D76" s="154" t="s">
        <v>41</v>
      </c>
      <c r="E76" s="181"/>
      <c r="F76" s="195">
        <v>0</v>
      </c>
      <c r="G76" s="208"/>
      <c r="I76" s="111" t="s">
        <v>20</v>
      </c>
      <c r="J76" s="124"/>
      <c r="K76" s="162">
        <v>140</v>
      </c>
      <c r="M76" s="113"/>
      <c r="N76" s="175"/>
      <c r="O76" s="112"/>
      <c r="P76" s="154" t="s">
        <v>41</v>
      </c>
      <c r="Q76" s="181"/>
      <c r="R76" s="195">
        <v>0</v>
      </c>
      <c r="S76" s="208"/>
      <c r="U76" s="111" t="s">
        <v>20</v>
      </c>
      <c r="V76" s="124"/>
      <c r="W76" s="162">
        <v>108</v>
      </c>
      <c r="Y76" s="113"/>
      <c r="Z76" s="175"/>
      <c r="AA76" s="112"/>
      <c r="AB76" s="154" t="s">
        <v>41</v>
      </c>
      <c r="AC76" s="181"/>
      <c r="AD76" s="182">
        <v>0</v>
      </c>
      <c r="AE76" s="183"/>
      <c r="AG76" s="111" t="s">
        <v>20</v>
      </c>
      <c r="AH76" s="124"/>
      <c r="AI76" s="162">
        <v>190</v>
      </c>
      <c r="AK76" s="113"/>
      <c r="AL76" s="175"/>
      <c r="AM76" s="112"/>
      <c r="AN76" s="154" t="s">
        <v>41</v>
      </c>
      <c r="AO76" s="181"/>
      <c r="AP76" s="195">
        <v>0</v>
      </c>
      <c r="AQ76" s="208"/>
      <c r="AS76" s="111" t="s">
        <v>20</v>
      </c>
      <c r="AT76" s="124"/>
      <c r="AU76" s="162">
        <v>0</v>
      </c>
      <c r="AW76" s="113"/>
      <c r="AX76" s="175"/>
      <c r="AY76" s="112"/>
      <c r="AZ76" s="154" t="s">
        <v>41</v>
      </c>
      <c r="BA76" s="181"/>
      <c r="BB76" s="182">
        <v>0</v>
      </c>
      <c r="BC76" s="183"/>
      <c r="BE76" s="111" t="s">
        <v>20</v>
      </c>
      <c r="BF76" s="124"/>
      <c r="BG76" s="162">
        <v>301</v>
      </c>
      <c r="BI76" s="113"/>
      <c r="BJ76" s="175"/>
      <c r="BK76" s="112"/>
      <c r="BL76" s="154" t="s">
        <v>41</v>
      </c>
      <c r="BM76" s="181"/>
      <c r="BN76" s="182">
        <v>0</v>
      </c>
      <c r="BO76" s="183"/>
      <c r="BQ76" s="111" t="s">
        <v>20</v>
      </c>
      <c r="BR76" s="124"/>
      <c r="BS76" s="162">
        <v>130</v>
      </c>
      <c r="BU76" s="113"/>
      <c r="BV76" s="175"/>
      <c r="BW76" s="112"/>
      <c r="BX76" s="154" t="s">
        <v>41</v>
      </c>
      <c r="BY76" s="181"/>
      <c r="BZ76" s="195">
        <v>0</v>
      </c>
      <c r="CA76" s="208"/>
      <c r="CC76" s="111" t="s">
        <v>20</v>
      </c>
      <c r="CD76" s="124"/>
      <c r="CE76" s="162">
        <v>187</v>
      </c>
      <c r="CG76" s="113"/>
      <c r="CH76" s="175"/>
      <c r="CI76" s="112"/>
      <c r="CJ76" s="154" t="s">
        <v>41</v>
      </c>
      <c r="CK76" s="181"/>
      <c r="CL76" s="154">
        <v>0</v>
      </c>
      <c r="CM76" s="142"/>
      <c r="CO76" s="111" t="s">
        <v>20</v>
      </c>
      <c r="CP76" s="124"/>
      <c r="CQ76" s="162">
        <v>0</v>
      </c>
      <c r="CS76" s="113"/>
      <c r="CT76" s="175"/>
      <c r="CU76" s="112"/>
      <c r="CV76" s="154" t="s">
        <v>41</v>
      </c>
      <c r="CW76" s="181"/>
      <c r="CX76" s="154">
        <v>0</v>
      </c>
      <c r="CY76" s="142"/>
      <c r="DA76" s="111" t="s">
        <v>20</v>
      </c>
      <c r="DB76" s="124"/>
      <c r="DC76" s="162">
        <v>0</v>
      </c>
      <c r="DD76" s="2"/>
      <c r="DE76" s="113"/>
      <c r="DF76" s="175"/>
      <c r="DG76" s="112"/>
      <c r="DH76" s="154" t="s">
        <v>41</v>
      </c>
      <c r="DI76" s="181"/>
      <c r="DJ76" s="182">
        <v>3</v>
      </c>
      <c r="DK76" s="183"/>
      <c r="DM76" s="111" t="s">
        <v>20</v>
      </c>
      <c r="DN76" s="124"/>
      <c r="DO76" s="162">
        <v>24</v>
      </c>
      <c r="DP76" s="2"/>
      <c r="DQ76" s="113"/>
      <c r="DR76" s="175"/>
      <c r="DS76" s="112"/>
      <c r="DT76" s="154" t="s">
        <v>41</v>
      </c>
      <c r="DU76" s="181"/>
      <c r="DV76" s="154">
        <v>0</v>
      </c>
      <c r="DW76" s="142"/>
      <c r="DY76" s="111" t="s">
        <v>20</v>
      </c>
      <c r="DZ76" s="124"/>
      <c r="EA76" s="162">
        <v>0</v>
      </c>
      <c r="EC76" s="113"/>
      <c r="ED76" s="175"/>
      <c r="EE76" s="112"/>
      <c r="EF76" s="154" t="s">
        <v>41</v>
      </c>
      <c r="EG76" s="181"/>
      <c r="EH76" s="154">
        <v>0</v>
      </c>
      <c r="EI76" s="142"/>
      <c r="EK76" s="111" t="s">
        <v>20</v>
      </c>
      <c r="EL76" s="124"/>
      <c r="EM76" s="162">
        <v>0</v>
      </c>
      <c r="EO76" s="113"/>
      <c r="EP76" s="175"/>
      <c r="EQ76" s="112"/>
      <c r="ER76" s="154" t="s">
        <v>41</v>
      </c>
      <c r="ES76" s="142"/>
      <c r="ET76" s="156">
        <f t="shared" si="4"/>
        <v>3</v>
      </c>
      <c r="EU76" s="157"/>
      <c r="EW76" s="111" t="s">
        <v>20</v>
      </c>
      <c r="EX76" s="124"/>
      <c r="EY76" s="162">
        <f>K76+W76+AI76+AU76+BG76+BS76+CE76+CQ76+DC76+DO76+EA76+EM76</f>
        <v>1080</v>
      </c>
    </row>
    <row r="77" spans="1:156" ht="17.100000000000001" customHeight="1" thickBot="1" x14ac:dyDescent="0.25">
      <c r="A77" s="125"/>
      <c r="B77" s="175"/>
      <c r="C77" s="112"/>
      <c r="D77" s="188" t="s">
        <v>42</v>
      </c>
      <c r="E77" s="189"/>
      <c r="F77" s="199">
        <v>41</v>
      </c>
      <c r="G77" s="231"/>
      <c r="I77" s="113"/>
      <c r="J77" s="112"/>
      <c r="K77" s="163"/>
      <c r="M77" s="125"/>
      <c r="N77" s="175"/>
      <c r="O77" s="112"/>
      <c r="P77" s="188" t="s">
        <v>42</v>
      </c>
      <c r="Q77" s="189"/>
      <c r="R77" s="199">
        <v>39</v>
      </c>
      <c r="S77" s="231"/>
      <c r="U77" s="113"/>
      <c r="V77" s="112"/>
      <c r="W77" s="163"/>
      <c r="Y77" s="125"/>
      <c r="Z77" s="175"/>
      <c r="AA77" s="112"/>
      <c r="AB77" s="188" t="s">
        <v>42</v>
      </c>
      <c r="AC77" s="189"/>
      <c r="AD77" s="192">
        <v>8</v>
      </c>
      <c r="AE77" s="193"/>
      <c r="AG77" s="113"/>
      <c r="AH77" s="112"/>
      <c r="AI77" s="163"/>
      <c r="AK77" s="125"/>
      <c r="AL77" s="175"/>
      <c r="AM77" s="112"/>
      <c r="AN77" s="188" t="s">
        <v>42</v>
      </c>
      <c r="AO77" s="189"/>
      <c r="AP77" s="199">
        <v>45</v>
      </c>
      <c r="AQ77" s="231"/>
      <c r="AS77" s="113"/>
      <c r="AT77" s="112"/>
      <c r="AU77" s="163"/>
      <c r="AW77" s="125"/>
      <c r="AX77" s="175"/>
      <c r="AY77" s="112"/>
      <c r="AZ77" s="188" t="s">
        <v>42</v>
      </c>
      <c r="BA77" s="189"/>
      <c r="BB77" s="192">
        <v>0</v>
      </c>
      <c r="BC77" s="193"/>
      <c r="BE77" s="113"/>
      <c r="BF77" s="112"/>
      <c r="BG77" s="163"/>
      <c r="BI77" s="125"/>
      <c r="BJ77" s="175"/>
      <c r="BK77" s="112"/>
      <c r="BL77" s="188" t="s">
        <v>42</v>
      </c>
      <c r="BM77" s="189"/>
      <c r="BN77" s="192">
        <v>8</v>
      </c>
      <c r="BO77" s="193"/>
      <c r="BQ77" s="113"/>
      <c r="BR77" s="112"/>
      <c r="BS77" s="163"/>
      <c r="BU77" s="125"/>
      <c r="BV77" s="175"/>
      <c r="BW77" s="112"/>
      <c r="BX77" s="188" t="s">
        <v>42</v>
      </c>
      <c r="BY77" s="189"/>
      <c r="BZ77" s="199">
        <v>45</v>
      </c>
      <c r="CA77" s="231"/>
      <c r="CC77" s="113"/>
      <c r="CD77" s="112"/>
      <c r="CE77" s="163"/>
      <c r="CG77" s="125"/>
      <c r="CH77" s="175"/>
      <c r="CI77" s="112"/>
      <c r="CJ77" s="188" t="s">
        <v>42</v>
      </c>
      <c r="CK77" s="189"/>
      <c r="CL77" s="188">
        <v>0</v>
      </c>
      <c r="CM77" s="194"/>
      <c r="CO77" s="113"/>
      <c r="CP77" s="112"/>
      <c r="CQ77" s="163"/>
      <c r="CS77" s="125"/>
      <c r="CT77" s="175"/>
      <c r="CU77" s="112"/>
      <c r="CV77" s="188" t="s">
        <v>42</v>
      </c>
      <c r="CW77" s="189"/>
      <c r="CX77" s="188">
        <v>0</v>
      </c>
      <c r="CY77" s="194"/>
      <c r="DA77" s="113"/>
      <c r="DB77" s="112"/>
      <c r="DC77" s="163"/>
      <c r="DD77" s="2"/>
      <c r="DE77" s="125"/>
      <c r="DF77" s="175"/>
      <c r="DG77" s="112"/>
      <c r="DH77" s="188" t="s">
        <v>42</v>
      </c>
      <c r="DI77" s="189"/>
      <c r="DJ77" s="192">
        <v>8</v>
      </c>
      <c r="DK77" s="193"/>
      <c r="DM77" s="113"/>
      <c r="DN77" s="112"/>
      <c r="DO77" s="163"/>
      <c r="DP77" s="2"/>
      <c r="DQ77" s="125"/>
      <c r="DR77" s="175"/>
      <c r="DS77" s="112"/>
      <c r="DT77" s="188" t="s">
        <v>42</v>
      </c>
      <c r="DU77" s="189"/>
      <c r="DV77" s="188">
        <v>0</v>
      </c>
      <c r="DW77" s="194"/>
      <c r="DY77" s="113"/>
      <c r="DZ77" s="112"/>
      <c r="EA77" s="163"/>
      <c r="EC77" s="125"/>
      <c r="ED77" s="175"/>
      <c r="EE77" s="112"/>
      <c r="EF77" s="188" t="s">
        <v>42</v>
      </c>
      <c r="EG77" s="189"/>
      <c r="EH77" s="188">
        <v>0</v>
      </c>
      <c r="EI77" s="194"/>
      <c r="EK77" s="113"/>
      <c r="EL77" s="112"/>
      <c r="EM77" s="163"/>
      <c r="EO77" s="125"/>
      <c r="EP77" s="176"/>
      <c r="EQ77" s="126"/>
      <c r="ER77" s="177" t="s">
        <v>42</v>
      </c>
      <c r="ES77" s="178"/>
      <c r="ET77" s="156">
        <f t="shared" si="4"/>
        <v>194</v>
      </c>
      <c r="EU77" s="157"/>
      <c r="EW77" s="113"/>
      <c r="EX77" s="112"/>
      <c r="EY77" s="163"/>
    </row>
    <row r="78" spans="1:156" ht="17.100000000000001" customHeight="1" thickBot="1" x14ac:dyDescent="0.25">
      <c r="A78" s="111" t="s">
        <v>43</v>
      </c>
      <c r="B78" s="61">
        <f>1</f>
        <v>1</v>
      </c>
      <c r="C78" s="62">
        <v>2</v>
      </c>
      <c r="D78" s="62">
        <v>3</v>
      </c>
      <c r="E78" s="62">
        <v>4</v>
      </c>
      <c r="F78" s="62">
        <v>5</v>
      </c>
      <c r="G78" s="80">
        <v>6</v>
      </c>
      <c r="I78" s="125"/>
      <c r="J78" s="126"/>
      <c r="K78" s="164"/>
      <c r="M78" s="111" t="s">
        <v>43</v>
      </c>
      <c r="N78" s="61">
        <f>1</f>
        <v>1</v>
      </c>
      <c r="O78" s="62">
        <v>2</v>
      </c>
      <c r="P78" s="62">
        <v>3</v>
      </c>
      <c r="Q78" s="62">
        <v>4</v>
      </c>
      <c r="R78" s="62">
        <v>5</v>
      </c>
      <c r="S78" s="80">
        <v>6</v>
      </c>
      <c r="U78" s="125"/>
      <c r="V78" s="126"/>
      <c r="W78" s="164"/>
      <c r="Y78" s="111" t="s">
        <v>43</v>
      </c>
      <c r="Z78" s="61">
        <f>1</f>
        <v>1</v>
      </c>
      <c r="AA78" s="62">
        <v>2</v>
      </c>
      <c r="AB78" s="62">
        <v>3</v>
      </c>
      <c r="AC78" s="62">
        <v>4</v>
      </c>
      <c r="AD78" s="62">
        <v>5</v>
      </c>
      <c r="AE78" s="80">
        <v>6</v>
      </c>
      <c r="AG78" s="125"/>
      <c r="AH78" s="126"/>
      <c r="AI78" s="164"/>
      <c r="AK78" s="111" t="s">
        <v>43</v>
      </c>
      <c r="AL78" s="61">
        <f>1</f>
        <v>1</v>
      </c>
      <c r="AM78" s="62">
        <v>2</v>
      </c>
      <c r="AN78" s="62">
        <v>3</v>
      </c>
      <c r="AO78" s="62">
        <v>4</v>
      </c>
      <c r="AP78" s="62">
        <v>5</v>
      </c>
      <c r="AQ78" s="80">
        <v>6</v>
      </c>
      <c r="AS78" s="125"/>
      <c r="AT78" s="126"/>
      <c r="AU78" s="164"/>
      <c r="AW78" s="111" t="s">
        <v>43</v>
      </c>
      <c r="AX78" s="61">
        <f>1</f>
        <v>1</v>
      </c>
      <c r="AY78" s="62">
        <v>2</v>
      </c>
      <c r="AZ78" s="62">
        <v>3</v>
      </c>
      <c r="BA78" s="62">
        <v>4</v>
      </c>
      <c r="BB78" s="62">
        <v>5</v>
      </c>
      <c r="BC78" s="80">
        <v>6</v>
      </c>
      <c r="BE78" s="125"/>
      <c r="BF78" s="126"/>
      <c r="BG78" s="164"/>
      <c r="BI78" s="111" t="s">
        <v>43</v>
      </c>
      <c r="BJ78" s="61">
        <f>1</f>
        <v>1</v>
      </c>
      <c r="BK78" s="62">
        <v>2</v>
      </c>
      <c r="BL78" s="62">
        <v>3</v>
      </c>
      <c r="BM78" s="62">
        <v>4</v>
      </c>
      <c r="BN78" s="62">
        <v>5</v>
      </c>
      <c r="BO78" s="80">
        <v>6</v>
      </c>
      <c r="BQ78" s="125"/>
      <c r="BR78" s="126"/>
      <c r="BS78" s="164"/>
      <c r="BU78" s="111" t="s">
        <v>43</v>
      </c>
      <c r="BV78" s="61">
        <f>1</f>
        <v>1</v>
      </c>
      <c r="BW78" s="62">
        <v>2</v>
      </c>
      <c r="BX78" s="62">
        <v>3</v>
      </c>
      <c r="BY78" s="62">
        <v>4</v>
      </c>
      <c r="BZ78" s="62">
        <v>5</v>
      </c>
      <c r="CA78" s="80">
        <v>6</v>
      </c>
      <c r="CC78" s="125"/>
      <c r="CD78" s="126"/>
      <c r="CE78" s="164"/>
      <c r="CG78" s="111" t="s">
        <v>43</v>
      </c>
      <c r="CH78" s="61">
        <f>1</f>
        <v>1</v>
      </c>
      <c r="CI78" s="62">
        <v>2</v>
      </c>
      <c r="CJ78" s="62">
        <v>3</v>
      </c>
      <c r="CK78" s="62">
        <v>4</v>
      </c>
      <c r="CL78" s="62">
        <v>5</v>
      </c>
      <c r="CM78" s="80">
        <v>6</v>
      </c>
      <c r="CO78" s="125"/>
      <c r="CP78" s="126"/>
      <c r="CQ78" s="164"/>
      <c r="CS78" s="111" t="s">
        <v>43</v>
      </c>
      <c r="CT78" s="61">
        <f>1</f>
        <v>1</v>
      </c>
      <c r="CU78" s="62">
        <v>2</v>
      </c>
      <c r="CV78" s="62">
        <v>3</v>
      </c>
      <c r="CW78" s="62">
        <v>4</v>
      </c>
      <c r="CX78" s="62">
        <v>5</v>
      </c>
      <c r="CY78" s="80">
        <v>6</v>
      </c>
      <c r="DA78" s="125"/>
      <c r="DB78" s="126"/>
      <c r="DC78" s="164"/>
      <c r="DD78" s="2"/>
      <c r="DE78" s="111" t="s">
        <v>43</v>
      </c>
      <c r="DF78" s="61">
        <f>1</f>
        <v>1</v>
      </c>
      <c r="DG78" s="62">
        <v>2</v>
      </c>
      <c r="DH78" s="62">
        <v>3</v>
      </c>
      <c r="DI78" s="62">
        <v>4</v>
      </c>
      <c r="DJ78" s="62">
        <v>5</v>
      </c>
      <c r="DK78" s="80">
        <v>6</v>
      </c>
      <c r="DM78" s="125"/>
      <c r="DN78" s="126"/>
      <c r="DO78" s="164"/>
      <c r="DP78" s="2"/>
      <c r="DQ78" s="111" t="s">
        <v>43</v>
      </c>
      <c r="DR78" s="61">
        <f>1</f>
        <v>1</v>
      </c>
      <c r="DS78" s="62">
        <v>2</v>
      </c>
      <c r="DT78" s="62">
        <v>3</v>
      </c>
      <c r="DU78" s="62">
        <v>4</v>
      </c>
      <c r="DV78" s="62">
        <v>5</v>
      </c>
      <c r="DW78" s="80">
        <v>6</v>
      </c>
      <c r="DY78" s="125"/>
      <c r="DZ78" s="126"/>
      <c r="EA78" s="164"/>
      <c r="EC78" s="111" t="s">
        <v>43</v>
      </c>
      <c r="ED78" s="61">
        <f>1</f>
        <v>1</v>
      </c>
      <c r="EE78" s="62">
        <v>2</v>
      </c>
      <c r="EF78" s="62">
        <v>3</v>
      </c>
      <c r="EG78" s="62">
        <v>4</v>
      </c>
      <c r="EH78" s="62">
        <v>5</v>
      </c>
      <c r="EI78" s="80">
        <v>6</v>
      </c>
      <c r="EK78" s="125"/>
      <c r="EL78" s="126"/>
      <c r="EM78" s="164"/>
      <c r="EO78" s="229" t="s">
        <v>43</v>
      </c>
      <c r="EP78" s="61">
        <f>1</f>
        <v>1</v>
      </c>
      <c r="EQ78" s="62">
        <v>2</v>
      </c>
      <c r="ER78" s="62">
        <v>3</v>
      </c>
      <c r="ES78" s="62">
        <v>4</v>
      </c>
      <c r="ET78" s="62">
        <v>5</v>
      </c>
      <c r="EU78" s="80">
        <v>6</v>
      </c>
      <c r="EW78" s="125"/>
      <c r="EX78" s="126"/>
      <c r="EY78" s="164"/>
    </row>
    <row r="79" spans="1:156" ht="17.100000000000001" customHeight="1" thickTop="1" thickBot="1" x14ac:dyDescent="0.25">
      <c r="A79" s="125"/>
      <c r="B79" s="10">
        <v>13</v>
      </c>
      <c r="C79" s="11">
        <v>18</v>
      </c>
      <c r="D79" s="11">
        <v>3</v>
      </c>
      <c r="E79" s="11">
        <v>0</v>
      </c>
      <c r="F79" s="11">
        <v>0</v>
      </c>
      <c r="G79" s="12">
        <v>0</v>
      </c>
      <c r="H79" s="13"/>
      <c r="I79" s="14"/>
      <c r="J79" s="14"/>
      <c r="K79" s="9">
        <f>SUM(K73:K78)</f>
        <v>343</v>
      </c>
      <c r="M79" s="125"/>
      <c r="N79" s="10">
        <v>8</v>
      </c>
      <c r="O79" s="11">
        <v>6</v>
      </c>
      <c r="P79" s="11">
        <v>3</v>
      </c>
      <c r="Q79" s="11">
        <v>0</v>
      </c>
      <c r="R79" s="11">
        <v>0</v>
      </c>
      <c r="S79" s="12">
        <v>0</v>
      </c>
      <c r="T79" s="13"/>
      <c r="U79" s="14"/>
      <c r="V79" s="14"/>
      <c r="W79" s="9">
        <f>SUM(W73:W78)</f>
        <v>282</v>
      </c>
      <c r="Y79" s="125"/>
      <c r="Z79" s="94">
        <v>13</v>
      </c>
      <c r="AA79" s="95">
        <v>16</v>
      </c>
      <c r="AB79" s="95">
        <v>3</v>
      </c>
      <c r="AC79" s="95">
        <v>0</v>
      </c>
      <c r="AD79" s="95">
        <v>0</v>
      </c>
      <c r="AE79" s="96">
        <v>0</v>
      </c>
      <c r="AF79" s="13"/>
      <c r="AG79" s="14"/>
      <c r="AH79" s="14"/>
      <c r="AI79" s="9">
        <f>SUM(AI73:AI78)</f>
        <v>348</v>
      </c>
      <c r="AK79" s="125"/>
      <c r="AL79" s="10">
        <v>17</v>
      </c>
      <c r="AM79" s="11">
        <v>12</v>
      </c>
      <c r="AN79" s="11">
        <v>9</v>
      </c>
      <c r="AO79" s="11">
        <v>0</v>
      </c>
      <c r="AP79" s="11">
        <v>0</v>
      </c>
      <c r="AQ79" s="12">
        <v>0</v>
      </c>
      <c r="AR79" s="13"/>
      <c r="AS79" s="14"/>
      <c r="AT79" s="14"/>
      <c r="AU79" s="9">
        <f>SUM(AU73:AU78)</f>
        <v>0</v>
      </c>
      <c r="AW79" s="125"/>
      <c r="AX79" s="10">
        <v>10</v>
      </c>
      <c r="AY79" s="11">
        <v>15</v>
      </c>
      <c r="AZ79" s="11">
        <v>14</v>
      </c>
      <c r="BA79" s="11">
        <v>0</v>
      </c>
      <c r="BB79" s="11">
        <v>0</v>
      </c>
      <c r="BC79" s="12">
        <v>0</v>
      </c>
      <c r="BD79" s="13"/>
      <c r="BE79" s="14"/>
      <c r="BF79" s="14"/>
      <c r="BG79" s="9">
        <f>SUM(BG73:BG78)</f>
        <v>581</v>
      </c>
      <c r="BI79" s="125"/>
      <c r="BJ79" s="10">
        <v>17</v>
      </c>
      <c r="BK79" s="11">
        <v>10</v>
      </c>
      <c r="BL79" s="11">
        <v>3</v>
      </c>
      <c r="BM79" s="11">
        <v>0</v>
      </c>
      <c r="BN79" s="11">
        <v>0</v>
      </c>
      <c r="BO79" s="12">
        <v>0</v>
      </c>
      <c r="BP79" s="13"/>
      <c r="BQ79" s="14"/>
      <c r="BR79" s="14"/>
      <c r="BS79" s="9">
        <f>SUM(BS73:BS78)</f>
        <v>293</v>
      </c>
      <c r="BU79" s="125"/>
      <c r="BV79" s="10">
        <v>17</v>
      </c>
      <c r="BW79" s="11">
        <v>12</v>
      </c>
      <c r="BX79" s="11">
        <v>6</v>
      </c>
      <c r="BY79" s="11">
        <v>0</v>
      </c>
      <c r="BZ79" s="11">
        <v>0</v>
      </c>
      <c r="CA79" s="12">
        <v>0</v>
      </c>
      <c r="CB79" s="13"/>
      <c r="CC79" s="14"/>
      <c r="CD79" s="14"/>
      <c r="CE79" s="9">
        <f>SUM(CE73:CE78)</f>
        <v>362</v>
      </c>
      <c r="CG79" s="125"/>
      <c r="CH79" s="10">
        <v>0</v>
      </c>
      <c r="CI79" s="11">
        <v>0</v>
      </c>
      <c r="CJ79" s="11">
        <v>0</v>
      </c>
      <c r="CK79" s="11">
        <v>0</v>
      </c>
      <c r="CL79" s="11">
        <v>0</v>
      </c>
      <c r="CM79" s="12">
        <v>0</v>
      </c>
      <c r="CN79" s="13"/>
      <c r="CO79" s="14"/>
      <c r="CP79" s="14"/>
      <c r="CQ79" s="9">
        <f>SUM(CQ73:CQ78)</f>
        <v>0</v>
      </c>
      <c r="CS79" s="125"/>
      <c r="CT79" s="10">
        <v>0</v>
      </c>
      <c r="CU79" s="11">
        <v>0</v>
      </c>
      <c r="CV79" s="11">
        <v>0</v>
      </c>
      <c r="CW79" s="11">
        <v>0</v>
      </c>
      <c r="CX79" s="11">
        <v>0</v>
      </c>
      <c r="CY79" s="12">
        <v>0</v>
      </c>
      <c r="CZ79" s="13"/>
      <c r="DA79" s="14"/>
      <c r="DB79" s="14"/>
      <c r="DC79" s="9">
        <f>SUM(DC73:DC78)</f>
        <v>0</v>
      </c>
      <c r="DD79" s="2"/>
      <c r="DE79" s="125"/>
      <c r="DF79" s="10">
        <v>32</v>
      </c>
      <c r="DG79" s="11">
        <v>57</v>
      </c>
      <c r="DH79" s="11">
        <v>53</v>
      </c>
      <c r="DI79" s="11">
        <v>0</v>
      </c>
      <c r="DJ79" s="11">
        <v>0</v>
      </c>
      <c r="DK79" s="12">
        <v>0</v>
      </c>
      <c r="DL79" s="13"/>
      <c r="DM79" s="14"/>
      <c r="DN79" s="14"/>
      <c r="DO79" s="9">
        <f>SUM(DO73:DO78)</f>
        <v>240</v>
      </c>
      <c r="DP79" s="2"/>
      <c r="DQ79" s="125"/>
      <c r="DR79" s="10">
        <v>0</v>
      </c>
      <c r="DS79" s="11">
        <v>0</v>
      </c>
      <c r="DT79" s="11">
        <v>0</v>
      </c>
      <c r="DU79" s="11">
        <v>0</v>
      </c>
      <c r="DV79" s="11">
        <v>0</v>
      </c>
      <c r="DW79" s="12">
        <v>0</v>
      </c>
      <c r="DX79" s="13"/>
      <c r="DY79" s="14"/>
      <c r="DZ79" s="14"/>
      <c r="EA79" s="9">
        <f>SUM(EA73:EA78)</f>
        <v>0</v>
      </c>
      <c r="EC79" s="125"/>
      <c r="ED79" s="10">
        <v>0</v>
      </c>
      <c r="EE79" s="11">
        <v>0</v>
      </c>
      <c r="EF79" s="11">
        <v>0</v>
      </c>
      <c r="EG79" s="11">
        <v>0</v>
      </c>
      <c r="EH79" s="11">
        <v>0</v>
      </c>
      <c r="EI79" s="12">
        <v>0</v>
      </c>
      <c r="EJ79" s="13"/>
      <c r="EK79" s="14"/>
      <c r="EL79" s="14"/>
      <c r="EM79" s="9">
        <f>SUM(EM73:EM78)</f>
        <v>0</v>
      </c>
      <c r="EO79" s="237"/>
      <c r="EP79" s="10">
        <f t="shared" ref="EP79:EU79" si="5">B79+N79+Z79+AL79+AX79+BJ79+BV79+CH79+CT79+DF79+DR79+ED79</f>
        <v>127</v>
      </c>
      <c r="EQ79" s="10">
        <f t="shared" si="5"/>
        <v>146</v>
      </c>
      <c r="ER79" s="10">
        <f t="shared" si="5"/>
        <v>94</v>
      </c>
      <c r="ES79" s="10">
        <f t="shared" si="5"/>
        <v>0</v>
      </c>
      <c r="ET79" s="10">
        <f t="shared" si="5"/>
        <v>0</v>
      </c>
      <c r="EU79" s="10">
        <f t="shared" si="5"/>
        <v>0</v>
      </c>
      <c r="EV79" s="13"/>
      <c r="EW79" s="14"/>
      <c r="EX79" s="14"/>
      <c r="EY79" s="9">
        <f>SUM(EY73:EY78)</f>
        <v>2449</v>
      </c>
    </row>
    <row r="80" spans="1:156" s="70" customFormat="1" ht="18" customHeight="1" thickBot="1" x14ac:dyDescent="0.25">
      <c r="A80" s="69" t="s">
        <v>3</v>
      </c>
      <c r="B80" s="69"/>
      <c r="C80" s="179" t="s">
        <v>58</v>
      </c>
      <c r="D80" s="179"/>
      <c r="E80" s="179"/>
      <c r="G80" s="71"/>
      <c r="H80" s="220"/>
      <c r="I80" s="220"/>
      <c r="J80" s="72"/>
      <c r="L80" s="81"/>
      <c r="M80" s="69" t="s">
        <v>3</v>
      </c>
      <c r="N80" s="69"/>
      <c r="O80" s="179" t="s">
        <v>58</v>
      </c>
      <c r="P80" s="179"/>
      <c r="Q80" s="179"/>
      <c r="S80" s="71"/>
      <c r="T80" s="220"/>
      <c r="U80" s="220"/>
      <c r="V80" s="72"/>
      <c r="X80" s="81"/>
      <c r="Y80" s="69" t="s">
        <v>3</v>
      </c>
      <c r="Z80" s="69"/>
      <c r="AA80" s="179" t="s">
        <v>58</v>
      </c>
      <c r="AB80" s="179"/>
      <c r="AC80" s="179"/>
      <c r="AE80" s="71"/>
      <c r="AF80" s="220"/>
      <c r="AG80" s="220"/>
      <c r="AH80" s="72"/>
      <c r="AJ80" s="81"/>
      <c r="AK80" s="69" t="s">
        <v>3</v>
      </c>
      <c r="AL80" s="69"/>
      <c r="AM80" s="179" t="s">
        <v>58</v>
      </c>
      <c r="AN80" s="179"/>
      <c r="AO80" s="179"/>
      <c r="AQ80" s="71"/>
      <c r="AR80" s="220"/>
      <c r="AS80" s="220"/>
      <c r="AT80" s="72"/>
      <c r="AV80" s="81"/>
      <c r="AW80" s="69" t="s">
        <v>3</v>
      </c>
      <c r="AX80" s="69"/>
      <c r="AY80" s="179" t="s">
        <v>58</v>
      </c>
      <c r="AZ80" s="179"/>
      <c r="BA80" s="179"/>
      <c r="BC80" s="71"/>
      <c r="BD80" s="220"/>
      <c r="BE80" s="220"/>
      <c r="BF80" s="72"/>
      <c r="BI80" s="69" t="s">
        <v>3</v>
      </c>
      <c r="BJ80" s="69"/>
      <c r="BK80" s="179" t="s">
        <v>58</v>
      </c>
      <c r="BL80" s="179"/>
      <c r="BM80" s="179"/>
      <c r="BO80" s="71"/>
      <c r="BP80" s="220"/>
      <c r="BQ80" s="220"/>
      <c r="BR80" s="72"/>
      <c r="BU80" s="69" t="s">
        <v>3</v>
      </c>
      <c r="BV80" s="69"/>
      <c r="BW80" s="179" t="s">
        <v>58</v>
      </c>
      <c r="BX80" s="179"/>
      <c r="BY80" s="179"/>
      <c r="CA80" s="71"/>
      <c r="CB80" s="220"/>
      <c r="CC80" s="220"/>
      <c r="CD80" s="72"/>
      <c r="CG80" s="69" t="s">
        <v>3</v>
      </c>
      <c r="CH80" s="69"/>
      <c r="CI80" s="179" t="s">
        <v>58</v>
      </c>
      <c r="CJ80" s="179"/>
      <c r="CK80" s="179"/>
      <c r="CM80" s="71"/>
      <c r="CN80" s="220"/>
      <c r="CO80" s="220"/>
      <c r="CP80" s="72"/>
      <c r="CS80" s="69" t="s">
        <v>3</v>
      </c>
      <c r="CT80" s="69"/>
      <c r="CU80" s="179" t="s">
        <v>58</v>
      </c>
      <c r="CV80" s="179"/>
      <c r="CW80" s="179"/>
      <c r="CY80" s="71"/>
      <c r="CZ80" s="220"/>
      <c r="DA80" s="220"/>
      <c r="DB80" s="72"/>
      <c r="DE80" s="69" t="s">
        <v>3</v>
      </c>
      <c r="DF80" s="69"/>
      <c r="DG80" s="179" t="s">
        <v>58</v>
      </c>
      <c r="DH80" s="179"/>
      <c r="DI80" s="179"/>
      <c r="DK80" s="71"/>
      <c r="DL80" s="220"/>
      <c r="DM80" s="220"/>
      <c r="DN80" s="72"/>
      <c r="DQ80" s="69" t="s">
        <v>3</v>
      </c>
      <c r="DR80" s="69"/>
      <c r="DS80" s="179" t="s">
        <v>58</v>
      </c>
      <c r="DT80" s="179"/>
      <c r="DU80" s="179"/>
      <c r="DW80" s="71"/>
      <c r="DX80" s="220"/>
      <c r="DY80" s="220"/>
      <c r="DZ80" s="72"/>
      <c r="EB80" s="82"/>
      <c r="EC80" s="69" t="s">
        <v>3</v>
      </c>
      <c r="ED80" s="69"/>
      <c r="EE80" s="179" t="s">
        <v>58</v>
      </c>
      <c r="EF80" s="179"/>
      <c r="EG80" s="179"/>
      <c r="EI80" s="71"/>
      <c r="EJ80" s="220"/>
      <c r="EK80" s="220"/>
      <c r="EL80" s="72"/>
      <c r="EN80" s="82"/>
      <c r="EO80" s="69" t="s">
        <v>3</v>
      </c>
      <c r="EP80" s="69"/>
      <c r="EQ80" s="235" t="str">
        <f>EE80</f>
        <v>المطار القديم</v>
      </c>
      <c r="ER80" s="235"/>
      <c r="ES80" s="235"/>
      <c r="EU80" s="71"/>
      <c r="EV80" s="236"/>
      <c r="EW80" s="236"/>
      <c r="EX80" s="72"/>
      <c r="EZ80" s="82"/>
    </row>
    <row r="81" spans="1:155" ht="17.100000000000001" customHeight="1" thickBot="1" x14ac:dyDescent="0.25">
      <c r="A81" s="156" t="s">
        <v>4</v>
      </c>
      <c r="B81" s="187"/>
      <c r="C81" s="187"/>
      <c r="D81" s="187"/>
      <c r="E81" s="157"/>
      <c r="F81" s="156" t="s">
        <v>5</v>
      </c>
      <c r="G81" s="157"/>
      <c r="I81" s="102" t="s">
        <v>6</v>
      </c>
      <c r="J81" s="143" t="s">
        <v>7</v>
      </c>
      <c r="K81" s="165">
        <v>81</v>
      </c>
      <c r="M81" s="156" t="s">
        <v>4</v>
      </c>
      <c r="N81" s="187"/>
      <c r="O81" s="187"/>
      <c r="P81" s="187"/>
      <c r="Q81" s="157"/>
      <c r="R81" s="156" t="s">
        <v>5</v>
      </c>
      <c r="S81" s="157"/>
      <c r="U81" s="102" t="s">
        <v>6</v>
      </c>
      <c r="V81" s="143" t="s">
        <v>7</v>
      </c>
      <c r="W81" s="165">
        <v>81</v>
      </c>
      <c r="Y81" s="156" t="s">
        <v>4</v>
      </c>
      <c r="Z81" s="187"/>
      <c r="AA81" s="187"/>
      <c r="AB81" s="187"/>
      <c r="AC81" s="157"/>
      <c r="AD81" s="156" t="s">
        <v>5</v>
      </c>
      <c r="AE81" s="157"/>
      <c r="AG81" s="102" t="s">
        <v>6</v>
      </c>
      <c r="AH81" s="143" t="s">
        <v>7</v>
      </c>
      <c r="AI81" s="165">
        <v>100</v>
      </c>
      <c r="AK81" s="156" t="s">
        <v>4</v>
      </c>
      <c r="AL81" s="187"/>
      <c r="AM81" s="187"/>
      <c r="AN81" s="187"/>
      <c r="AO81" s="157"/>
      <c r="AP81" s="156" t="s">
        <v>5</v>
      </c>
      <c r="AQ81" s="157"/>
      <c r="AS81" s="102" t="s">
        <v>6</v>
      </c>
      <c r="AT81" s="143" t="s">
        <v>7</v>
      </c>
      <c r="AU81" s="165">
        <v>120</v>
      </c>
      <c r="AW81" s="156" t="s">
        <v>4</v>
      </c>
      <c r="AX81" s="187"/>
      <c r="AY81" s="187"/>
      <c r="AZ81" s="187"/>
      <c r="BA81" s="157"/>
      <c r="BB81" s="156" t="s">
        <v>5</v>
      </c>
      <c r="BC81" s="157"/>
      <c r="BE81" s="102" t="s">
        <v>6</v>
      </c>
      <c r="BF81" s="143" t="s">
        <v>7</v>
      </c>
      <c r="BG81" s="165">
        <v>120</v>
      </c>
      <c r="BI81" s="156" t="s">
        <v>4</v>
      </c>
      <c r="BJ81" s="187"/>
      <c r="BK81" s="187"/>
      <c r="BL81" s="187"/>
      <c r="BM81" s="157"/>
      <c r="BN81" s="156" t="s">
        <v>5</v>
      </c>
      <c r="BO81" s="157"/>
      <c r="BQ81" s="102" t="s">
        <v>6</v>
      </c>
      <c r="BR81" s="143" t="s">
        <v>7</v>
      </c>
      <c r="BS81" s="165">
        <v>0</v>
      </c>
      <c r="BU81" s="156" t="s">
        <v>4</v>
      </c>
      <c r="BV81" s="187"/>
      <c r="BW81" s="187"/>
      <c r="BX81" s="187"/>
      <c r="BY81" s="157"/>
      <c r="BZ81" s="156" t="s">
        <v>5</v>
      </c>
      <c r="CA81" s="157"/>
      <c r="CC81" s="102" t="s">
        <v>6</v>
      </c>
      <c r="CD81" s="143" t="s">
        <v>7</v>
      </c>
      <c r="CE81" s="165">
        <v>120</v>
      </c>
      <c r="CG81" s="156" t="s">
        <v>4</v>
      </c>
      <c r="CH81" s="187"/>
      <c r="CI81" s="187"/>
      <c r="CJ81" s="187"/>
      <c r="CK81" s="157"/>
      <c r="CL81" s="156" t="s">
        <v>5</v>
      </c>
      <c r="CM81" s="157"/>
      <c r="CO81" s="102" t="s">
        <v>6</v>
      </c>
      <c r="CP81" s="143" t="s">
        <v>7</v>
      </c>
      <c r="CQ81" s="165">
        <v>0</v>
      </c>
      <c r="CS81" s="156" t="s">
        <v>4</v>
      </c>
      <c r="CT81" s="187"/>
      <c r="CU81" s="187"/>
      <c r="CV81" s="187"/>
      <c r="CW81" s="157"/>
      <c r="CX81" s="156" t="s">
        <v>5</v>
      </c>
      <c r="CY81" s="157"/>
      <c r="DA81" s="102" t="s">
        <v>6</v>
      </c>
      <c r="DB81" s="143" t="s">
        <v>7</v>
      </c>
      <c r="DC81" s="165">
        <v>0</v>
      </c>
      <c r="DD81" s="2"/>
      <c r="DE81" s="156" t="s">
        <v>4</v>
      </c>
      <c r="DF81" s="187"/>
      <c r="DG81" s="187"/>
      <c r="DH81" s="187"/>
      <c r="DI81" s="157"/>
      <c r="DJ81" s="156" t="s">
        <v>5</v>
      </c>
      <c r="DK81" s="157"/>
      <c r="DM81" s="102" t="s">
        <v>6</v>
      </c>
      <c r="DN81" s="143" t="s">
        <v>7</v>
      </c>
      <c r="DO81" s="165">
        <v>81</v>
      </c>
      <c r="DP81" s="2"/>
      <c r="DQ81" s="156" t="s">
        <v>4</v>
      </c>
      <c r="DR81" s="187"/>
      <c r="DS81" s="187"/>
      <c r="DT81" s="187"/>
      <c r="DU81" s="157"/>
      <c r="DV81" s="156" t="s">
        <v>5</v>
      </c>
      <c r="DW81" s="157"/>
      <c r="DY81" s="102" t="s">
        <v>6</v>
      </c>
      <c r="DZ81" s="143" t="s">
        <v>7</v>
      </c>
      <c r="EA81" s="165">
        <v>0</v>
      </c>
      <c r="EC81" s="156" t="s">
        <v>4</v>
      </c>
      <c r="ED81" s="187"/>
      <c r="EE81" s="187"/>
      <c r="EF81" s="187"/>
      <c r="EG81" s="157"/>
      <c r="EH81" s="156" t="s">
        <v>5</v>
      </c>
      <c r="EI81" s="157"/>
      <c r="EK81" s="102" t="s">
        <v>6</v>
      </c>
      <c r="EL81" s="143" t="s">
        <v>7</v>
      </c>
      <c r="EM81" s="165">
        <v>0</v>
      </c>
      <c r="EO81" s="156" t="s">
        <v>4</v>
      </c>
      <c r="EP81" s="187"/>
      <c r="EQ81" s="187"/>
      <c r="ER81" s="187"/>
      <c r="ES81" s="157"/>
      <c r="ET81" s="156" t="s">
        <v>5</v>
      </c>
      <c r="EU81" s="157"/>
      <c r="EW81" s="121" t="s">
        <v>6</v>
      </c>
      <c r="EX81" s="229" t="s">
        <v>7</v>
      </c>
      <c r="EY81" s="229">
        <f>K81+W81+AI81+AU81+BG81+BS81+CE81+CQ81+DC81+DO81+EA81+EM81</f>
        <v>703</v>
      </c>
    </row>
    <row r="82" spans="1:155" ht="17.100000000000001" customHeight="1" thickTop="1" thickBot="1" x14ac:dyDescent="0.25">
      <c r="A82" s="111" t="s">
        <v>8</v>
      </c>
      <c r="B82" s="174"/>
      <c r="C82" s="174"/>
      <c r="D82" s="155" t="s">
        <v>9</v>
      </c>
      <c r="E82" s="141"/>
      <c r="F82" s="190">
        <v>0</v>
      </c>
      <c r="G82" s="191"/>
      <c r="I82" s="103"/>
      <c r="J82" s="140"/>
      <c r="K82" s="166"/>
      <c r="M82" s="111" t="s">
        <v>8</v>
      </c>
      <c r="N82" s="174"/>
      <c r="O82" s="174"/>
      <c r="P82" s="155" t="s">
        <v>9</v>
      </c>
      <c r="Q82" s="141"/>
      <c r="R82" s="190">
        <v>0</v>
      </c>
      <c r="S82" s="191"/>
      <c r="U82" s="103"/>
      <c r="V82" s="140"/>
      <c r="W82" s="166"/>
      <c r="Y82" s="111" t="s">
        <v>8</v>
      </c>
      <c r="Z82" s="174"/>
      <c r="AA82" s="174"/>
      <c r="AB82" s="155" t="s">
        <v>9</v>
      </c>
      <c r="AC82" s="141"/>
      <c r="AD82" s="190">
        <v>0</v>
      </c>
      <c r="AE82" s="191"/>
      <c r="AG82" s="103"/>
      <c r="AH82" s="140"/>
      <c r="AI82" s="166"/>
      <c r="AK82" s="111" t="s">
        <v>8</v>
      </c>
      <c r="AL82" s="174"/>
      <c r="AM82" s="174"/>
      <c r="AN82" s="155" t="s">
        <v>9</v>
      </c>
      <c r="AO82" s="141"/>
      <c r="AP82" s="190">
        <v>0</v>
      </c>
      <c r="AQ82" s="191"/>
      <c r="AS82" s="103"/>
      <c r="AT82" s="140"/>
      <c r="AU82" s="166"/>
      <c r="AW82" s="111" t="s">
        <v>8</v>
      </c>
      <c r="AX82" s="174"/>
      <c r="AY82" s="174"/>
      <c r="AZ82" s="155" t="s">
        <v>9</v>
      </c>
      <c r="BA82" s="141"/>
      <c r="BB82" s="190">
        <v>0</v>
      </c>
      <c r="BC82" s="191"/>
      <c r="BE82" s="103"/>
      <c r="BF82" s="140"/>
      <c r="BG82" s="166"/>
      <c r="BI82" s="111" t="s">
        <v>8</v>
      </c>
      <c r="BJ82" s="174"/>
      <c r="BK82" s="174"/>
      <c r="BL82" s="155" t="s">
        <v>9</v>
      </c>
      <c r="BM82" s="141"/>
      <c r="BN82" s="155">
        <v>0</v>
      </c>
      <c r="BO82" s="141"/>
      <c r="BQ82" s="103"/>
      <c r="BR82" s="140"/>
      <c r="BS82" s="166"/>
      <c r="BU82" s="111" t="s">
        <v>8</v>
      </c>
      <c r="BV82" s="174"/>
      <c r="BW82" s="174"/>
      <c r="BX82" s="155" t="s">
        <v>9</v>
      </c>
      <c r="BY82" s="141"/>
      <c r="BZ82" s="190">
        <v>0</v>
      </c>
      <c r="CA82" s="191"/>
      <c r="CC82" s="103"/>
      <c r="CD82" s="140"/>
      <c r="CE82" s="166"/>
      <c r="CG82" s="111" t="s">
        <v>8</v>
      </c>
      <c r="CH82" s="174"/>
      <c r="CI82" s="174"/>
      <c r="CJ82" s="155" t="s">
        <v>9</v>
      </c>
      <c r="CK82" s="141"/>
      <c r="CL82" s="155">
        <v>0</v>
      </c>
      <c r="CM82" s="141"/>
      <c r="CO82" s="103"/>
      <c r="CP82" s="140"/>
      <c r="CQ82" s="166"/>
      <c r="CS82" s="111" t="s">
        <v>8</v>
      </c>
      <c r="CT82" s="174"/>
      <c r="CU82" s="174"/>
      <c r="CV82" s="155" t="s">
        <v>9</v>
      </c>
      <c r="CW82" s="141"/>
      <c r="CX82" s="155">
        <v>0</v>
      </c>
      <c r="CY82" s="141"/>
      <c r="DA82" s="103"/>
      <c r="DB82" s="140"/>
      <c r="DC82" s="166"/>
      <c r="DD82" s="2"/>
      <c r="DE82" s="111" t="s">
        <v>8</v>
      </c>
      <c r="DF82" s="174"/>
      <c r="DG82" s="174"/>
      <c r="DH82" s="155" t="s">
        <v>9</v>
      </c>
      <c r="DI82" s="141"/>
      <c r="DJ82" s="190">
        <v>0</v>
      </c>
      <c r="DK82" s="191"/>
      <c r="DM82" s="103"/>
      <c r="DN82" s="140"/>
      <c r="DO82" s="166"/>
      <c r="DP82" s="2"/>
      <c r="DQ82" s="111" t="s">
        <v>8</v>
      </c>
      <c r="DR82" s="174"/>
      <c r="DS82" s="174"/>
      <c r="DT82" s="155" t="s">
        <v>9</v>
      </c>
      <c r="DU82" s="141"/>
      <c r="DV82" s="155">
        <v>0</v>
      </c>
      <c r="DW82" s="141"/>
      <c r="DY82" s="103"/>
      <c r="DZ82" s="140"/>
      <c r="EA82" s="166"/>
      <c r="EC82" s="111" t="s">
        <v>8</v>
      </c>
      <c r="ED82" s="174"/>
      <c r="EE82" s="174"/>
      <c r="EF82" s="155" t="s">
        <v>9</v>
      </c>
      <c r="EG82" s="141"/>
      <c r="EH82" s="155">
        <v>0</v>
      </c>
      <c r="EI82" s="141"/>
      <c r="EK82" s="103"/>
      <c r="EL82" s="140"/>
      <c r="EM82" s="166"/>
      <c r="EO82" s="111" t="s">
        <v>8</v>
      </c>
      <c r="EP82" s="174"/>
      <c r="EQ82" s="124"/>
      <c r="ER82" s="155" t="s">
        <v>9</v>
      </c>
      <c r="ES82" s="141"/>
      <c r="ET82" s="156">
        <f>F82+R82+AD82+AP82+BB82+BN82+BZ82+CL82+CX82+DJ82+DV82+EH82</f>
        <v>0</v>
      </c>
      <c r="EU82" s="157"/>
      <c r="EW82" s="122"/>
      <c r="EX82" s="139"/>
      <c r="EY82" s="237"/>
    </row>
    <row r="83" spans="1:155" ht="17.100000000000001" customHeight="1" thickBot="1" x14ac:dyDescent="0.25">
      <c r="A83" s="113"/>
      <c r="B83" s="175"/>
      <c r="C83" s="175"/>
      <c r="D83" s="154" t="s">
        <v>10</v>
      </c>
      <c r="E83" s="142"/>
      <c r="F83" s="182">
        <v>0</v>
      </c>
      <c r="G83" s="183"/>
      <c r="I83" s="103"/>
      <c r="J83" s="140" t="s">
        <v>11</v>
      </c>
      <c r="K83" s="166">
        <v>89</v>
      </c>
      <c r="M83" s="113"/>
      <c r="N83" s="175"/>
      <c r="O83" s="175"/>
      <c r="P83" s="154" t="s">
        <v>10</v>
      </c>
      <c r="Q83" s="142"/>
      <c r="R83" s="182">
        <v>0</v>
      </c>
      <c r="S83" s="183"/>
      <c r="U83" s="103"/>
      <c r="V83" s="140" t="s">
        <v>11</v>
      </c>
      <c r="W83" s="166">
        <v>89</v>
      </c>
      <c r="Y83" s="113"/>
      <c r="Z83" s="175"/>
      <c r="AA83" s="175"/>
      <c r="AB83" s="154" t="s">
        <v>10</v>
      </c>
      <c r="AC83" s="142"/>
      <c r="AD83" s="182">
        <v>0</v>
      </c>
      <c r="AE83" s="183"/>
      <c r="AG83" s="103"/>
      <c r="AH83" s="140" t="s">
        <v>11</v>
      </c>
      <c r="AI83" s="166">
        <v>150</v>
      </c>
      <c r="AK83" s="113"/>
      <c r="AL83" s="175"/>
      <c r="AM83" s="175"/>
      <c r="AN83" s="154" t="s">
        <v>10</v>
      </c>
      <c r="AO83" s="142"/>
      <c r="AP83" s="182">
        <v>0</v>
      </c>
      <c r="AQ83" s="183"/>
      <c r="AS83" s="103"/>
      <c r="AT83" s="140" t="s">
        <v>11</v>
      </c>
      <c r="AU83" s="166">
        <v>86</v>
      </c>
      <c r="AW83" s="113"/>
      <c r="AX83" s="175"/>
      <c r="AY83" s="175"/>
      <c r="AZ83" s="154" t="s">
        <v>10</v>
      </c>
      <c r="BA83" s="142"/>
      <c r="BB83" s="182">
        <v>0</v>
      </c>
      <c r="BC83" s="183"/>
      <c r="BE83" s="103"/>
      <c r="BF83" s="140" t="s">
        <v>11</v>
      </c>
      <c r="BG83" s="166">
        <v>141</v>
      </c>
      <c r="BI83" s="113"/>
      <c r="BJ83" s="175"/>
      <c r="BK83" s="175"/>
      <c r="BL83" s="154" t="s">
        <v>10</v>
      </c>
      <c r="BM83" s="142"/>
      <c r="BN83" s="154">
        <v>0</v>
      </c>
      <c r="BO83" s="142"/>
      <c r="BQ83" s="103"/>
      <c r="BR83" s="140" t="s">
        <v>11</v>
      </c>
      <c r="BS83" s="166">
        <v>0</v>
      </c>
      <c r="BU83" s="113"/>
      <c r="BV83" s="175"/>
      <c r="BW83" s="175"/>
      <c r="BX83" s="154" t="s">
        <v>10</v>
      </c>
      <c r="BY83" s="142"/>
      <c r="BZ83" s="182">
        <v>0</v>
      </c>
      <c r="CA83" s="183"/>
      <c r="CC83" s="103"/>
      <c r="CD83" s="140" t="s">
        <v>11</v>
      </c>
      <c r="CE83" s="166">
        <v>86</v>
      </c>
      <c r="CG83" s="113"/>
      <c r="CH83" s="175"/>
      <c r="CI83" s="175"/>
      <c r="CJ83" s="154" t="s">
        <v>10</v>
      </c>
      <c r="CK83" s="142"/>
      <c r="CL83" s="154">
        <v>0</v>
      </c>
      <c r="CM83" s="142"/>
      <c r="CO83" s="103"/>
      <c r="CP83" s="140" t="s">
        <v>11</v>
      </c>
      <c r="CQ83" s="166">
        <v>0</v>
      </c>
      <c r="CS83" s="113"/>
      <c r="CT83" s="175"/>
      <c r="CU83" s="175"/>
      <c r="CV83" s="154" t="s">
        <v>10</v>
      </c>
      <c r="CW83" s="142"/>
      <c r="CX83" s="154">
        <v>0</v>
      </c>
      <c r="CY83" s="142"/>
      <c r="DA83" s="103"/>
      <c r="DB83" s="140" t="s">
        <v>11</v>
      </c>
      <c r="DC83" s="166">
        <v>0</v>
      </c>
      <c r="DD83" s="2"/>
      <c r="DE83" s="113"/>
      <c r="DF83" s="175"/>
      <c r="DG83" s="175"/>
      <c r="DH83" s="154" t="s">
        <v>10</v>
      </c>
      <c r="DI83" s="142"/>
      <c r="DJ83" s="182">
        <v>0</v>
      </c>
      <c r="DK83" s="183"/>
      <c r="DM83" s="103"/>
      <c r="DN83" s="140" t="s">
        <v>11</v>
      </c>
      <c r="DO83" s="166">
        <v>89</v>
      </c>
      <c r="DP83" s="2"/>
      <c r="DQ83" s="113"/>
      <c r="DR83" s="175"/>
      <c r="DS83" s="175"/>
      <c r="DT83" s="154" t="s">
        <v>10</v>
      </c>
      <c r="DU83" s="142"/>
      <c r="DV83" s="154">
        <v>0</v>
      </c>
      <c r="DW83" s="142"/>
      <c r="DY83" s="103"/>
      <c r="DZ83" s="140" t="s">
        <v>11</v>
      </c>
      <c r="EA83" s="166">
        <v>0</v>
      </c>
      <c r="EC83" s="113"/>
      <c r="ED83" s="175"/>
      <c r="EE83" s="175"/>
      <c r="EF83" s="154" t="s">
        <v>10</v>
      </c>
      <c r="EG83" s="142"/>
      <c r="EH83" s="154">
        <v>0</v>
      </c>
      <c r="EI83" s="142"/>
      <c r="EK83" s="103"/>
      <c r="EL83" s="140" t="s">
        <v>11</v>
      </c>
      <c r="EM83" s="166">
        <v>0</v>
      </c>
      <c r="EO83" s="113"/>
      <c r="EP83" s="175"/>
      <c r="EQ83" s="112"/>
      <c r="ER83" s="154" t="s">
        <v>10</v>
      </c>
      <c r="ES83" s="142"/>
      <c r="ET83" s="156">
        <f t="shared" ref="ET83:ET103" si="6">F83+R83+AD83+AP83+BB83+BN83+BZ83+CL83+CX83+DJ83+DV83+EH83</f>
        <v>0</v>
      </c>
      <c r="EU83" s="157"/>
      <c r="EW83" s="122"/>
      <c r="EX83" s="238" t="s">
        <v>11</v>
      </c>
      <c r="EY83" s="229">
        <f>K83+W83+AI83+AU83+BG83+BS83+CE83+CQ83+DC83+DO83+EA83+EM83</f>
        <v>730</v>
      </c>
    </row>
    <row r="84" spans="1:155" ht="17.100000000000001" customHeight="1" thickBot="1" x14ac:dyDescent="0.25">
      <c r="A84" s="125"/>
      <c r="B84" s="176"/>
      <c r="C84" s="176"/>
      <c r="D84" s="177" t="s">
        <v>12</v>
      </c>
      <c r="E84" s="178"/>
      <c r="F84" s="192">
        <v>0</v>
      </c>
      <c r="G84" s="193"/>
      <c r="I84" s="151"/>
      <c r="J84" s="144"/>
      <c r="K84" s="180"/>
      <c r="M84" s="125"/>
      <c r="N84" s="176"/>
      <c r="O84" s="176"/>
      <c r="P84" s="177" t="s">
        <v>12</v>
      </c>
      <c r="Q84" s="178"/>
      <c r="R84" s="192">
        <v>0</v>
      </c>
      <c r="S84" s="193"/>
      <c r="U84" s="151"/>
      <c r="V84" s="144"/>
      <c r="W84" s="180"/>
      <c r="Y84" s="125"/>
      <c r="Z84" s="176"/>
      <c r="AA84" s="176"/>
      <c r="AB84" s="177" t="s">
        <v>12</v>
      </c>
      <c r="AC84" s="178"/>
      <c r="AD84" s="192">
        <v>61</v>
      </c>
      <c r="AE84" s="193"/>
      <c r="AG84" s="151"/>
      <c r="AH84" s="144"/>
      <c r="AI84" s="180"/>
      <c r="AK84" s="125"/>
      <c r="AL84" s="176"/>
      <c r="AM84" s="176"/>
      <c r="AN84" s="177" t="s">
        <v>12</v>
      </c>
      <c r="AO84" s="178"/>
      <c r="AP84" s="192">
        <v>0</v>
      </c>
      <c r="AQ84" s="193"/>
      <c r="AS84" s="151"/>
      <c r="AT84" s="144"/>
      <c r="AU84" s="180"/>
      <c r="AW84" s="125"/>
      <c r="AX84" s="176"/>
      <c r="AY84" s="176"/>
      <c r="AZ84" s="177" t="s">
        <v>12</v>
      </c>
      <c r="BA84" s="178"/>
      <c r="BB84" s="192">
        <v>66</v>
      </c>
      <c r="BC84" s="193"/>
      <c r="BE84" s="151"/>
      <c r="BF84" s="144"/>
      <c r="BG84" s="180"/>
      <c r="BI84" s="125"/>
      <c r="BJ84" s="176"/>
      <c r="BK84" s="176"/>
      <c r="BL84" s="177" t="s">
        <v>12</v>
      </c>
      <c r="BM84" s="178"/>
      <c r="BN84" s="177">
        <v>0</v>
      </c>
      <c r="BO84" s="178"/>
      <c r="BQ84" s="151"/>
      <c r="BR84" s="144"/>
      <c r="BS84" s="180"/>
      <c r="BU84" s="125"/>
      <c r="BV84" s="176"/>
      <c r="BW84" s="176"/>
      <c r="BX84" s="177" t="s">
        <v>12</v>
      </c>
      <c r="BY84" s="178"/>
      <c r="BZ84" s="192">
        <v>0</v>
      </c>
      <c r="CA84" s="193"/>
      <c r="CC84" s="151"/>
      <c r="CD84" s="144"/>
      <c r="CE84" s="180"/>
      <c r="CG84" s="125"/>
      <c r="CH84" s="176"/>
      <c r="CI84" s="176"/>
      <c r="CJ84" s="177" t="s">
        <v>12</v>
      </c>
      <c r="CK84" s="178"/>
      <c r="CL84" s="177">
        <v>0</v>
      </c>
      <c r="CM84" s="178"/>
      <c r="CO84" s="151"/>
      <c r="CP84" s="144"/>
      <c r="CQ84" s="180"/>
      <c r="CS84" s="125"/>
      <c r="CT84" s="176"/>
      <c r="CU84" s="176"/>
      <c r="CV84" s="177" t="s">
        <v>12</v>
      </c>
      <c r="CW84" s="178"/>
      <c r="CX84" s="177">
        <v>0</v>
      </c>
      <c r="CY84" s="178"/>
      <c r="DA84" s="151"/>
      <c r="DB84" s="144"/>
      <c r="DC84" s="180"/>
      <c r="DD84" s="2"/>
      <c r="DE84" s="125"/>
      <c r="DF84" s="176"/>
      <c r="DG84" s="176"/>
      <c r="DH84" s="177" t="s">
        <v>12</v>
      </c>
      <c r="DI84" s="178"/>
      <c r="DJ84" s="192">
        <v>0</v>
      </c>
      <c r="DK84" s="193"/>
      <c r="DM84" s="151"/>
      <c r="DN84" s="144"/>
      <c r="DO84" s="180"/>
      <c r="DP84" s="2"/>
      <c r="DQ84" s="125"/>
      <c r="DR84" s="176"/>
      <c r="DS84" s="176"/>
      <c r="DT84" s="177" t="s">
        <v>12</v>
      </c>
      <c r="DU84" s="178"/>
      <c r="DV84" s="177">
        <v>0</v>
      </c>
      <c r="DW84" s="178"/>
      <c r="DY84" s="151"/>
      <c r="DZ84" s="144"/>
      <c r="EA84" s="180"/>
      <c r="EC84" s="125"/>
      <c r="ED84" s="176"/>
      <c r="EE84" s="176"/>
      <c r="EF84" s="177" t="s">
        <v>12</v>
      </c>
      <c r="EG84" s="178"/>
      <c r="EH84" s="177">
        <v>0</v>
      </c>
      <c r="EI84" s="178"/>
      <c r="EK84" s="151"/>
      <c r="EL84" s="144"/>
      <c r="EM84" s="180"/>
      <c r="EO84" s="125"/>
      <c r="EP84" s="176"/>
      <c r="EQ84" s="126"/>
      <c r="ER84" s="177" t="s">
        <v>12</v>
      </c>
      <c r="ES84" s="178"/>
      <c r="ET84" s="156">
        <f t="shared" si="6"/>
        <v>127</v>
      </c>
      <c r="EU84" s="157"/>
      <c r="EW84" s="123"/>
      <c r="EX84" s="237"/>
      <c r="EY84" s="237"/>
    </row>
    <row r="85" spans="1:155" ht="17.100000000000001" customHeight="1" thickTop="1" thickBot="1" x14ac:dyDescent="0.25">
      <c r="A85" s="158" t="s">
        <v>13</v>
      </c>
      <c r="B85" s="111" t="s">
        <v>14</v>
      </c>
      <c r="C85" s="174"/>
      <c r="D85" s="155" t="s">
        <v>29</v>
      </c>
      <c r="E85" s="141"/>
      <c r="F85" s="190">
        <v>14</v>
      </c>
      <c r="G85" s="191"/>
      <c r="I85" s="102" t="s">
        <v>15</v>
      </c>
      <c r="J85" s="143" t="s">
        <v>7</v>
      </c>
      <c r="K85" s="165">
        <v>116</v>
      </c>
      <c r="M85" s="158" t="s">
        <v>13</v>
      </c>
      <c r="N85" s="111" t="s">
        <v>14</v>
      </c>
      <c r="O85" s="174"/>
      <c r="P85" s="155" t="s">
        <v>29</v>
      </c>
      <c r="Q85" s="141"/>
      <c r="R85" s="190">
        <v>6</v>
      </c>
      <c r="S85" s="191"/>
      <c r="U85" s="102" t="s">
        <v>15</v>
      </c>
      <c r="V85" s="143" t="s">
        <v>7</v>
      </c>
      <c r="W85" s="165">
        <v>116</v>
      </c>
      <c r="Y85" s="158" t="s">
        <v>13</v>
      </c>
      <c r="Z85" s="111" t="s">
        <v>14</v>
      </c>
      <c r="AA85" s="174"/>
      <c r="AB85" s="155" t="s">
        <v>29</v>
      </c>
      <c r="AC85" s="141"/>
      <c r="AD85" s="190">
        <v>20</v>
      </c>
      <c r="AE85" s="191"/>
      <c r="AG85" s="102" t="s">
        <v>15</v>
      </c>
      <c r="AH85" s="143" t="s">
        <v>7</v>
      </c>
      <c r="AI85" s="165">
        <v>86</v>
      </c>
      <c r="AK85" s="158" t="s">
        <v>13</v>
      </c>
      <c r="AL85" s="111" t="s">
        <v>14</v>
      </c>
      <c r="AM85" s="174"/>
      <c r="AN85" s="155" t="s">
        <v>29</v>
      </c>
      <c r="AO85" s="141"/>
      <c r="AP85" s="190">
        <v>6</v>
      </c>
      <c r="AQ85" s="191"/>
      <c r="AS85" s="102" t="s">
        <v>15</v>
      </c>
      <c r="AT85" s="143" t="s">
        <v>7</v>
      </c>
      <c r="AU85" s="165">
        <v>100</v>
      </c>
      <c r="AW85" s="158" t="s">
        <v>13</v>
      </c>
      <c r="AX85" s="111" t="s">
        <v>14</v>
      </c>
      <c r="AY85" s="174"/>
      <c r="AZ85" s="155" t="s">
        <v>29</v>
      </c>
      <c r="BA85" s="141"/>
      <c r="BB85" s="190">
        <v>10</v>
      </c>
      <c r="BC85" s="191"/>
      <c r="BE85" s="102" t="s">
        <v>15</v>
      </c>
      <c r="BF85" s="143" t="s">
        <v>7</v>
      </c>
      <c r="BG85" s="165">
        <v>77</v>
      </c>
      <c r="BI85" s="158" t="s">
        <v>13</v>
      </c>
      <c r="BJ85" s="111" t="s">
        <v>14</v>
      </c>
      <c r="BK85" s="174"/>
      <c r="BL85" s="155" t="s">
        <v>29</v>
      </c>
      <c r="BM85" s="141"/>
      <c r="BN85" s="155">
        <v>0</v>
      </c>
      <c r="BO85" s="141"/>
      <c r="BQ85" s="102" t="s">
        <v>15</v>
      </c>
      <c r="BR85" s="143" t="s">
        <v>7</v>
      </c>
      <c r="BS85" s="165">
        <v>0</v>
      </c>
      <c r="BU85" s="158" t="s">
        <v>13</v>
      </c>
      <c r="BV85" s="111" t="s">
        <v>14</v>
      </c>
      <c r="BW85" s="174"/>
      <c r="BX85" s="155" t="s">
        <v>29</v>
      </c>
      <c r="BY85" s="141"/>
      <c r="BZ85" s="190">
        <v>6</v>
      </c>
      <c r="CA85" s="191"/>
      <c r="CC85" s="102" t="s">
        <v>15</v>
      </c>
      <c r="CD85" s="143" t="s">
        <v>7</v>
      </c>
      <c r="CE85" s="165">
        <v>100</v>
      </c>
      <c r="CG85" s="158" t="s">
        <v>13</v>
      </c>
      <c r="CH85" s="111" t="s">
        <v>14</v>
      </c>
      <c r="CI85" s="174"/>
      <c r="CJ85" s="155" t="s">
        <v>29</v>
      </c>
      <c r="CK85" s="141"/>
      <c r="CL85" s="155">
        <v>0</v>
      </c>
      <c r="CM85" s="141"/>
      <c r="CO85" s="102" t="s">
        <v>15</v>
      </c>
      <c r="CP85" s="143" t="s">
        <v>7</v>
      </c>
      <c r="CQ85" s="165">
        <v>0</v>
      </c>
      <c r="CS85" s="158" t="s">
        <v>13</v>
      </c>
      <c r="CT85" s="111" t="s">
        <v>14</v>
      </c>
      <c r="CU85" s="174"/>
      <c r="CV85" s="155" t="s">
        <v>29</v>
      </c>
      <c r="CW85" s="141"/>
      <c r="CX85" s="155">
        <v>0</v>
      </c>
      <c r="CY85" s="141"/>
      <c r="DA85" s="102" t="s">
        <v>15</v>
      </c>
      <c r="DB85" s="143" t="s">
        <v>7</v>
      </c>
      <c r="DC85" s="165">
        <v>0</v>
      </c>
      <c r="DD85" s="2"/>
      <c r="DE85" s="158" t="s">
        <v>13</v>
      </c>
      <c r="DF85" s="111" t="s">
        <v>14</v>
      </c>
      <c r="DG85" s="174"/>
      <c r="DH85" s="155" t="s">
        <v>29</v>
      </c>
      <c r="DI85" s="141"/>
      <c r="DJ85" s="190">
        <v>14</v>
      </c>
      <c r="DK85" s="191"/>
      <c r="DM85" s="102" t="s">
        <v>15</v>
      </c>
      <c r="DN85" s="143" t="s">
        <v>7</v>
      </c>
      <c r="DO85" s="165">
        <v>116</v>
      </c>
      <c r="DP85" s="2"/>
      <c r="DQ85" s="158" t="s">
        <v>13</v>
      </c>
      <c r="DR85" s="111" t="s">
        <v>14</v>
      </c>
      <c r="DS85" s="174"/>
      <c r="DT85" s="155" t="s">
        <v>29</v>
      </c>
      <c r="DU85" s="141"/>
      <c r="DV85" s="155">
        <v>0</v>
      </c>
      <c r="DW85" s="141"/>
      <c r="DY85" s="102" t="s">
        <v>15</v>
      </c>
      <c r="DZ85" s="143" t="s">
        <v>7</v>
      </c>
      <c r="EA85" s="165">
        <v>0</v>
      </c>
      <c r="EC85" s="158" t="s">
        <v>13</v>
      </c>
      <c r="ED85" s="111" t="s">
        <v>14</v>
      </c>
      <c r="EE85" s="174"/>
      <c r="EF85" s="155" t="s">
        <v>29</v>
      </c>
      <c r="EG85" s="141"/>
      <c r="EH85" s="155">
        <v>0</v>
      </c>
      <c r="EI85" s="141"/>
      <c r="EK85" s="102" t="s">
        <v>15</v>
      </c>
      <c r="EL85" s="143" t="s">
        <v>7</v>
      </c>
      <c r="EM85" s="165">
        <v>0</v>
      </c>
      <c r="EO85" s="232" t="s">
        <v>13</v>
      </c>
      <c r="EP85" s="111" t="s">
        <v>14</v>
      </c>
      <c r="EQ85" s="124"/>
      <c r="ER85" s="155" t="s">
        <v>29</v>
      </c>
      <c r="ES85" s="141"/>
      <c r="ET85" s="156">
        <f t="shared" si="6"/>
        <v>76</v>
      </c>
      <c r="EU85" s="157"/>
      <c r="EW85" s="121" t="s">
        <v>15</v>
      </c>
      <c r="EX85" s="229" t="s">
        <v>7</v>
      </c>
      <c r="EY85" s="229">
        <f>K85+W85+AI85+AU85+BG85+BS85+CE85+CQ85+DC85+DO85+EA85+EM85</f>
        <v>711</v>
      </c>
    </row>
    <row r="86" spans="1:155" ht="17.100000000000001" customHeight="1" thickBot="1" x14ac:dyDescent="0.25">
      <c r="A86" s="159"/>
      <c r="B86" s="113"/>
      <c r="C86" s="175"/>
      <c r="D86" s="154" t="s">
        <v>16</v>
      </c>
      <c r="E86" s="142"/>
      <c r="F86" s="182">
        <v>0</v>
      </c>
      <c r="G86" s="183"/>
      <c r="I86" s="103"/>
      <c r="J86" s="140"/>
      <c r="K86" s="166"/>
      <c r="M86" s="159"/>
      <c r="N86" s="113"/>
      <c r="O86" s="175"/>
      <c r="P86" s="154" t="s">
        <v>16</v>
      </c>
      <c r="Q86" s="142"/>
      <c r="R86" s="182">
        <v>0</v>
      </c>
      <c r="S86" s="183"/>
      <c r="U86" s="103"/>
      <c r="V86" s="140"/>
      <c r="W86" s="166"/>
      <c r="Y86" s="159"/>
      <c r="Z86" s="113"/>
      <c r="AA86" s="175"/>
      <c r="AB86" s="154" t="s">
        <v>16</v>
      </c>
      <c r="AC86" s="142"/>
      <c r="AD86" s="182">
        <v>4</v>
      </c>
      <c r="AE86" s="183"/>
      <c r="AG86" s="103"/>
      <c r="AH86" s="140"/>
      <c r="AI86" s="166"/>
      <c r="AK86" s="159"/>
      <c r="AL86" s="113"/>
      <c r="AM86" s="175"/>
      <c r="AN86" s="154" t="s">
        <v>16</v>
      </c>
      <c r="AO86" s="142"/>
      <c r="AP86" s="182">
        <v>0</v>
      </c>
      <c r="AQ86" s="183"/>
      <c r="AS86" s="103"/>
      <c r="AT86" s="140"/>
      <c r="AU86" s="166"/>
      <c r="AW86" s="159"/>
      <c r="AX86" s="113"/>
      <c r="AY86" s="175"/>
      <c r="AZ86" s="154" t="s">
        <v>16</v>
      </c>
      <c r="BA86" s="142"/>
      <c r="BB86" s="182">
        <v>0</v>
      </c>
      <c r="BC86" s="183"/>
      <c r="BE86" s="103"/>
      <c r="BF86" s="140"/>
      <c r="BG86" s="166"/>
      <c r="BI86" s="159"/>
      <c r="BJ86" s="113"/>
      <c r="BK86" s="175"/>
      <c r="BL86" s="154" t="s">
        <v>16</v>
      </c>
      <c r="BM86" s="142"/>
      <c r="BN86" s="154">
        <v>0</v>
      </c>
      <c r="BO86" s="142"/>
      <c r="BQ86" s="103"/>
      <c r="BR86" s="140"/>
      <c r="BS86" s="166"/>
      <c r="BU86" s="159"/>
      <c r="BV86" s="113"/>
      <c r="BW86" s="175"/>
      <c r="BX86" s="154" t="s">
        <v>16</v>
      </c>
      <c r="BY86" s="142"/>
      <c r="BZ86" s="182">
        <v>0</v>
      </c>
      <c r="CA86" s="183"/>
      <c r="CC86" s="103"/>
      <c r="CD86" s="140"/>
      <c r="CE86" s="166"/>
      <c r="CG86" s="159"/>
      <c r="CH86" s="113"/>
      <c r="CI86" s="175"/>
      <c r="CJ86" s="154" t="s">
        <v>16</v>
      </c>
      <c r="CK86" s="142"/>
      <c r="CL86" s="154">
        <v>0</v>
      </c>
      <c r="CM86" s="142"/>
      <c r="CO86" s="103"/>
      <c r="CP86" s="140"/>
      <c r="CQ86" s="166"/>
      <c r="CS86" s="159"/>
      <c r="CT86" s="113"/>
      <c r="CU86" s="175"/>
      <c r="CV86" s="154" t="s">
        <v>16</v>
      </c>
      <c r="CW86" s="142"/>
      <c r="CX86" s="154">
        <v>0</v>
      </c>
      <c r="CY86" s="142"/>
      <c r="DA86" s="103"/>
      <c r="DB86" s="140"/>
      <c r="DC86" s="166"/>
      <c r="DD86" s="2"/>
      <c r="DE86" s="159"/>
      <c r="DF86" s="113"/>
      <c r="DG86" s="175"/>
      <c r="DH86" s="154" t="s">
        <v>16</v>
      </c>
      <c r="DI86" s="142"/>
      <c r="DJ86" s="182">
        <v>0</v>
      </c>
      <c r="DK86" s="183"/>
      <c r="DM86" s="103"/>
      <c r="DN86" s="140"/>
      <c r="DO86" s="166"/>
      <c r="DP86" s="2"/>
      <c r="DQ86" s="159"/>
      <c r="DR86" s="113"/>
      <c r="DS86" s="175"/>
      <c r="DT86" s="154" t="s">
        <v>16</v>
      </c>
      <c r="DU86" s="142"/>
      <c r="DV86" s="154">
        <v>0</v>
      </c>
      <c r="DW86" s="142"/>
      <c r="DY86" s="103"/>
      <c r="DZ86" s="140"/>
      <c r="EA86" s="166"/>
      <c r="EC86" s="159"/>
      <c r="ED86" s="113"/>
      <c r="EE86" s="175"/>
      <c r="EF86" s="154" t="s">
        <v>16</v>
      </c>
      <c r="EG86" s="142"/>
      <c r="EH86" s="154">
        <v>0</v>
      </c>
      <c r="EI86" s="142"/>
      <c r="EK86" s="103"/>
      <c r="EL86" s="140"/>
      <c r="EM86" s="166"/>
      <c r="EO86" s="233"/>
      <c r="EP86" s="113"/>
      <c r="EQ86" s="112"/>
      <c r="ER86" s="154" t="s">
        <v>16</v>
      </c>
      <c r="ES86" s="142"/>
      <c r="ET86" s="156">
        <f t="shared" si="6"/>
        <v>4</v>
      </c>
      <c r="EU86" s="157"/>
      <c r="EW86" s="122"/>
      <c r="EX86" s="139"/>
      <c r="EY86" s="237"/>
    </row>
    <row r="87" spans="1:155" ht="17.100000000000001" customHeight="1" thickBot="1" x14ac:dyDescent="0.25">
      <c r="A87" s="159"/>
      <c r="B87" s="125"/>
      <c r="C87" s="176"/>
      <c r="D87" s="177" t="s">
        <v>17</v>
      </c>
      <c r="E87" s="178"/>
      <c r="F87" s="192">
        <v>0</v>
      </c>
      <c r="G87" s="193"/>
      <c r="I87" s="103"/>
      <c r="J87" s="140" t="s">
        <v>11</v>
      </c>
      <c r="K87" s="166">
        <v>125</v>
      </c>
      <c r="M87" s="159"/>
      <c r="N87" s="125"/>
      <c r="O87" s="176"/>
      <c r="P87" s="177" t="s">
        <v>17</v>
      </c>
      <c r="Q87" s="178"/>
      <c r="R87" s="192">
        <v>0</v>
      </c>
      <c r="S87" s="193"/>
      <c r="U87" s="103"/>
      <c r="V87" s="140" t="s">
        <v>11</v>
      </c>
      <c r="W87" s="166">
        <v>125</v>
      </c>
      <c r="Y87" s="159"/>
      <c r="Z87" s="125"/>
      <c r="AA87" s="176"/>
      <c r="AB87" s="177" t="s">
        <v>17</v>
      </c>
      <c r="AC87" s="178"/>
      <c r="AD87" s="192">
        <v>0</v>
      </c>
      <c r="AE87" s="193"/>
      <c r="AG87" s="103"/>
      <c r="AH87" s="140" t="s">
        <v>11</v>
      </c>
      <c r="AI87" s="166">
        <v>80</v>
      </c>
      <c r="AK87" s="159"/>
      <c r="AL87" s="125"/>
      <c r="AM87" s="176"/>
      <c r="AN87" s="177" t="s">
        <v>17</v>
      </c>
      <c r="AO87" s="178"/>
      <c r="AP87" s="192">
        <v>0</v>
      </c>
      <c r="AQ87" s="193"/>
      <c r="AS87" s="103"/>
      <c r="AT87" s="140" t="s">
        <v>11</v>
      </c>
      <c r="AU87" s="166">
        <v>98</v>
      </c>
      <c r="AW87" s="159"/>
      <c r="AX87" s="125"/>
      <c r="AY87" s="176"/>
      <c r="AZ87" s="177" t="s">
        <v>17</v>
      </c>
      <c r="BA87" s="178"/>
      <c r="BB87" s="192">
        <v>0</v>
      </c>
      <c r="BC87" s="193"/>
      <c r="BE87" s="103"/>
      <c r="BF87" s="140" t="s">
        <v>11</v>
      </c>
      <c r="BG87" s="166">
        <v>82</v>
      </c>
      <c r="BI87" s="159"/>
      <c r="BJ87" s="125"/>
      <c r="BK87" s="176"/>
      <c r="BL87" s="177" t="s">
        <v>17</v>
      </c>
      <c r="BM87" s="178"/>
      <c r="BN87" s="177">
        <v>0</v>
      </c>
      <c r="BO87" s="178"/>
      <c r="BQ87" s="103"/>
      <c r="BR87" s="140" t="s">
        <v>11</v>
      </c>
      <c r="BS87" s="166">
        <v>0</v>
      </c>
      <c r="BU87" s="159"/>
      <c r="BV87" s="125"/>
      <c r="BW87" s="176"/>
      <c r="BX87" s="177" t="s">
        <v>17</v>
      </c>
      <c r="BY87" s="178"/>
      <c r="BZ87" s="192">
        <v>0</v>
      </c>
      <c r="CA87" s="193"/>
      <c r="CC87" s="103"/>
      <c r="CD87" s="140" t="s">
        <v>11</v>
      </c>
      <c r="CE87" s="166">
        <v>98</v>
      </c>
      <c r="CG87" s="159"/>
      <c r="CH87" s="125"/>
      <c r="CI87" s="176"/>
      <c r="CJ87" s="177" t="s">
        <v>17</v>
      </c>
      <c r="CK87" s="178"/>
      <c r="CL87" s="177">
        <v>0</v>
      </c>
      <c r="CM87" s="178"/>
      <c r="CO87" s="103"/>
      <c r="CP87" s="140" t="s">
        <v>11</v>
      </c>
      <c r="CQ87" s="166">
        <v>0</v>
      </c>
      <c r="CS87" s="159"/>
      <c r="CT87" s="125"/>
      <c r="CU87" s="176"/>
      <c r="CV87" s="177" t="s">
        <v>17</v>
      </c>
      <c r="CW87" s="178"/>
      <c r="CX87" s="177">
        <v>0</v>
      </c>
      <c r="CY87" s="178"/>
      <c r="DA87" s="103"/>
      <c r="DB87" s="140" t="s">
        <v>11</v>
      </c>
      <c r="DC87" s="166">
        <v>0</v>
      </c>
      <c r="DD87" s="2"/>
      <c r="DE87" s="159"/>
      <c r="DF87" s="125"/>
      <c r="DG87" s="176"/>
      <c r="DH87" s="177" t="s">
        <v>17</v>
      </c>
      <c r="DI87" s="178"/>
      <c r="DJ87" s="192">
        <v>0</v>
      </c>
      <c r="DK87" s="193"/>
      <c r="DM87" s="103"/>
      <c r="DN87" s="140" t="s">
        <v>11</v>
      </c>
      <c r="DO87" s="166">
        <v>125</v>
      </c>
      <c r="DP87" s="2"/>
      <c r="DQ87" s="159"/>
      <c r="DR87" s="125"/>
      <c r="DS87" s="176"/>
      <c r="DT87" s="177" t="s">
        <v>17</v>
      </c>
      <c r="DU87" s="178"/>
      <c r="DV87" s="177">
        <v>0</v>
      </c>
      <c r="DW87" s="178"/>
      <c r="DY87" s="103"/>
      <c r="DZ87" s="140" t="s">
        <v>11</v>
      </c>
      <c r="EA87" s="166">
        <v>0</v>
      </c>
      <c r="EC87" s="159"/>
      <c r="ED87" s="125"/>
      <c r="EE87" s="176"/>
      <c r="EF87" s="177" t="s">
        <v>17</v>
      </c>
      <c r="EG87" s="178"/>
      <c r="EH87" s="177">
        <v>0</v>
      </c>
      <c r="EI87" s="178"/>
      <c r="EK87" s="103"/>
      <c r="EL87" s="140" t="s">
        <v>11</v>
      </c>
      <c r="EM87" s="166">
        <v>0</v>
      </c>
      <c r="EO87" s="233"/>
      <c r="EP87" s="125"/>
      <c r="EQ87" s="126"/>
      <c r="ER87" s="177" t="s">
        <v>17</v>
      </c>
      <c r="ES87" s="178"/>
      <c r="ET87" s="156">
        <f t="shared" si="6"/>
        <v>0</v>
      </c>
      <c r="EU87" s="157"/>
      <c r="EW87" s="122"/>
      <c r="EX87" s="238" t="s">
        <v>11</v>
      </c>
      <c r="EY87" s="229">
        <f>K87+W87+AI87+AU87+BG87+BS87+CE87+CQ87+DC87+DO87+EA87+EM87</f>
        <v>733</v>
      </c>
    </row>
    <row r="88" spans="1:155" ht="17.100000000000001" customHeight="1" thickTop="1" thickBot="1" x14ac:dyDescent="0.25">
      <c r="A88" s="159"/>
      <c r="B88" s="111" t="s">
        <v>18</v>
      </c>
      <c r="C88" s="174"/>
      <c r="D88" s="155" t="s">
        <v>19</v>
      </c>
      <c r="E88" s="141"/>
      <c r="F88" s="190">
        <v>0</v>
      </c>
      <c r="G88" s="191"/>
      <c r="I88" s="103"/>
      <c r="J88" s="144"/>
      <c r="K88" s="180"/>
      <c r="M88" s="159"/>
      <c r="N88" s="111" t="s">
        <v>18</v>
      </c>
      <c r="O88" s="174"/>
      <c r="P88" s="155" t="s">
        <v>19</v>
      </c>
      <c r="Q88" s="141"/>
      <c r="R88" s="190">
        <v>0</v>
      </c>
      <c r="S88" s="191"/>
      <c r="U88" s="103"/>
      <c r="V88" s="144"/>
      <c r="W88" s="180"/>
      <c r="Y88" s="159"/>
      <c r="Z88" s="111" t="s">
        <v>18</v>
      </c>
      <c r="AA88" s="174"/>
      <c r="AB88" s="155" t="s">
        <v>19</v>
      </c>
      <c r="AC88" s="141"/>
      <c r="AD88" s="190">
        <v>0</v>
      </c>
      <c r="AE88" s="191"/>
      <c r="AG88" s="103"/>
      <c r="AH88" s="144"/>
      <c r="AI88" s="180"/>
      <c r="AK88" s="159"/>
      <c r="AL88" s="111" t="s">
        <v>18</v>
      </c>
      <c r="AM88" s="174"/>
      <c r="AN88" s="155" t="s">
        <v>19</v>
      </c>
      <c r="AO88" s="141"/>
      <c r="AP88" s="190">
        <v>0</v>
      </c>
      <c r="AQ88" s="191"/>
      <c r="AS88" s="103"/>
      <c r="AT88" s="144"/>
      <c r="AU88" s="180"/>
      <c r="AW88" s="159"/>
      <c r="AX88" s="111" t="s">
        <v>18</v>
      </c>
      <c r="AY88" s="174"/>
      <c r="AZ88" s="155" t="s">
        <v>19</v>
      </c>
      <c r="BA88" s="141"/>
      <c r="BB88" s="190">
        <v>0</v>
      </c>
      <c r="BC88" s="191"/>
      <c r="BE88" s="103"/>
      <c r="BF88" s="144"/>
      <c r="BG88" s="180"/>
      <c r="BI88" s="159"/>
      <c r="BJ88" s="111" t="s">
        <v>18</v>
      </c>
      <c r="BK88" s="174"/>
      <c r="BL88" s="155" t="s">
        <v>19</v>
      </c>
      <c r="BM88" s="141"/>
      <c r="BN88" s="155">
        <v>0</v>
      </c>
      <c r="BO88" s="141"/>
      <c r="BQ88" s="103"/>
      <c r="BR88" s="144"/>
      <c r="BS88" s="180"/>
      <c r="BU88" s="159"/>
      <c r="BV88" s="111" t="s">
        <v>18</v>
      </c>
      <c r="BW88" s="174"/>
      <c r="BX88" s="155" t="s">
        <v>19</v>
      </c>
      <c r="BY88" s="141"/>
      <c r="BZ88" s="190">
        <v>0</v>
      </c>
      <c r="CA88" s="191"/>
      <c r="CC88" s="103"/>
      <c r="CD88" s="144"/>
      <c r="CE88" s="180"/>
      <c r="CG88" s="159"/>
      <c r="CH88" s="111" t="s">
        <v>18</v>
      </c>
      <c r="CI88" s="174"/>
      <c r="CJ88" s="155" t="s">
        <v>19</v>
      </c>
      <c r="CK88" s="141"/>
      <c r="CL88" s="155">
        <v>0</v>
      </c>
      <c r="CM88" s="141"/>
      <c r="CO88" s="103"/>
      <c r="CP88" s="144"/>
      <c r="CQ88" s="180"/>
      <c r="CS88" s="159"/>
      <c r="CT88" s="111" t="s">
        <v>18</v>
      </c>
      <c r="CU88" s="174"/>
      <c r="CV88" s="155" t="s">
        <v>19</v>
      </c>
      <c r="CW88" s="141"/>
      <c r="CX88" s="155">
        <v>0</v>
      </c>
      <c r="CY88" s="141"/>
      <c r="DA88" s="103"/>
      <c r="DB88" s="144"/>
      <c r="DC88" s="180"/>
      <c r="DD88" s="2"/>
      <c r="DE88" s="159"/>
      <c r="DF88" s="111" t="s">
        <v>18</v>
      </c>
      <c r="DG88" s="174"/>
      <c r="DH88" s="155" t="s">
        <v>19</v>
      </c>
      <c r="DI88" s="141"/>
      <c r="DJ88" s="190">
        <v>0</v>
      </c>
      <c r="DK88" s="191"/>
      <c r="DM88" s="103"/>
      <c r="DN88" s="144"/>
      <c r="DO88" s="180"/>
      <c r="DP88" s="2"/>
      <c r="DQ88" s="159"/>
      <c r="DR88" s="111" t="s">
        <v>18</v>
      </c>
      <c r="DS88" s="174"/>
      <c r="DT88" s="155" t="s">
        <v>19</v>
      </c>
      <c r="DU88" s="141"/>
      <c r="DV88" s="155">
        <v>0</v>
      </c>
      <c r="DW88" s="141"/>
      <c r="DY88" s="103"/>
      <c r="DZ88" s="144"/>
      <c r="EA88" s="180"/>
      <c r="EC88" s="159"/>
      <c r="ED88" s="111" t="s">
        <v>18</v>
      </c>
      <c r="EE88" s="174"/>
      <c r="EF88" s="155" t="s">
        <v>19</v>
      </c>
      <c r="EG88" s="141"/>
      <c r="EH88" s="155">
        <v>0</v>
      </c>
      <c r="EI88" s="141"/>
      <c r="EK88" s="103"/>
      <c r="EL88" s="144"/>
      <c r="EM88" s="180"/>
      <c r="EO88" s="233"/>
      <c r="EP88" s="111" t="s">
        <v>18</v>
      </c>
      <c r="EQ88" s="124"/>
      <c r="ER88" s="155" t="s">
        <v>19</v>
      </c>
      <c r="ES88" s="141"/>
      <c r="ET88" s="156">
        <f t="shared" si="6"/>
        <v>0</v>
      </c>
      <c r="EU88" s="157"/>
      <c r="EW88" s="123"/>
      <c r="EX88" s="237"/>
      <c r="EY88" s="139"/>
    </row>
    <row r="89" spans="1:155" ht="17.100000000000001" customHeight="1" thickBot="1" x14ac:dyDescent="0.25">
      <c r="A89" s="159"/>
      <c r="B89" s="125"/>
      <c r="C89" s="176"/>
      <c r="D89" s="177" t="s">
        <v>20</v>
      </c>
      <c r="E89" s="178"/>
      <c r="F89" s="192">
        <v>0</v>
      </c>
      <c r="G89" s="193"/>
      <c r="I89" s="167" t="s">
        <v>21</v>
      </c>
      <c r="J89" s="168"/>
      <c r="K89" s="172">
        <f>SUM(K81:K88)</f>
        <v>411</v>
      </c>
      <c r="M89" s="159"/>
      <c r="N89" s="125"/>
      <c r="O89" s="176"/>
      <c r="P89" s="177" t="s">
        <v>20</v>
      </c>
      <c r="Q89" s="178"/>
      <c r="R89" s="192">
        <v>0</v>
      </c>
      <c r="S89" s="193"/>
      <c r="U89" s="167" t="s">
        <v>21</v>
      </c>
      <c r="V89" s="168"/>
      <c r="W89" s="172">
        <f>SUM(W81:W88)</f>
        <v>411</v>
      </c>
      <c r="Y89" s="159"/>
      <c r="Z89" s="125"/>
      <c r="AA89" s="176"/>
      <c r="AB89" s="177" t="s">
        <v>20</v>
      </c>
      <c r="AC89" s="178"/>
      <c r="AD89" s="192">
        <v>0</v>
      </c>
      <c r="AE89" s="193"/>
      <c r="AG89" s="167" t="s">
        <v>21</v>
      </c>
      <c r="AH89" s="168"/>
      <c r="AI89" s="172">
        <f>SUM(AI81:AI88)</f>
        <v>416</v>
      </c>
      <c r="AK89" s="159"/>
      <c r="AL89" s="125"/>
      <c r="AM89" s="176"/>
      <c r="AN89" s="177" t="s">
        <v>20</v>
      </c>
      <c r="AO89" s="178"/>
      <c r="AP89" s="192">
        <v>0</v>
      </c>
      <c r="AQ89" s="193"/>
      <c r="AS89" s="167" t="s">
        <v>21</v>
      </c>
      <c r="AT89" s="168"/>
      <c r="AU89" s="172">
        <f>SUM(AU81:AU88)</f>
        <v>404</v>
      </c>
      <c r="AW89" s="159"/>
      <c r="AX89" s="125"/>
      <c r="AY89" s="176"/>
      <c r="AZ89" s="177" t="s">
        <v>20</v>
      </c>
      <c r="BA89" s="178"/>
      <c r="BB89" s="192">
        <v>6</v>
      </c>
      <c r="BC89" s="193"/>
      <c r="BE89" s="167" t="s">
        <v>21</v>
      </c>
      <c r="BF89" s="168"/>
      <c r="BG89" s="172">
        <f>SUM(BG81:BG88)</f>
        <v>420</v>
      </c>
      <c r="BI89" s="159"/>
      <c r="BJ89" s="125"/>
      <c r="BK89" s="176"/>
      <c r="BL89" s="177" t="s">
        <v>20</v>
      </c>
      <c r="BM89" s="178"/>
      <c r="BN89" s="177">
        <v>0</v>
      </c>
      <c r="BO89" s="178"/>
      <c r="BQ89" s="167" t="s">
        <v>21</v>
      </c>
      <c r="BR89" s="168"/>
      <c r="BS89" s="172">
        <f>SUM(BS81:BS88)</f>
        <v>0</v>
      </c>
      <c r="BU89" s="159"/>
      <c r="BV89" s="125"/>
      <c r="BW89" s="176"/>
      <c r="BX89" s="177" t="s">
        <v>20</v>
      </c>
      <c r="BY89" s="178"/>
      <c r="BZ89" s="192">
        <v>0</v>
      </c>
      <c r="CA89" s="193"/>
      <c r="CC89" s="167" t="s">
        <v>21</v>
      </c>
      <c r="CD89" s="168"/>
      <c r="CE89" s="172">
        <f>SUM(CE81:CE88)</f>
        <v>404</v>
      </c>
      <c r="CG89" s="159"/>
      <c r="CH89" s="125"/>
      <c r="CI89" s="176"/>
      <c r="CJ89" s="177" t="s">
        <v>20</v>
      </c>
      <c r="CK89" s="178"/>
      <c r="CL89" s="177">
        <v>0</v>
      </c>
      <c r="CM89" s="178"/>
      <c r="CO89" s="167" t="s">
        <v>21</v>
      </c>
      <c r="CP89" s="168"/>
      <c r="CQ89" s="172">
        <f>SUM(CQ81:CQ88)</f>
        <v>0</v>
      </c>
      <c r="CS89" s="159"/>
      <c r="CT89" s="125"/>
      <c r="CU89" s="176"/>
      <c r="CV89" s="177" t="s">
        <v>20</v>
      </c>
      <c r="CW89" s="178"/>
      <c r="CX89" s="177">
        <v>0</v>
      </c>
      <c r="CY89" s="178"/>
      <c r="DA89" s="167" t="s">
        <v>21</v>
      </c>
      <c r="DB89" s="168"/>
      <c r="DC89" s="172">
        <f>SUM(DC81:DC88)</f>
        <v>0</v>
      </c>
      <c r="DD89" s="2"/>
      <c r="DE89" s="159"/>
      <c r="DF89" s="125"/>
      <c r="DG89" s="176"/>
      <c r="DH89" s="177" t="s">
        <v>20</v>
      </c>
      <c r="DI89" s="178"/>
      <c r="DJ89" s="192">
        <v>0</v>
      </c>
      <c r="DK89" s="193"/>
      <c r="DM89" s="167" t="s">
        <v>21</v>
      </c>
      <c r="DN89" s="168"/>
      <c r="DO89" s="172">
        <f>SUM(DO81:DO88)</f>
        <v>411</v>
      </c>
      <c r="DP89" s="2"/>
      <c r="DQ89" s="159"/>
      <c r="DR89" s="125"/>
      <c r="DS89" s="176"/>
      <c r="DT89" s="177" t="s">
        <v>20</v>
      </c>
      <c r="DU89" s="178"/>
      <c r="DV89" s="177">
        <v>0</v>
      </c>
      <c r="DW89" s="178"/>
      <c r="DY89" s="167" t="s">
        <v>21</v>
      </c>
      <c r="DZ89" s="168"/>
      <c r="EA89" s="172">
        <f>SUM(EA81:EA88)</f>
        <v>0</v>
      </c>
      <c r="EC89" s="159"/>
      <c r="ED89" s="125"/>
      <c r="EE89" s="176"/>
      <c r="EF89" s="177" t="s">
        <v>20</v>
      </c>
      <c r="EG89" s="178"/>
      <c r="EH89" s="177">
        <v>0</v>
      </c>
      <c r="EI89" s="178"/>
      <c r="EK89" s="167" t="s">
        <v>21</v>
      </c>
      <c r="EL89" s="168"/>
      <c r="EM89" s="172">
        <f>SUM(EM81:EM88)</f>
        <v>0</v>
      </c>
      <c r="EO89" s="233"/>
      <c r="EP89" s="125"/>
      <c r="EQ89" s="126"/>
      <c r="ER89" s="177" t="s">
        <v>20</v>
      </c>
      <c r="ES89" s="178"/>
      <c r="ET89" s="156">
        <f t="shared" si="6"/>
        <v>6</v>
      </c>
      <c r="EU89" s="157"/>
      <c r="EW89" s="167" t="s">
        <v>21</v>
      </c>
      <c r="EX89" s="239"/>
      <c r="EY89" s="240">
        <f>SUM(EY81:EY88)</f>
        <v>2877</v>
      </c>
    </row>
    <row r="90" spans="1:155" ht="17.100000000000001" customHeight="1" thickTop="1" thickBot="1" x14ac:dyDescent="0.25">
      <c r="A90" s="159"/>
      <c r="B90" s="111" t="s">
        <v>22</v>
      </c>
      <c r="C90" s="174"/>
      <c r="D90" s="155" t="s">
        <v>23</v>
      </c>
      <c r="E90" s="141"/>
      <c r="F90" s="190">
        <v>99</v>
      </c>
      <c r="G90" s="191"/>
      <c r="I90" s="169"/>
      <c r="J90" s="168"/>
      <c r="K90" s="172"/>
      <c r="M90" s="159"/>
      <c r="N90" s="111" t="s">
        <v>22</v>
      </c>
      <c r="O90" s="174"/>
      <c r="P90" s="155" t="s">
        <v>23</v>
      </c>
      <c r="Q90" s="141"/>
      <c r="R90" s="190">
        <v>98</v>
      </c>
      <c r="S90" s="191"/>
      <c r="U90" s="169"/>
      <c r="V90" s="168"/>
      <c r="W90" s="172"/>
      <c r="Y90" s="159"/>
      <c r="Z90" s="111" t="s">
        <v>22</v>
      </c>
      <c r="AA90" s="174"/>
      <c r="AB90" s="155" t="s">
        <v>23</v>
      </c>
      <c r="AC90" s="141"/>
      <c r="AD90" s="190">
        <v>19</v>
      </c>
      <c r="AE90" s="191"/>
      <c r="AG90" s="169"/>
      <c r="AH90" s="168"/>
      <c r="AI90" s="172"/>
      <c r="AK90" s="159"/>
      <c r="AL90" s="111" t="s">
        <v>22</v>
      </c>
      <c r="AM90" s="174"/>
      <c r="AN90" s="155" t="s">
        <v>23</v>
      </c>
      <c r="AO90" s="141"/>
      <c r="AP90" s="190">
        <v>98</v>
      </c>
      <c r="AQ90" s="191"/>
      <c r="AS90" s="169"/>
      <c r="AT90" s="168"/>
      <c r="AU90" s="172"/>
      <c r="AW90" s="159"/>
      <c r="AX90" s="111" t="s">
        <v>22</v>
      </c>
      <c r="AY90" s="174"/>
      <c r="AZ90" s="155" t="s">
        <v>23</v>
      </c>
      <c r="BA90" s="141"/>
      <c r="BB90" s="190">
        <v>30</v>
      </c>
      <c r="BC90" s="191"/>
      <c r="BE90" s="169"/>
      <c r="BF90" s="168"/>
      <c r="BG90" s="172"/>
      <c r="BI90" s="159"/>
      <c r="BJ90" s="111" t="s">
        <v>22</v>
      </c>
      <c r="BK90" s="174"/>
      <c r="BL90" s="155" t="s">
        <v>23</v>
      </c>
      <c r="BM90" s="141"/>
      <c r="BN90" s="155">
        <v>0</v>
      </c>
      <c r="BO90" s="141"/>
      <c r="BQ90" s="169"/>
      <c r="BR90" s="168"/>
      <c r="BS90" s="172"/>
      <c r="BU90" s="159"/>
      <c r="BV90" s="111" t="s">
        <v>22</v>
      </c>
      <c r="BW90" s="174"/>
      <c r="BX90" s="155" t="s">
        <v>23</v>
      </c>
      <c r="BY90" s="141"/>
      <c r="BZ90" s="190">
        <v>98</v>
      </c>
      <c r="CA90" s="191"/>
      <c r="CC90" s="169"/>
      <c r="CD90" s="168"/>
      <c r="CE90" s="172"/>
      <c r="CG90" s="159"/>
      <c r="CH90" s="111" t="s">
        <v>22</v>
      </c>
      <c r="CI90" s="174"/>
      <c r="CJ90" s="155" t="s">
        <v>23</v>
      </c>
      <c r="CK90" s="141"/>
      <c r="CL90" s="155">
        <v>0</v>
      </c>
      <c r="CM90" s="141"/>
      <c r="CO90" s="169"/>
      <c r="CP90" s="168"/>
      <c r="CQ90" s="172"/>
      <c r="CS90" s="159"/>
      <c r="CT90" s="111" t="s">
        <v>22</v>
      </c>
      <c r="CU90" s="174"/>
      <c r="CV90" s="155" t="s">
        <v>23</v>
      </c>
      <c r="CW90" s="141"/>
      <c r="CX90" s="155">
        <v>0</v>
      </c>
      <c r="CY90" s="141"/>
      <c r="DA90" s="169"/>
      <c r="DB90" s="168"/>
      <c r="DC90" s="172"/>
      <c r="DD90" s="2"/>
      <c r="DE90" s="159"/>
      <c r="DF90" s="111" t="s">
        <v>22</v>
      </c>
      <c r="DG90" s="174"/>
      <c r="DH90" s="155" t="s">
        <v>23</v>
      </c>
      <c r="DI90" s="141"/>
      <c r="DJ90" s="190">
        <v>99</v>
      </c>
      <c r="DK90" s="191"/>
      <c r="DM90" s="169"/>
      <c r="DN90" s="168"/>
      <c r="DO90" s="172"/>
      <c r="DP90" s="2"/>
      <c r="DQ90" s="159"/>
      <c r="DR90" s="111" t="s">
        <v>22</v>
      </c>
      <c r="DS90" s="174"/>
      <c r="DT90" s="155" t="s">
        <v>23</v>
      </c>
      <c r="DU90" s="141"/>
      <c r="DV90" s="155">
        <v>0</v>
      </c>
      <c r="DW90" s="141"/>
      <c r="DY90" s="169"/>
      <c r="DZ90" s="168"/>
      <c r="EA90" s="172"/>
      <c r="EC90" s="159"/>
      <c r="ED90" s="111" t="s">
        <v>22</v>
      </c>
      <c r="EE90" s="174"/>
      <c r="EF90" s="155" t="s">
        <v>23</v>
      </c>
      <c r="EG90" s="141"/>
      <c r="EH90" s="155">
        <v>0</v>
      </c>
      <c r="EI90" s="141"/>
      <c r="EK90" s="169"/>
      <c r="EL90" s="168"/>
      <c r="EM90" s="172"/>
      <c r="EO90" s="233"/>
      <c r="EP90" s="111" t="s">
        <v>22</v>
      </c>
      <c r="EQ90" s="124"/>
      <c r="ER90" s="155" t="s">
        <v>23</v>
      </c>
      <c r="ES90" s="141"/>
      <c r="ET90" s="156">
        <f t="shared" si="6"/>
        <v>541</v>
      </c>
      <c r="EU90" s="157"/>
      <c r="EW90" s="169"/>
      <c r="EX90" s="168"/>
      <c r="EY90" s="172"/>
    </row>
    <row r="91" spans="1:155" ht="17.100000000000001" customHeight="1" thickBot="1" x14ac:dyDescent="0.25">
      <c r="A91" s="159"/>
      <c r="B91" s="113"/>
      <c r="C91" s="175"/>
      <c r="D91" s="154" t="s">
        <v>24</v>
      </c>
      <c r="E91" s="142"/>
      <c r="F91" s="182">
        <v>0</v>
      </c>
      <c r="G91" s="183"/>
      <c r="I91" s="170"/>
      <c r="J91" s="171"/>
      <c r="K91" s="173"/>
      <c r="M91" s="159"/>
      <c r="N91" s="113"/>
      <c r="O91" s="175"/>
      <c r="P91" s="154" t="s">
        <v>24</v>
      </c>
      <c r="Q91" s="142"/>
      <c r="R91" s="182">
        <v>0</v>
      </c>
      <c r="S91" s="183"/>
      <c r="U91" s="170"/>
      <c r="V91" s="171"/>
      <c r="W91" s="173"/>
      <c r="Y91" s="159"/>
      <c r="Z91" s="113"/>
      <c r="AA91" s="175"/>
      <c r="AB91" s="154" t="s">
        <v>24</v>
      </c>
      <c r="AC91" s="142"/>
      <c r="AD91" s="182">
        <v>22</v>
      </c>
      <c r="AE91" s="183"/>
      <c r="AG91" s="170"/>
      <c r="AH91" s="171"/>
      <c r="AI91" s="173"/>
      <c r="AK91" s="159"/>
      <c r="AL91" s="113"/>
      <c r="AM91" s="175"/>
      <c r="AN91" s="154" t="s">
        <v>24</v>
      </c>
      <c r="AO91" s="142"/>
      <c r="AP91" s="182">
        <v>0</v>
      </c>
      <c r="AQ91" s="183"/>
      <c r="AS91" s="170"/>
      <c r="AT91" s="171"/>
      <c r="AU91" s="173"/>
      <c r="AW91" s="159"/>
      <c r="AX91" s="113"/>
      <c r="AY91" s="175"/>
      <c r="AZ91" s="154" t="s">
        <v>24</v>
      </c>
      <c r="BA91" s="142"/>
      <c r="BB91" s="182">
        <v>36</v>
      </c>
      <c r="BC91" s="183"/>
      <c r="BE91" s="170"/>
      <c r="BF91" s="171"/>
      <c r="BG91" s="173"/>
      <c r="BI91" s="159"/>
      <c r="BJ91" s="113"/>
      <c r="BK91" s="175"/>
      <c r="BL91" s="154" t="s">
        <v>24</v>
      </c>
      <c r="BM91" s="142"/>
      <c r="BN91" s="154">
        <v>0</v>
      </c>
      <c r="BO91" s="142"/>
      <c r="BQ91" s="170"/>
      <c r="BR91" s="171"/>
      <c r="BS91" s="173"/>
      <c r="BU91" s="159"/>
      <c r="BV91" s="113"/>
      <c r="BW91" s="175"/>
      <c r="BX91" s="154" t="s">
        <v>24</v>
      </c>
      <c r="BY91" s="142"/>
      <c r="BZ91" s="182">
        <v>0</v>
      </c>
      <c r="CA91" s="183"/>
      <c r="CC91" s="170"/>
      <c r="CD91" s="171"/>
      <c r="CE91" s="173"/>
      <c r="CG91" s="159"/>
      <c r="CH91" s="113"/>
      <c r="CI91" s="175"/>
      <c r="CJ91" s="154" t="s">
        <v>24</v>
      </c>
      <c r="CK91" s="142"/>
      <c r="CL91" s="154">
        <v>0</v>
      </c>
      <c r="CM91" s="142"/>
      <c r="CO91" s="170"/>
      <c r="CP91" s="171"/>
      <c r="CQ91" s="173"/>
      <c r="CS91" s="159"/>
      <c r="CT91" s="113"/>
      <c r="CU91" s="175"/>
      <c r="CV91" s="154" t="s">
        <v>24</v>
      </c>
      <c r="CW91" s="142"/>
      <c r="CX91" s="154">
        <v>0</v>
      </c>
      <c r="CY91" s="142"/>
      <c r="DA91" s="170"/>
      <c r="DB91" s="171"/>
      <c r="DC91" s="173"/>
      <c r="DD91" s="2"/>
      <c r="DE91" s="159"/>
      <c r="DF91" s="113"/>
      <c r="DG91" s="175"/>
      <c r="DH91" s="154" t="s">
        <v>24</v>
      </c>
      <c r="DI91" s="142"/>
      <c r="DJ91" s="182">
        <v>0</v>
      </c>
      <c r="DK91" s="183"/>
      <c r="DM91" s="170"/>
      <c r="DN91" s="171"/>
      <c r="DO91" s="173"/>
      <c r="DP91" s="2"/>
      <c r="DQ91" s="159"/>
      <c r="DR91" s="113"/>
      <c r="DS91" s="175"/>
      <c r="DT91" s="154" t="s">
        <v>24</v>
      </c>
      <c r="DU91" s="142"/>
      <c r="DV91" s="154">
        <v>0</v>
      </c>
      <c r="DW91" s="142"/>
      <c r="DY91" s="170"/>
      <c r="DZ91" s="171"/>
      <c r="EA91" s="173"/>
      <c r="EC91" s="159"/>
      <c r="ED91" s="113"/>
      <c r="EE91" s="175"/>
      <c r="EF91" s="154" t="s">
        <v>24</v>
      </c>
      <c r="EG91" s="142"/>
      <c r="EH91" s="154">
        <v>0</v>
      </c>
      <c r="EI91" s="142"/>
      <c r="EK91" s="170"/>
      <c r="EL91" s="171"/>
      <c r="EM91" s="173"/>
      <c r="EO91" s="233"/>
      <c r="EP91" s="113"/>
      <c r="EQ91" s="112"/>
      <c r="ER91" s="154" t="s">
        <v>24</v>
      </c>
      <c r="ES91" s="142"/>
      <c r="ET91" s="156">
        <f t="shared" si="6"/>
        <v>58</v>
      </c>
      <c r="EU91" s="157"/>
      <c r="EW91" s="170"/>
      <c r="EX91" s="171"/>
      <c r="EY91" s="173"/>
    </row>
    <row r="92" spans="1:155" ht="17.100000000000001" customHeight="1" thickBot="1" x14ac:dyDescent="0.25">
      <c r="A92" s="159"/>
      <c r="B92" s="113"/>
      <c r="C92" s="175"/>
      <c r="D92" s="154" t="s">
        <v>25</v>
      </c>
      <c r="E92" s="142"/>
      <c r="F92" s="182">
        <v>102</v>
      </c>
      <c r="G92" s="183"/>
      <c r="I92" s="111" t="s">
        <v>26</v>
      </c>
      <c r="J92" s="124"/>
      <c r="K92" s="162">
        <v>411</v>
      </c>
      <c r="M92" s="159"/>
      <c r="N92" s="113"/>
      <c r="O92" s="175"/>
      <c r="P92" s="154" t="s">
        <v>25</v>
      </c>
      <c r="Q92" s="142"/>
      <c r="R92" s="182">
        <v>87</v>
      </c>
      <c r="S92" s="183"/>
      <c r="U92" s="111" t="s">
        <v>26</v>
      </c>
      <c r="V92" s="124"/>
      <c r="W92" s="162">
        <v>87</v>
      </c>
      <c r="Y92" s="159"/>
      <c r="Z92" s="113"/>
      <c r="AA92" s="175"/>
      <c r="AB92" s="154" t="s">
        <v>25</v>
      </c>
      <c r="AC92" s="142"/>
      <c r="AD92" s="182">
        <v>29</v>
      </c>
      <c r="AE92" s="183"/>
      <c r="AG92" s="111" t="s">
        <v>26</v>
      </c>
      <c r="AH92" s="124"/>
      <c r="AI92" s="162">
        <v>416</v>
      </c>
      <c r="AK92" s="159"/>
      <c r="AL92" s="113"/>
      <c r="AM92" s="175"/>
      <c r="AN92" s="154" t="s">
        <v>25</v>
      </c>
      <c r="AO92" s="142"/>
      <c r="AP92" s="182">
        <v>87</v>
      </c>
      <c r="AQ92" s="183"/>
      <c r="AS92" s="111" t="s">
        <v>26</v>
      </c>
      <c r="AT92" s="124"/>
      <c r="AU92" s="162">
        <v>404</v>
      </c>
      <c r="AW92" s="159"/>
      <c r="AX92" s="113"/>
      <c r="AY92" s="175"/>
      <c r="AZ92" s="154" t="s">
        <v>25</v>
      </c>
      <c r="BA92" s="142"/>
      <c r="BB92" s="182">
        <v>9</v>
      </c>
      <c r="BC92" s="183"/>
      <c r="BE92" s="111" t="s">
        <v>26</v>
      </c>
      <c r="BF92" s="124"/>
      <c r="BG92" s="162">
        <v>420</v>
      </c>
      <c r="BI92" s="159"/>
      <c r="BJ92" s="113"/>
      <c r="BK92" s="175"/>
      <c r="BL92" s="154" t="s">
        <v>25</v>
      </c>
      <c r="BM92" s="142"/>
      <c r="BN92" s="154">
        <v>0</v>
      </c>
      <c r="BO92" s="142"/>
      <c r="BQ92" s="111" t="s">
        <v>26</v>
      </c>
      <c r="BR92" s="124"/>
      <c r="BS92" s="162">
        <v>0</v>
      </c>
      <c r="BU92" s="159"/>
      <c r="BV92" s="113"/>
      <c r="BW92" s="175"/>
      <c r="BX92" s="154" t="s">
        <v>25</v>
      </c>
      <c r="BY92" s="142"/>
      <c r="BZ92" s="182">
        <v>87</v>
      </c>
      <c r="CA92" s="183"/>
      <c r="CC92" s="111" t="s">
        <v>26</v>
      </c>
      <c r="CD92" s="124"/>
      <c r="CE92" s="162">
        <v>404</v>
      </c>
      <c r="CG92" s="159"/>
      <c r="CH92" s="113"/>
      <c r="CI92" s="175"/>
      <c r="CJ92" s="154" t="s">
        <v>25</v>
      </c>
      <c r="CK92" s="142"/>
      <c r="CL92" s="154">
        <v>0</v>
      </c>
      <c r="CM92" s="142"/>
      <c r="CO92" s="111" t="s">
        <v>26</v>
      </c>
      <c r="CP92" s="124"/>
      <c r="CQ92" s="162">
        <v>0</v>
      </c>
      <c r="CS92" s="159"/>
      <c r="CT92" s="113"/>
      <c r="CU92" s="175"/>
      <c r="CV92" s="154" t="s">
        <v>25</v>
      </c>
      <c r="CW92" s="142"/>
      <c r="CX92" s="154">
        <v>0</v>
      </c>
      <c r="CY92" s="142"/>
      <c r="DA92" s="111" t="s">
        <v>26</v>
      </c>
      <c r="DB92" s="124"/>
      <c r="DC92" s="162">
        <v>0</v>
      </c>
      <c r="DD92" s="2"/>
      <c r="DE92" s="159"/>
      <c r="DF92" s="113"/>
      <c r="DG92" s="175"/>
      <c r="DH92" s="154" t="s">
        <v>25</v>
      </c>
      <c r="DI92" s="142"/>
      <c r="DJ92" s="182">
        <v>102</v>
      </c>
      <c r="DK92" s="183"/>
      <c r="DM92" s="111" t="s">
        <v>26</v>
      </c>
      <c r="DN92" s="124"/>
      <c r="DO92" s="162">
        <v>411</v>
      </c>
      <c r="DP92" s="2"/>
      <c r="DQ92" s="159"/>
      <c r="DR92" s="113"/>
      <c r="DS92" s="175"/>
      <c r="DT92" s="154" t="s">
        <v>25</v>
      </c>
      <c r="DU92" s="142"/>
      <c r="DV92" s="154">
        <v>0</v>
      </c>
      <c r="DW92" s="142"/>
      <c r="DY92" s="111" t="s">
        <v>26</v>
      </c>
      <c r="DZ92" s="124"/>
      <c r="EA92" s="162">
        <v>0</v>
      </c>
      <c r="EC92" s="159"/>
      <c r="ED92" s="113"/>
      <c r="EE92" s="175"/>
      <c r="EF92" s="154" t="s">
        <v>25</v>
      </c>
      <c r="EG92" s="142"/>
      <c r="EH92" s="154">
        <v>0</v>
      </c>
      <c r="EI92" s="142"/>
      <c r="EK92" s="111" t="s">
        <v>26</v>
      </c>
      <c r="EL92" s="124"/>
      <c r="EM92" s="162">
        <v>0</v>
      </c>
      <c r="EO92" s="233"/>
      <c r="EP92" s="113"/>
      <c r="EQ92" s="112"/>
      <c r="ER92" s="154" t="s">
        <v>25</v>
      </c>
      <c r="ES92" s="142"/>
      <c r="ET92" s="156">
        <f t="shared" si="6"/>
        <v>503</v>
      </c>
      <c r="EU92" s="157"/>
      <c r="EW92" s="111" t="s">
        <v>26</v>
      </c>
      <c r="EX92" s="124"/>
      <c r="EY92" s="162">
        <f>K92+W92+AI92+AU92+BG92+BS92+CE92+CQ92+DC92+DO92+EA92+EM92</f>
        <v>2553</v>
      </c>
    </row>
    <row r="93" spans="1:155" ht="17.100000000000001" customHeight="1" thickBot="1" x14ac:dyDescent="0.25">
      <c r="A93" s="159"/>
      <c r="B93" s="125"/>
      <c r="C93" s="176"/>
      <c r="D93" s="177" t="s">
        <v>27</v>
      </c>
      <c r="E93" s="178"/>
      <c r="F93" s="192">
        <v>0</v>
      </c>
      <c r="G93" s="193"/>
      <c r="I93" s="113"/>
      <c r="J93" s="112"/>
      <c r="K93" s="163"/>
      <c r="M93" s="159"/>
      <c r="N93" s="125"/>
      <c r="O93" s="176"/>
      <c r="P93" s="177" t="s">
        <v>27</v>
      </c>
      <c r="Q93" s="178"/>
      <c r="R93" s="192">
        <v>0</v>
      </c>
      <c r="S93" s="193"/>
      <c r="U93" s="113"/>
      <c r="V93" s="112"/>
      <c r="W93" s="163"/>
      <c r="Y93" s="159"/>
      <c r="Z93" s="125"/>
      <c r="AA93" s="176"/>
      <c r="AB93" s="177" t="s">
        <v>27</v>
      </c>
      <c r="AC93" s="178"/>
      <c r="AD93" s="192">
        <v>0</v>
      </c>
      <c r="AE93" s="193"/>
      <c r="AG93" s="113"/>
      <c r="AH93" s="112"/>
      <c r="AI93" s="163"/>
      <c r="AK93" s="159"/>
      <c r="AL93" s="125"/>
      <c r="AM93" s="176"/>
      <c r="AN93" s="177" t="s">
        <v>27</v>
      </c>
      <c r="AO93" s="178"/>
      <c r="AP93" s="192">
        <v>0</v>
      </c>
      <c r="AQ93" s="193"/>
      <c r="AS93" s="113"/>
      <c r="AT93" s="112"/>
      <c r="AU93" s="163"/>
      <c r="AW93" s="159"/>
      <c r="AX93" s="125"/>
      <c r="AY93" s="176"/>
      <c r="AZ93" s="177" t="s">
        <v>27</v>
      </c>
      <c r="BA93" s="178"/>
      <c r="BB93" s="192">
        <v>0</v>
      </c>
      <c r="BC93" s="193"/>
      <c r="BE93" s="113"/>
      <c r="BF93" s="112"/>
      <c r="BG93" s="163"/>
      <c r="BI93" s="159"/>
      <c r="BJ93" s="125"/>
      <c r="BK93" s="176"/>
      <c r="BL93" s="177" t="s">
        <v>27</v>
      </c>
      <c r="BM93" s="178"/>
      <c r="BN93" s="177">
        <v>0</v>
      </c>
      <c r="BO93" s="178"/>
      <c r="BQ93" s="113"/>
      <c r="BR93" s="112"/>
      <c r="BS93" s="163"/>
      <c r="BU93" s="159"/>
      <c r="BV93" s="125"/>
      <c r="BW93" s="176"/>
      <c r="BX93" s="177" t="s">
        <v>27</v>
      </c>
      <c r="BY93" s="178"/>
      <c r="BZ93" s="192">
        <v>0</v>
      </c>
      <c r="CA93" s="193"/>
      <c r="CC93" s="113"/>
      <c r="CD93" s="112"/>
      <c r="CE93" s="163"/>
      <c r="CG93" s="159"/>
      <c r="CH93" s="125"/>
      <c r="CI93" s="176"/>
      <c r="CJ93" s="177" t="s">
        <v>27</v>
      </c>
      <c r="CK93" s="178"/>
      <c r="CL93" s="177">
        <v>0</v>
      </c>
      <c r="CM93" s="178"/>
      <c r="CO93" s="113"/>
      <c r="CP93" s="112"/>
      <c r="CQ93" s="163"/>
      <c r="CS93" s="159"/>
      <c r="CT93" s="125"/>
      <c r="CU93" s="176"/>
      <c r="CV93" s="177" t="s">
        <v>27</v>
      </c>
      <c r="CW93" s="178"/>
      <c r="CX93" s="177">
        <v>0</v>
      </c>
      <c r="CY93" s="178"/>
      <c r="DA93" s="113"/>
      <c r="DB93" s="112"/>
      <c r="DC93" s="163"/>
      <c r="DD93" s="2"/>
      <c r="DE93" s="159"/>
      <c r="DF93" s="125"/>
      <c r="DG93" s="176"/>
      <c r="DH93" s="177" t="s">
        <v>27</v>
      </c>
      <c r="DI93" s="178"/>
      <c r="DJ93" s="192">
        <v>0</v>
      </c>
      <c r="DK93" s="193"/>
      <c r="DM93" s="113"/>
      <c r="DN93" s="112"/>
      <c r="DO93" s="163"/>
      <c r="DP93" s="2"/>
      <c r="DQ93" s="159"/>
      <c r="DR93" s="125"/>
      <c r="DS93" s="176"/>
      <c r="DT93" s="177" t="s">
        <v>27</v>
      </c>
      <c r="DU93" s="178"/>
      <c r="DV93" s="177">
        <v>0</v>
      </c>
      <c r="DW93" s="178"/>
      <c r="DY93" s="113"/>
      <c r="DZ93" s="112"/>
      <c r="EA93" s="163"/>
      <c r="EC93" s="159"/>
      <c r="ED93" s="125"/>
      <c r="EE93" s="176"/>
      <c r="EF93" s="177" t="s">
        <v>27</v>
      </c>
      <c r="EG93" s="178"/>
      <c r="EH93" s="177">
        <v>0</v>
      </c>
      <c r="EI93" s="178"/>
      <c r="EK93" s="113"/>
      <c r="EL93" s="112"/>
      <c r="EM93" s="163"/>
      <c r="EO93" s="233"/>
      <c r="EP93" s="125"/>
      <c r="EQ93" s="126"/>
      <c r="ER93" s="177" t="s">
        <v>27</v>
      </c>
      <c r="ES93" s="178"/>
      <c r="ET93" s="156">
        <f t="shared" si="6"/>
        <v>0</v>
      </c>
      <c r="EU93" s="157"/>
      <c r="EW93" s="113"/>
      <c r="EX93" s="112"/>
      <c r="EY93" s="163"/>
    </row>
    <row r="94" spans="1:155" ht="17.100000000000001" customHeight="1" thickTop="1" thickBot="1" x14ac:dyDescent="0.25">
      <c r="A94" s="159"/>
      <c r="B94" s="111" t="s">
        <v>28</v>
      </c>
      <c r="C94" s="174"/>
      <c r="D94" s="155" t="s">
        <v>29</v>
      </c>
      <c r="E94" s="141"/>
      <c r="F94" s="190">
        <v>0</v>
      </c>
      <c r="G94" s="191"/>
      <c r="I94" s="125"/>
      <c r="J94" s="126"/>
      <c r="K94" s="164"/>
      <c r="M94" s="159"/>
      <c r="N94" s="111" t="s">
        <v>28</v>
      </c>
      <c r="O94" s="174"/>
      <c r="P94" s="155" t="s">
        <v>29</v>
      </c>
      <c r="Q94" s="141"/>
      <c r="R94" s="190">
        <v>0</v>
      </c>
      <c r="S94" s="191"/>
      <c r="U94" s="125"/>
      <c r="V94" s="126"/>
      <c r="W94" s="164"/>
      <c r="Y94" s="159"/>
      <c r="Z94" s="111" t="s">
        <v>28</v>
      </c>
      <c r="AA94" s="174"/>
      <c r="AB94" s="155" t="s">
        <v>29</v>
      </c>
      <c r="AC94" s="141"/>
      <c r="AD94" s="190">
        <v>1</v>
      </c>
      <c r="AE94" s="191"/>
      <c r="AG94" s="125"/>
      <c r="AH94" s="126"/>
      <c r="AI94" s="164"/>
      <c r="AK94" s="159"/>
      <c r="AL94" s="111" t="s">
        <v>28</v>
      </c>
      <c r="AM94" s="174"/>
      <c r="AN94" s="155" t="s">
        <v>29</v>
      </c>
      <c r="AO94" s="141"/>
      <c r="AP94" s="190">
        <v>0</v>
      </c>
      <c r="AQ94" s="191"/>
      <c r="AS94" s="125"/>
      <c r="AT94" s="126"/>
      <c r="AU94" s="164"/>
      <c r="AW94" s="159"/>
      <c r="AX94" s="111" t="s">
        <v>28</v>
      </c>
      <c r="AY94" s="174"/>
      <c r="AZ94" s="155" t="s">
        <v>29</v>
      </c>
      <c r="BA94" s="141"/>
      <c r="BB94" s="190">
        <v>0</v>
      </c>
      <c r="BC94" s="191"/>
      <c r="BE94" s="125"/>
      <c r="BF94" s="126"/>
      <c r="BG94" s="164"/>
      <c r="BI94" s="159"/>
      <c r="BJ94" s="111" t="s">
        <v>28</v>
      </c>
      <c r="BK94" s="174"/>
      <c r="BL94" s="155" t="s">
        <v>29</v>
      </c>
      <c r="BM94" s="141"/>
      <c r="BN94" s="155">
        <v>0</v>
      </c>
      <c r="BO94" s="141"/>
      <c r="BQ94" s="125"/>
      <c r="BR94" s="126"/>
      <c r="BS94" s="164"/>
      <c r="BU94" s="159"/>
      <c r="BV94" s="111" t="s">
        <v>28</v>
      </c>
      <c r="BW94" s="174"/>
      <c r="BX94" s="155" t="s">
        <v>29</v>
      </c>
      <c r="BY94" s="141"/>
      <c r="BZ94" s="190">
        <v>0</v>
      </c>
      <c r="CA94" s="191"/>
      <c r="CC94" s="125"/>
      <c r="CD94" s="126"/>
      <c r="CE94" s="164"/>
      <c r="CG94" s="159"/>
      <c r="CH94" s="111" t="s">
        <v>28</v>
      </c>
      <c r="CI94" s="174"/>
      <c r="CJ94" s="155" t="s">
        <v>29</v>
      </c>
      <c r="CK94" s="141"/>
      <c r="CL94" s="155">
        <v>0</v>
      </c>
      <c r="CM94" s="141"/>
      <c r="CO94" s="125"/>
      <c r="CP94" s="126"/>
      <c r="CQ94" s="164"/>
      <c r="CS94" s="159"/>
      <c r="CT94" s="111" t="s">
        <v>28</v>
      </c>
      <c r="CU94" s="174"/>
      <c r="CV94" s="155" t="s">
        <v>29</v>
      </c>
      <c r="CW94" s="141"/>
      <c r="CX94" s="155">
        <v>0</v>
      </c>
      <c r="CY94" s="141"/>
      <c r="DA94" s="125"/>
      <c r="DB94" s="126"/>
      <c r="DC94" s="164"/>
      <c r="DD94" s="2"/>
      <c r="DE94" s="159"/>
      <c r="DF94" s="111" t="s">
        <v>28</v>
      </c>
      <c r="DG94" s="174"/>
      <c r="DH94" s="155" t="s">
        <v>29</v>
      </c>
      <c r="DI94" s="141"/>
      <c r="DJ94" s="190">
        <v>0</v>
      </c>
      <c r="DK94" s="191"/>
      <c r="DM94" s="125"/>
      <c r="DN94" s="126"/>
      <c r="DO94" s="164"/>
      <c r="DP94" s="2"/>
      <c r="DQ94" s="159"/>
      <c r="DR94" s="111" t="s">
        <v>28</v>
      </c>
      <c r="DS94" s="174"/>
      <c r="DT94" s="155" t="s">
        <v>29</v>
      </c>
      <c r="DU94" s="141"/>
      <c r="DV94" s="155">
        <v>0</v>
      </c>
      <c r="DW94" s="141"/>
      <c r="DY94" s="125"/>
      <c r="DZ94" s="126"/>
      <c r="EA94" s="164"/>
      <c r="EC94" s="159"/>
      <c r="ED94" s="111" t="s">
        <v>28</v>
      </c>
      <c r="EE94" s="174"/>
      <c r="EF94" s="155" t="s">
        <v>29</v>
      </c>
      <c r="EG94" s="141"/>
      <c r="EH94" s="155">
        <v>0</v>
      </c>
      <c r="EI94" s="141"/>
      <c r="EK94" s="125"/>
      <c r="EL94" s="126"/>
      <c r="EM94" s="164"/>
      <c r="EO94" s="233"/>
      <c r="EP94" s="111" t="s">
        <v>28</v>
      </c>
      <c r="EQ94" s="124"/>
      <c r="ER94" s="155" t="s">
        <v>29</v>
      </c>
      <c r="ES94" s="141"/>
      <c r="ET94" s="156">
        <f t="shared" si="6"/>
        <v>1</v>
      </c>
      <c r="EU94" s="157"/>
      <c r="EW94" s="125"/>
      <c r="EX94" s="126"/>
      <c r="EY94" s="164"/>
    </row>
    <row r="95" spans="1:155" ht="17.100000000000001" customHeight="1" thickBot="1" x14ac:dyDescent="0.25">
      <c r="A95" s="159"/>
      <c r="B95" s="113"/>
      <c r="C95" s="175"/>
      <c r="D95" s="154" t="s">
        <v>30</v>
      </c>
      <c r="E95" s="142"/>
      <c r="F95" s="182">
        <v>98</v>
      </c>
      <c r="G95" s="183"/>
      <c r="I95" s="111" t="s">
        <v>31</v>
      </c>
      <c r="J95" s="124"/>
      <c r="K95" s="162">
        <v>0</v>
      </c>
      <c r="M95" s="159"/>
      <c r="N95" s="113"/>
      <c r="O95" s="175"/>
      <c r="P95" s="154" t="s">
        <v>30</v>
      </c>
      <c r="Q95" s="142"/>
      <c r="R95" s="182">
        <v>53</v>
      </c>
      <c r="S95" s="183"/>
      <c r="U95" s="111" t="s">
        <v>31</v>
      </c>
      <c r="V95" s="124"/>
      <c r="W95" s="162">
        <v>0</v>
      </c>
      <c r="Y95" s="159"/>
      <c r="Z95" s="113"/>
      <c r="AA95" s="175"/>
      <c r="AB95" s="154" t="s">
        <v>30</v>
      </c>
      <c r="AC95" s="142"/>
      <c r="AD95" s="182">
        <v>0</v>
      </c>
      <c r="AE95" s="183"/>
      <c r="AG95" s="111" t="s">
        <v>31</v>
      </c>
      <c r="AH95" s="124"/>
      <c r="AI95" s="162">
        <v>0</v>
      </c>
      <c r="AK95" s="159"/>
      <c r="AL95" s="113"/>
      <c r="AM95" s="175"/>
      <c r="AN95" s="154" t="s">
        <v>30</v>
      </c>
      <c r="AO95" s="142"/>
      <c r="AP95" s="182">
        <v>53</v>
      </c>
      <c r="AQ95" s="183"/>
      <c r="AS95" s="111" t="s">
        <v>31</v>
      </c>
      <c r="AT95" s="124"/>
      <c r="AU95" s="162">
        <v>0</v>
      </c>
      <c r="AW95" s="159"/>
      <c r="AX95" s="113"/>
      <c r="AY95" s="175"/>
      <c r="AZ95" s="154" t="s">
        <v>30</v>
      </c>
      <c r="BA95" s="142"/>
      <c r="BB95" s="182">
        <v>0</v>
      </c>
      <c r="BC95" s="183"/>
      <c r="BE95" s="111" t="s">
        <v>31</v>
      </c>
      <c r="BF95" s="124"/>
      <c r="BG95" s="162">
        <v>0</v>
      </c>
      <c r="BI95" s="159"/>
      <c r="BJ95" s="113"/>
      <c r="BK95" s="175"/>
      <c r="BL95" s="154" t="s">
        <v>30</v>
      </c>
      <c r="BM95" s="142"/>
      <c r="BN95" s="154">
        <v>0</v>
      </c>
      <c r="BO95" s="142"/>
      <c r="BQ95" s="111" t="s">
        <v>31</v>
      </c>
      <c r="BR95" s="124"/>
      <c r="BS95" s="162">
        <v>0</v>
      </c>
      <c r="BU95" s="159"/>
      <c r="BV95" s="113"/>
      <c r="BW95" s="175"/>
      <c r="BX95" s="154" t="s">
        <v>30</v>
      </c>
      <c r="BY95" s="142"/>
      <c r="BZ95" s="182">
        <v>53</v>
      </c>
      <c r="CA95" s="183"/>
      <c r="CC95" s="111" t="s">
        <v>31</v>
      </c>
      <c r="CD95" s="124"/>
      <c r="CE95" s="162">
        <v>0</v>
      </c>
      <c r="CG95" s="159"/>
      <c r="CH95" s="113"/>
      <c r="CI95" s="175"/>
      <c r="CJ95" s="154" t="s">
        <v>30</v>
      </c>
      <c r="CK95" s="142"/>
      <c r="CL95" s="154">
        <v>0</v>
      </c>
      <c r="CM95" s="142"/>
      <c r="CO95" s="111" t="s">
        <v>31</v>
      </c>
      <c r="CP95" s="124"/>
      <c r="CQ95" s="162">
        <v>0</v>
      </c>
      <c r="CS95" s="159"/>
      <c r="CT95" s="113"/>
      <c r="CU95" s="175"/>
      <c r="CV95" s="154" t="s">
        <v>30</v>
      </c>
      <c r="CW95" s="142"/>
      <c r="CX95" s="154">
        <v>0</v>
      </c>
      <c r="CY95" s="142"/>
      <c r="DA95" s="111" t="s">
        <v>31</v>
      </c>
      <c r="DB95" s="124"/>
      <c r="DC95" s="162">
        <v>0</v>
      </c>
      <c r="DD95" s="2"/>
      <c r="DE95" s="159"/>
      <c r="DF95" s="113"/>
      <c r="DG95" s="175"/>
      <c r="DH95" s="154" t="s">
        <v>30</v>
      </c>
      <c r="DI95" s="142"/>
      <c r="DJ95" s="182">
        <v>98</v>
      </c>
      <c r="DK95" s="183"/>
      <c r="DM95" s="111" t="s">
        <v>31</v>
      </c>
      <c r="DN95" s="124"/>
      <c r="DO95" s="162">
        <v>0</v>
      </c>
      <c r="DP95" s="2"/>
      <c r="DQ95" s="159"/>
      <c r="DR95" s="113"/>
      <c r="DS95" s="175"/>
      <c r="DT95" s="154" t="s">
        <v>30</v>
      </c>
      <c r="DU95" s="142"/>
      <c r="DV95" s="154">
        <v>0</v>
      </c>
      <c r="DW95" s="142"/>
      <c r="DY95" s="111" t="s">
        <v>31</v>
      </c>
      <c r="DZ95" s="124"/>
      <c r="EA95" s="162">
        <v>0</v>
      </c>
      <c r="EC95" s="159"/>
      <c r="ED95" s="113"/>
      <c r="EE95" s="175"/>
      <c r="EF95" s="154" t="s">
        <v>30</v>
      </c>
      <c r="EG95" s="142"/>
      <c r="EH95" s="154">
        <v>0</v>
      </c>
      <c r="EI95" s="142"/>
      <c r="EK95" s="111" t="s">
        <v>31</v>
      </c>
      <c r="EL95" s="124"/>
      <c r="EM95" s="162">
        <v>0</v>
      </c>
      <c r="EO95" s="233"/>
      <c r="EP95" s="113"/>
      <c r="EQ95" s="112"/>
      <c r="ER95" s="154" t="s">
        <v>30</v>
      </c>
      <c r="ES95" s="142"/>
      <c r="ET95" s="156">
        <f t="shared" si="6"/>
        <v>355</v>
      </c>
      <c r="EU95" s="157"/>
      <c r="EW95" s="111" t="s">
        <v>31</v>
      </c>
      <c r="EX95" s="124"/>
      <c r="EY95" s="162">
        <f>K95+W95+AI95+AU95+BG95+BS95+CE95+CQ95+DC95+DO95+EA95+EM95</f>
        <v>0</v>
      </c>
    </row>
    <row r="96" spans="1:155" ht="17.100000000000001" customHeight="1" thickBot="1" x14ac:dyDescent="0.25">
      <c r="A96" s="159"/>
      <c r="B96" s="125"/>
      <c r="C96" s="176"/>
      <c r="D96" s="177" t="s">
        <v>32</v>
      </c>
      <c r="E96" s="178"/>
      <c r="F96" s="192">
        <v>0</v>
      </c>
      <c r="G96" s="193"/>
      <c r="I96" s="113"/>
      <c r="J96" s="112"/>
      <c r="K96" s="163"/>
      <c r="M96" s="159"/>
      <c r="N96" s="125"/>
      <c r="O96" s="176"/>
      <c r="P96" s="177" t="s">
        <v>32</v>
      </c>
      <c r="Q96" s="178"/>
      <c r="R96" s="192">
        <v>0</v>
      </c>
      <c r="S96" s="193"/>
      <c r="U96" s="113"/>
      <c r="V96" s="112"/>
      <c r="W96" s="163"/>
      <c r="Y96" s="159"/>
      <c r="Z96" s="125"/>
      <c r="AA96" s="176"/>
      <c r="AB96" s="177" t="s">
        <v>32</v>
      </c>
      <c r="AC96" s="178"/>
      <c r="AD96" s="192">
        <v>0</v>
      </c>
      <c r="AE96" s="193"/>
      <c r="AG96" s="113"/>
      <c r="AH96" s="112"/>
      <c r="AI96" s="163"/>
      <c r="AK96" s="159"/>
      <c r="AL96" s="125"/>
      <c r="AM96" s="176"/>
      <c r="AN96" s="177" t="s">
        <v>32</v>
      </c>
      <c r="AO96" s="178"/>
      <c r="AP96" s="192">
        <v>0</v>
      </c>
      <c r="AQ96" s="193"/>
      <c r="AS96" s="113"/>
      <c r="AT96" s="112"/>
      <c r="AU96" s="163"/>
      <c r="AW96" s="159"/>
      <c r="AX96" s="125"/>
      <c r="AY96" s="176"/>
      <c r="AZ96" s="177" t="s">
        <v>32</v>
      </c>
      <c r="BA96" s="178"/>
      <c r="BB96" s="192">
        <v>0</v>
      </c>
      <c r="BC96" s="193"/>
      <c r="BE96" s="113"/>
      <c r="BF96" s="112"/>
      <c r="BG96" s="163"/>
      <c r="BI96" s="159"/>
      <c r="BJ96" s="125"/>
      <c r="BK96" s="176"/>
      <c r="BL96" s="177" t="s">
        <v>32</v>
      </c>
      <c r="BM96" s="178"/>
      <c r="BN96" s="177">
        <v>0</v>
      </c>
      <c r="BO96" s="178"/>
      <c r="BQ96" s="113"/>
      <c r="BR96" s="112"/>
      <c r="BS96" s="163"/>
      <c r="BU96" s="159"/>
      <c r="BV96" s="125"/>
      <c r="BW96" s="176"/>
      <c r="BX96" s="177" t="s">
        <v>32</v>
      </c>
      <c r="BY96" s="178"/>
      <c r="BZ96" s="192">
        <v>0</v>
      </c>
      <c r="CA96" s="193"/>
      <c r="CC96" s="113"/>
      <c r="CD96" s="112"/>
      <c r="CE96" s="163"/>
      <c r="CG96" s="159"/>
      <c r="CH96" s="125"/>
      <c r="CI96" s="176"/>
      <c r="CJ96" s="177" t="s">
        <v>32</v>
      </c>
      <c r="CK96" s="178"/>
      <c r="CL96" s="177">
        <v>0</v>
      </c>
      <c r="CM96" s="178"/>
      <c r="CO96" s="113"/>
      <c r="CP96" s="112"/>
      <c r="CQ96" s="163"/>
      <c r="CS96" s="159"/>
      <c r="CT96" s="125"/>
      <c r="CU96" s="176"/>
      <c r="CV96" s="177" t="s">
        <v>32</v>
      </c>
      <c r="CW96" s="178"/>
      <c r="CX96" s="177">
        <v>0</v>
      </c>
      <c r="CY96" s="178"/>
      <c r="DA96" s="113"/>
      <c r="DB96" s="112"/>
      <c r="DC96" s="163"/>
      <c r="DD96" s="2"/>
      <c r="DE96" s="159"/>
      <c r="DF96" s="125"/>
      <c r="DG96" s="176"/>
      <c r="DH96" s="177" t="s">
        <v>32</v>
      </c>
      <c r="DI96" s="178"/>
      <c r="DJ96" s="192">
        <v>0</v>
      </c>
      <c r="DK96" s="193"/>
      <c r="DM96" s="113"/>
      <c r="DN96" s="112"/>
      <c r="DO96" s="163"/>
      <c r="DP96" s="2"/>
      <c r="DQ96" s="159"/>
      <c r="DR96" s="125"/>
      <c r="DS96" s="176"/>
      <c r="DT96" s="177" t="s">
        <v>32</v>
      </c>
      <c r="DU96" s="178"/>
      <c r="DV96" s="177">
        <v>0</v>
      </c>
      <c r="DW96" s="178"/>
      <c r="DY96" s="113"/>
      <c r="DZ96" s="112"/>
      <c r="EA96" s="163"/>
      <c r="EC96" s="159"/>
      <c r="ED96" s="125"/>
      <c r="EE96" s="176"/>
      <c r="EF96" s="177" t="s">
        <v>32</v>
      </c>
      <c r="EG96" s="178"/>
      <c r="EH96" s="177">
        <v>0</v>
      </c>
      <c r="EI96" s="178"/>
      <c r="EK96" s="113"/>
      <c r="EL96" s="112"/>
      <c r="EM96" s="163"/>
      <c r="EO96" s="233"/>
      <c r="EP96" s="125"/>
      <c r="EQ96" s="126"/>
      <c r="ER96" s="177" t="s">
        <v>32</v>
      </c>
      <c r="ES96" s="178"/>
      <c r="ET96" s="156">
        <f t="shared" si="6"/>
        <v>0</v>
      </c>
      <c r="EU96" s="157"/>
      <c r="EW96" s="113"/>
      <c r="EX96" s="112"/>
      <c r="EY96" s="163"/>
    </row>
    <row r="97" spans="1:155" ht="17.100000000000001" customHeight="1" thickTop="1" thickBot="1" x14ac:dyDescent="0.25">
      <c r="A97" s="159"/>
      <c r="B97" s="111" t="s">
        <v>33</v>
      </c>
      <c r="C97" s="174"/>
      <c r="D97" s="155" t="s">
        <v>34</v>
      </c>
      <c r="E97" s="141"/>
      <c r="F97" s="190">
        <v>100</v>
      </c>
      <c r="G97" s="191"/>
      <c r="I97" s="125"/>
      <c r="J97" s="126"/>
      <c r="K97" s="164"/>
      <c r="M97" s="159"/>
      <c r="N97" s="111" t="s">
        <v>33</v>
      </c>
      <c r="O97" s="174"/>
      <c r="P97" s="155" t="s">
        <v>34</v>
      </c>
      <c r="Q97" s="141"/>
      <c r="R97" s="190">
        <v>63</v>
      </c>
      <c r="S97" s="191"/>
      <c r="U97" s="125"/>
      <c r="V97" s="126"/>
      <c r="W97" s="164"/>
      <c r="Y97" s="159"/>
      <c r="Z97" s="111" t="s">
        <v>33</v>
      </c>
      <c r="AA97" s="174"/>
      <c r="AB97" s="155" t="s">
        <v>34</v>
      </c>
      <c r="AC97" s="141"/>
      <c r="AD97" s="190">
        <v>44</v>
      </c>
      <c r="AE97" s="191"/>
      <c r="AG97" s="125"/>
      <c r="AH97" s="126"/>
      <c r="AI97" s="164"/>
      <c r="AK97" s="159"/>
      <c r="AL97" s="111" t="s">
        <v>33</v>
      </c>
      <c r="AM97" s="174"/>
      <c r="AN97" s="155" t="s">
        <v>34</v>
      </c>
      <c r="AO97" s="141"/>
      <c r="AP97" s="190">
        <v>63</v>
      </c>
      <c r="AQ97" s="191"/>
      <c r="AS97" s="125"/>
      <c r="AT97" s="126"/>
      <c r="AU97" s="164"/>
      <c r="AW97" s="159"/>
      <c r="AX97" s="111" t="s">
        <v>33</v>
      </c>
      <c r="AY97" s="174"/>
      <c r="AZ97" s="155" t="s">
        <v>34</v>
      </c>
      <c r="BA97" s="141"/>
      <c r="BB97" s="190">
        <v>40</v>
      </c>
      <c r="BC97" s="191"/>
      <c r="BE97" s="125"/>
      <c r="BF97" s="126"/>
      <c r="BG97" s="164"/>
      <c r="BI97" s="159"/>
      <c r="BJ97" s="111" t="s">
        <v>33</v>
      </c>
      <c r="BK97" s="174"/>
      <c r="BL97" s="155" t="s">
        <v>34</v>
      </c>
      <c r="BM97" s="141"/>
      <c r="BN97" s="155">
        <v>0</v>
      </c>
      <c r="BO97" s="141"/>
      <c r="BQ97" s="125"/>
      <c r="BR97" s="126"/>
      <c r="BS97" s="164"/>
      <c r="BU97" s="159"/>
      <c r="BV97" s="111" t="s">
        <v>33</v>
      </c>
      <c r="BW97" s="174"/>
      <c r="BX97" s="155" t="s">
        <v>34</v>
      </c>
      <c r="BY97" s="141"/>
      <c r="BZ97" s="190">
        <v>63</v>
      </c>
      <c r="CA97" s="191"/>
      <c r="CC97" s="125"/>
      <c r="CD97" s="126"/>
      <c r="CE97" s="164"/>
      <c r="CG97" s="159"/>
      <c r="CH97" s="111" t="s">
        <v>33</v>
      </c>
      <c r="CI97" s="174"/>
      <c r="CJ97" s="155" t="s">
        <v>34</v>
      </c>
      <c r="CK97" s="141"/>
      <c r="CL97" s="155">
        <v>0</v>
      </c>
      <c r="CM97" s="141"/>
      <c r="CO97" s="125"/>
      <c r="CP97" s="126"/>
      <c r="CQ97" s="164"/>
      <c r="CS97" s="159"/>
      <c r="CT97" s="111" t="s">
        <v>33</v>
      </c>
      <c r="CU97" s="174"/>
      <c r="CV97" s="155" t="s">
        <v>34</v>
      </c>
      <c r="CW97" s="141"/>
      <c r="CX97" s="155">
        <v>0</v>
      </c>
      <c r="CY97" s="141"/>
      <c r="DA97" s="125"/>
      <c r="DB97" s="126"/>
      <c r="DC97" s="164"/>
      <c r="DD97" s="2"/>
      <c r="DE97" s="159"/>
      <c r="DF97" s="111" t="s">
        <v>33</v>
      </c>
      <c r="DG97" s="174"/>
      <c r="DH97" s="155" t="s">
        <v>34</v>
      </c>
      <c r="DI97" s="141"/>
      <c r="DJ97" s="190">
        <v>100</v>
      </c>
      <c r="DK97" s="191"/>
      <c r="DM97" s="125"/>
      <c r="DN97" s="126"/>
      <c r="DO97" s="164"/>
      <c r="DP97" s="2"/>
      <c r="DQ97" s="159"/>
      <c r="DR97" s="111" t="s">
        <v>33</v>
      </c>
      <c r="DS97" s="174"/>
      <c r="DT97" s="155" t="s">
        <v>34</v>
      </c>
      <c r="DU97" s="141"/>
      <c r="DV97" s="155">
        <v>0</v>
      </c>
      <c r="DW97" s="141"/>
      <c r="DY97" s="125"/>
      <c r="DZ97" s="126"/>
      <c r="EA97" s="164"/>
      <c r="EC97" s="159"/>
      <c r="ED97" s="111" t="s">
        <v>33</v>
      </c>
      <c r="EE97" s="174"/>
      <c r="EF97" s="155" t="s">
        <v>34</v>
      </c>
      <c r="EG97" s="141"/>
      <c r="EH97" s="155">
        <v>0</v>
      </c>
      <c r="EI97" s="141"/>
      <c r="EK97" s="125"/>
      <c r="EL97" s="126"/>
      <c r="EM97" s="164"/>
      <c r="EO97" s="233"/>
      <c r="EP97" s="111" t="s">
        <v>33</v>
      </c>
      <c r="EQ97" s="124"/>
      <c r="ER97" s="155" t="s">
        <v>34</v>
      </c>
      <c r="ES97" s="141"/>
      <c r="ET97" s="156">
        <f t="shared" si="6"/>
        <v>473</v>
      </c>
      <c r="EU97" s="157"/>
      <c r="EW97" s="125"/>
      <c r="EX97" s="126"/>
      <c r="EY97" s="164"/>
    </row>
    <row r="98" spans="1:155" ht="17.100000000000001" customHeight="1" thickBot="1" x14ac:dyDescent="0.25">
      <c r="A98" s="159"/>
      <c r="B98" s="125"/>
      <c r="C98" s="176"/>
      <c r="D98" s="177" t="s">
        <v>35</v>
      </c>
      <c r="E98" s="178"/>
      <c r="F98" s="192">
        <v>0</v>
      </c>
      <c r="G98" s="193"/>
      <c r="I98" s="7"/>
      <c r="J98" s="8"/>
      <c r="K98" s="9">
        <f>SUM(K92:K97)</f>
        <v>411</v>
      </c>
      <c r="M98" s="159"/>
      <c r="N98" s="125"/>
      <c r="O98" s="176"/>
      <c r="P98" s="177" t="s">
        <v>35</v>
      </c>
      <c r="Q98" s="178"/>
      <c r="R98" s="192">
        <v>0</v>
      </c>
      <c r="S98" s="193"/>
      <c r="U98" s="7"/>
      <c r="V98" s="8"/>
      <c r="W98" s="9">
        <f>SUM(W92:W97)</f>
        <v>87</v>
      </c>
      <c r="Y98" s="159"/>
      <c r="Z98" s="125"/>
      <c r="AA98" s="176"/>
      <c r="AB98" s="177" t="s">
        <v>35</v>
      </c>
      <c r="AC98" s="178"/>
      <c r="AD98" s="192">
        <v>0</v>
      </c>
      <c r="AE98" s="193"/>
      <c r="AG98" s="7"/>
      <c r="AH98" s="8"/>
      <c r="AI98" s="9">
        <f>SUM(AI92:AI97)</f>
        <v>416</v>
      </c>
      <c r="AK98" s="159"/>
      <c r="AL98" s="125"/>
      <c r="AM98" s="176"/>
      <c r="AN98" s="177" t="s">
        <v>35</v>
      </c>
      <c r="AO98" s="178"/>
      <c r="AP98" s="192">
        <v>0</v>
      </c>
      <c r="AQ98" s="193"/>
      <c r="AS98" s="7"/>
      <c r="AT98" s="8"/>
      <c r="AU98" s="9">
        <v>404</v>
      </c>
      <c r="AW98" s="159"/>
      <c r="AX98" s="125"/>
      <c r="AY98" s="176"/>
      <c r="AZ98" s="177" t="s">
        <v>35</v>
      </c>
      <c r="BA98" s="178"/>
      <c r="BB98" s="192">
        <v>0</v>
      </c>
      <c r="BC98" s="193"/>
      <c r="BE98" s="7"/>
      <c r="BF98" s="8"/>
      <c r="BG98" s="9">
        <f>SUM(BG92:BG97)</f>
        <v>420</v>
      </c>
      <c r="BI98" s="159"/>
      <c r="BJ98" s="125"/>
      <c r="BK98" s="176"/>
      <c r="BL98" s="177" t="s">
        <v>35</v>
      </c>
      <c r="BM98" s="178"/>
      <c r="BN98" s="177">
        <v>0</v>
      </c>
      <c r="BO98" s="178"/>
      <c r="BQ98" s="7"/>
      <c r="BR98" s="8"/>
      <c r="BS98" s="9">
        <f>SUM(BS92:BS97)</f>
        <v>0</v>
      </c>
      <c r="BU98" s="159"/>
      <c r="BV98" s="125"/>
      <c r="BW98" s="176"/>
      <c r="BX98" s="177" t="s">
        <v>35</v>
      </c>
      <c r="BY98" s="178"/>
      <c r="BZ98" s="192">
        <v>0</v>
      </c>
      <c r="CA98" s="193"/>
      <c r="CC98" s="7"/>
      <c r="CD98" s="8"/>
      <c r="CE98" s="9">
        <f>SUM(CE92:CE97)</f>
        <v>404</v>
      </c>
      <c r="CG98" s="159"/>
      <c r="CH98" s="125"/>
      <c r="CI98" s="176"/>
      <c r="CJ98" s="177" t="s">
        <v>35</v>
      </c>
      <c r="CK98" s="178"/>
      <c r="CL98" s="177">
        <v>0</v>
      </c>
      <c r="CM98" s="178"/>
      <c r="CO98" s="7"/>
      <c r="CP98" s="8"/>
      <c r="CQ98" s="9">
        <f>SUM(CQ92:CQ97)</f>
        <v>0</v>
      </c>
      <c r="CS98" s="159"/>
      <c r="CT98" s="125"/>
      <c r="CU98" s="176"/>
      <c r="CV98" s="177" t="s">
        <v>35</v>
      </c>
      <c r="CW98" s="178"/>
      <c r="CX98" s="177">
        <v>0</v>
      </c>
      <c r="CY98" s="178"/>
      <c r="DA98" s="7"/>
      <c r="DB98" s="8"/>
      <c r="DC98" s="9">
        <f>SUM(DC92:DC97)</f>
        <v>0</v>
      </c>
      <c r="DD98" s="2"/>
      <c r="DE98" s="159"/>
      <c r="DF98" s="125"/>
      <c r="DG98" s="176"/>
      <c r="DH98" s="177" t="s">
        <v>35</v>
      </c>
      <c r="DI98" s="178"/>
      <c r="DJ98" s="192">
        <v>0</v>
      </c>
      <c r="DK98" s="193"/>
      <c r="DM98" s="7"/>
      <c r="DN98" s="8"/>
      <c r="DO98" s="9">
        <f>SUM(DO92:DO97)</f>
        <v>411</v>
      </c>
      <c r="DP98" s="2"/>
      <c r="DQ98" s="159"/>
      <c r="DR98" s="125"/>
      <c r="DS98" s="176"/>
      <c r="DT98" s="177" t="s">
        <v>35</v>
      </c>
      <c r="DU98" s="178"/>
      <c r="DV98" s="177">
        <v>0</v>
      </c>
      <c r="DW98" s="178"/>
      <c r="DY98" s="7"/>
      <c r="DZ98" s="8"/>
      <c r="EA98" s="9">
        <f>SUM(EA92:EA97)</f>
        <v>0</v>
      </c>
      <c r="EC98" s="159"/>
      <c r="ED98" s="125"/>
      <c r="EE98" s="176"/>
      <c r="EF98" s="177" t="s">
        <v>35</v>
      </c>
      <c r="EG98" s="178"/>
      <c r="EH98" s="177">
        <v>0</v>
      </c>
      <c r="EI98" s="178"/>
      <c r="EK98" s="7"/>
      <c r="EL98" s="8"/>
      <c r="EM98" s="9">
        <f>SUM(EM92:EM97)</f>
        <v>0</v>
      </c>
      <c r="EO98" s="233"/>
      <c r="EP98" s="125"/>
      <c r="EQ98" s="126"/>
      <c r="ER98" s="177" t="s">
        <v>35</v>
      </c>
      <c r="ES98" s="178"/>
      <c r="ET98" s="156">
        <f t="shared" si="6"/>
        <v>0</v>
      </c>
      <c r="EU98" s="157"/>
      <c r="EW98" s="7"/>
      <c r="EX98" s="8"/>
      <c r="EY98" s="9">
        <f>SUM(EY92:EY97)</f>
        <v>2553</v>
      </c>
    </row>
    <row r="99" spans="1:155" ht="17.100000000000001" customHeight="1" thickTop="1" thickBot="1" x14ac:dyDescent="0.25">
      <c r="A99" s="160"/>
      <c r="B99" s="102" t="s">
        <v>36</v>
      </c>
      <c r="C99" s="148"/>
      <c r="D99" s="148"/>
      <c r="E99" s="128"/>
      <c r="F99" s="184">
        <v>0</v>
      </c>
      <c r="G99" s="185"/>
      <c r="I99" s="111" t="s">
        <v>37</v>
      </c>
      <c r="J99" s="124"/>
      <c r="K99" s="162">
        <v>186</v>
      </c>
      <c r="M99" s="160"/>
      <c r="N99" s="102" t="s">
        <v>36</v>
      </c>
      <c r="O99" s="148"/>
      <c r="P99" s="148"/>
      <c r="Q99" s="128"/>
      <c r="R99" s="184">
        <v>0</v>
      </c>
      <c r="S99" s="185"/>
      <c r="U99" s="111" t="s">
        <v>37</v>
      </c>
      <c r="V99" s="124"/>
      <c r="W99" s="162">
        <v>400</v>
      </c>
      <c r="Y99" s="160"/>
      <c r="Z99" s="102" t="s">
        <v>36</v>
      </c>
      <c r="AA99" s="148"/>
      <c r="AB99" s="148"/>
      <c r="AC99" s="128"/>
      <c r="AD99" s="184">
        <v>0</v>
      </c>
      <c r="AE99" s="185"/>
      <c r="AG99" s="111" t="s">
        <v>37</v>
      </c>
      <c r="AH99" s="124"/>
      <c r="AI99" s="162">
        <v>0</v>
      </c>
      <c r="AK99" s="160"/>
      <c r="AL99" s="102" t="s">
        <v>36</v>
      </c>
      <c r="AM99" s="148"/>
      <c r="AN99" s="148"/>
      <c r="AO99" s="128"/>
      <c r="AP99" s="184">
        <v>0</v>
      </c>
      <c r="AQ99" s="185"/>
      <c r="AS99" s="111" t="s">
        <v>37</v>
      </c>
      <c r="AT99" s="124"/>
      <c r="AU99" s="162">
        <v>204</v>
      </c>
      <c r="AW99" s="160"/>
      <c r="AX99" s="102" t="s">
        <v>36</v>
      </c>
      <c r="AY99" s="148"/>
      <c r="AZ99" s="148"/>
      <c r="BA99" s="128"/>
      <c r="BB99" s="184">
        <v>0</v>
      </c>
      <c r="BC99" s="185"/>
      <c r="BE99" s="111" t="s">
        <v>37</v>
      </c>
      <c r="BF99" s="124"/>
      <c r="BG99" s="162">
        <v>0</v>
      </c>
      <c r="BI99" s="160"/>
      <c r="BJ99" s="102" t="s">
        <v>36</v>
      </c>
      <c r="BK99" s="148"/>
      <c r="BL99" s="148"/>
      <c r="BM99" s="128"/>
      <c r="BN99" s="156">
        <v>0</v>
      </c>
      <c r="BO99" s="157"/>
      <c r="BQ99" s="111" t="s">
        <v>37</v>
      </c>
      <c r="BR99" s="124"/>
      <c r="BS99" s="162">
        <v>0</v>
      </c>
      <c r="BU99" s="160"/>
      <c r="BV99" s="102" t="s">
        <v>36</v>
      </c>
      <c r="BW99" s="148"/>
      <c r="BX99" s="148"/>
      <c r="BY99" s="128"/>
      <c r="BZ99" s="184">
        <v>0</v>
      </c>
      <c r="CA99" s="185"/>
      <c r="CC99" s="111" t="s">
        <v>37</v>
      </c>
      <c r="CD99" s="124"/>
      <c r="CE99" s="162">
        <v>109</v>
      </c>
      <c r="CG99" s="160"/>
      <c r="CH99" s="102" t="s">
        <v>36</v>
      </c>
      <c r="CI99" s="148"/>
      <c r="CJ99" s="148"/>
      <c r="CK99" s="128"/>
      <c r="CL99" s="156">
        <v>0</v>
      </c>
      <c r="CM99" s="157"/>
      <c r="CO99" s="111" t="s">
        <v>37</v>
      </c>
      <c r="CP99" s="124"/>
      <c r="CQ99" s="162">
        <v>0</v>
      </c>
      <c r="CS99" s="160"/>
      <c r="CT99" s="102" t="s">
        <v>36</v>
      </c>
      <c r="CU99" s="148"/>
      <c r="CV99" s="148"/>
      <c r="CW99" s="128"/>
      <c r="CX99" s="156">
        <v>0</v>
      </c>
      <c r="CY99" s="157"/>
      <c r="DA99" s="111" t="s">
        <v>37</v>
      </c>
      <c r="DB99" s="124"/>
      <c r="DC99" s="162">
        <v>0</v>
      </c>
      <c r="DD99" s="2"/>
      <c r="DE99" s="160"/>
      <c r="DF99" s="102" t="s">
        <v>36</v>
      </c>
      <c r="DG99" s="148"/>
      <c r="DH99" s="148"/>
      <c r="DI99" s="128"/>
      <c r="DJ99" s="184">
        <v>0</v>
      </c>
      <c r="DK99" s="185"/>
      <c r="DM99" s="111" t="s">
        <v>37</v>
      </c>
      <c r="DN99" s="124"/>
      <c r="DO99" s="162">
        <v>186</v>
      </c>
      <c r="DP99" s="2"/>
      <c r="DQ99" s="160"/>
      <c r="DR99" s="102" t="s">
        <v>36</v>
      </c>
      <c r="DS99" s="148"/>
      <c r="DT99" s="148"/>
      <c r="DU99" s="128"/>
      <c r="DV99" s="156">
        <v>0</v>
      </c>
      <c r="DW99" s="157"/>
      <c r="DY99" s="111" t="s">
        <v>37</v>
      </c>
      <c r="DZ99" s="124"/>
      <c r="EA99" s="162">
        <v>0</v>
      </c>
      <c r="EC99" s="160"/>
      <c r="ED99" s="102" t="s">
        <v>36</v>
      </c>
      <c r="EE99" s="148"/>
      <c r="EF99" s="148"/>
      <c r="EG99" s="128"/>
      <c r="EH99" s="156">
        <v>0</v>
      </c>
      <c r="EI99" s="157"/>
      <c r="EK99" s="111" t="s">
        <v>37</v>
      </c>
      <c r="EL99" s="124"/>
      <c r="EM99" s="162">
        <v>0</v>
      </c>
      <c r="EO99" s="234"/>
      <c r="EP99" s="156" t="s">
        <v>36</v>
      </c>
      <c r="EQ99" s="187"/>
      <c r="ER99" s="187"/>
      <c r="ES99" s="157"/>
      <c r="ET99" s="156">
        <f t="shared" si="6"/>
        <v>0</v>
      </c>
      <c r="EU99" s="157"/>
      <c r="EW99" s="111" t="s">
        <v>37</v>
      </c>
      <c r="EX99" s="124"/>
      <c r="EY99" s="162">
        <f>K99+W99+AI99+AU99+BG99+BS99+CE99+CQ99+DC99+DO99+EA99+EM99</f>
        <v>1085</v>
      </c>
    </row>
    <row r="100" spans="1:155" ht="17.100000000000001" customHeight="1" thickTop="1" thickBot="1" x14ac:dyDescent="0.25">
      <c r="A100" s="111" t="s">
        <v>38</v>
      </c>
      <c r="B100" s="174"/>
      <c r="C100" s="124"/>
      <c r="D100" s="155" t="s">
        <v>39</v>
      </c>
      <c r="E100" s="161"/>
      <c r="F100" s="190">
        <v>411</v>
      </c>
      <c r="G100" s="191"/>
      <c r="I100" s="113"/>
      <c r="J100" s="112"/>
      <c r="K100" s="163"/>
      <c r="M100" s="111" t="s">
        <v>38</v>
      </c>
      <c r="N100" s="174"/>
      <c r="O100" s="124"/>
      <c r="P100" s="155" t="s">
        <v>39</v>
      </c>
      <c r="Q100" s="161"/>
      <c r="R100" s="190">
        <v>400</v>
      </c>
      <c r="S100" s="191"/>
      <c r="U100" s="113"/>
      <c r="V100" s="112"/>
      <c r="W100" s="163"/>
      <c r="Y100" s="111" t="s">
        <v>38</v>
      </c>
      <c r="Z100" s="174"/>
      <c r="AA100" s="124"/>
      <c r="AB100" s="155" t="s">
        <v>39</v>
      </c>
      <c r="AC100" s="161"/>
      <c r="AD100" s="190">
        <v>315</v>
      </c>
      <c r="AE100" s="191"/>
      <c r="AG100" s="113"/>
      <c r="AH100" s="112"/>
      <c r="AI100" s="163"/>
      <c r="AK100" s="111" t="s">
        <v>38</v>
      </c>
      <c r="AL100" s="174"/>
      <c r="AM100" s="124"/>
      <c r="AN100" s="155" t="s">
        <v>39</v>
      </c>
      <c r="AO100" s="161"/>
      <c r="AP100" s="190">
        <v>400</v>
      </c>
      <c r="AQ100" s="191"/>
      <c r="AS100" s="113"/>
      <c r="AT100" s="112"/>
      <c r="AU100" s="163"/>
      <c r="AW100" s="111" t="s">
        <v>38</v>
      </c>
      <c r="AX100" s="174"/>
      <c r="AY100" s="124"/>
      <c r="AZ100" s="155" t="s">
        <v>39</v>
      </c>
      <c r="BA100" s="161"/>
      <c r="BB100" s="190">
        <v>400</v>
      </c>
      <c r="BC100" s="191"/>
      <c r="BE100" s="113"/>
      <c r="BF100" s="112"/>
      <c r="BG100" s="163"/>
      <c r="BI100" s="111" t="s">
        <v>38</v>
      </c>
      <c r="BJ100" s="174"/>
      <c r="BK100" s="124"/>
      <c r="BL100" s="155" t="s">
        <v>39</v>
      </c>
      <c r="BM100" s="161"/>
      <c r="BN100" s="155">
        <v>0</v>
      </c>
      <c r="BO100" s="141"/>
      <c r="BQ100" s="113"/>
      <c r="BR100" s="112"/>
      <c r="BS100" s="163"/>
      <c r="BU100" s="111" t="s">
        <v>38</v>
      </c>
      <c r="BV100" s="174"/>
      <c r="BW100" s="124"/>
      <c r="BX100" s="155" t="s">
        <v>39</v>
      </c>
      <c r="BY100" s="161"/>
      <c r="BZ100" s="190">
        <v>400</v>
      </c>
      <c r="CA100" s="191"/>
      <c r="CC100" s="113"/>
      <c r="CD100" s="112"/>
      <c r="CE100" s="163"/>
      <c r="CG100" s="111" t="s">
        <v>38</v>
      </c>
      <c r="CH100" s="174"/>
      <c r="CI100" s="124"/>
      <c r="CJ100" s="155" t="s">
        <v>39</v>
      </c>
      <c r="CK100" s="161"/>
      <c r="CL100" s="155">
        <v>0</v>
      </c>
      <c r="CM100" s="141"/>
      <c r="CO100" s="113"/>
      <c r="CP100" s="112"/>
      <c r="CQ100" s="163"/>
      <c r="CS100" s="111" t="s">
        <v>38</v>
      </c>
      <c r="CT100" s="174"/>
      <c r="CU100" s="124"/>
      <c r="CV100" s="155" t="s">
        <v>39</v>
      </c>
      <c r="CW100" s="161"/>
      <c r="CX100" s="155">
        <v>0</v>
      </c>
      <c r="CY100" s="141"/>
      <c r="DA100" s="113"/>
      <c r="DB100" s="112"/>
      <c r="DC100" s="163"/>
      <c r="DD100" s="2"/>
      <c r="DE100" s="111" t="s">
        <v>38</v>
      </c>
      <c r="DF100" s="174"/>
      <c r="DG100" s="124"/>
      <c r="DH100" s="155" t="s">
        <v>39</v>
      </c>
      <c r="DI100" s="161"/>
      <c r="DJ100" s="190">
        <v>411</v>
      </c>
      <c r="DK100" s="191"/>
      <c r="DM100" s="113"/>
      <c r="DN100" s="112"/>
      <c r="DO100" s="163"/>
      <c r="DP100" s="2"/>
      <c r="DQ100" s="111" t="s">
        <v>38</v>
      </c>
      <c r="DR100" s="174"/>
      <c r="DS100" s="124"/>
      <c r="DT100" s="155" t="s">
        <v>39</v>
      </c>
      <c r="DU100" s="161"/>
      <c r="DV100" s="155">
        <v>0</v>
      </c>
      <c r="DW100" s="141"/>
      <c r="DY100" s="113"/>
      <c r="DZ100" s="112"/>
      <c r="EA100" s="163"/>
      <c r="EC100" s="111" t="s">
        <v>38</v>
      </c>
      <c r="ED100" s="174"/>
      <c r="EE100" s="124"/>
      <c r="EF100" s="155" t="s">
        <v>39</v>
      </c>
      <c r="EG100" s="161"/>
      <c r="EH100" s="155">
        <v>0</v>
      </c>
      <c r="EI100" s="141"/>
      <c r="EK100" s="113"/>
      <c r="EL100" s="112"/>
      <c r="EM100" s="163"/>
      <c r="EO100" s="111" t="s">
        <v>38</v>
      </c>
      <c r="EP100" s="174"/>
      <c r="EQ100" s="124"/>
      <c r="ER100" s="155" t="s">
        <v>39</v>
      </c>
      <c r="ES100" s="141"/>
      <c r="ET100" s="156">
        <f t="shared" si="6"/>
        <v>2737</v>
      </c>
      <c r="EU100" s="157"/>
      <c r="EW100" s="113"/>
      <c r="EX100" s="112"/>
      <c r="EY100" s="163"/>
    </row>
    <row r="101" spans="1:155" ht="17.100000000000001" customHeight="1" thickBot="1" x14ac:dyDescent="0.25">
      <c r="A101" s="113"/>
      <c r="B101" s="175"/>
      <c r="C101" s="112"/>
      <c r="D101" s="154" t="s">
        <v>40</v>
      </c>
      <c r="E101" s="181"/>
      <c r="F101" s="182">
        <v>0</v>
      </c>
      <c r="G101" s="183"/>
      <c r="I101" s="125"/>
      <c r="J101" s="126"/>
      <c r="K101" s="164"/>
      <c r="M101" s="113"/>
      <c r="N101" s="175"/>
      <c r="O101" s="112"/>
      <c r="P101" s="154" t="s">
        <v>40</v>
      </c>
      <c r="Q101" s="181"/>
      <c r="R101" s="182">
        <v>0</v>
      </c>
      <c r="S101" s="183"/>
      <c r="U101" s="125"/>
      <c r="V101" s="126"/>
      <c r="W101" s="164"/>
      <c r="Y101" s="113"/>
      <c r="Z101" s="175"/>
      <c r="AA101" s="112"/>
      <c r="AB101" s="154" t="s">
        <v>40</v>
      </c>
      <c r="AC101" s="181"/>
      <c r="AD101" s="182">
        <v>0</v>
      </c>
      <c r="AE101" s="183"/>
      <c r="AG101" s="125"/>
      <c r="AH101" s="126"/>
      <c r="AI101" s="164"/>
      <c r="AK101" s="113"/>
      <c r="AL101" s="175"/>
      <c r="AM101" s="112"/>
      <c r="AN101" s="154" t="s">
        <v>40</v>
      </c>
      <c r="AO101" s="181"/>
      <c r="AP101" s="182">
        <v>0</v>
      </c>
      <c r="AQ101" s="183"/>
      <c r="AS101" s="125"/>
      <c r="AT101" s="126"/>
      <c r="AU101" s="164"/>
      <c r="AW101" s="113"/>
      <c r="AX101" s="175"/>
      <c r="AY101" s="112"/>
      <c r="AZ101" s="154" t="s">
        <v>40</v>
      </c>
      <c r="BA101" s="181"/>
      <c r="BB101" s="182">
        <v>0</v>
      </c>
      <c r="BC101" s="183"/>
      <c r="BE101" s="125"/>
      <c r="BF101" s="126"/>
      <c r="BG101" s="164"/>
      <c r="BI101" s="113"/>
      <c r="BJ101" s="175"/>
      <c r="BK101" s="112"/>
      <c r="BL101" s="154" t="s">
        <v>40</v>
      </c>
      <c r="BM101" s="181"/>
      <c r="BN101" s="154">
        <v>0</v>
      </c>
      <c r="BO101" s="142"/>
      <c r="BQ101" s="125"/>
      <c r="BR101" s="126"/>
      <c r="BS101" s="164"/>
      <c r="BU101" s="113"/>
      <c r="BV101" s="175"/>
      <c r="BW101" s="112"/>
      <c r="BX101" s="154" t="s">
        <v>40</v>
      </c>
      <c r="BY101" s="181"/>
      <c r="BZ101" s="182">
        <v>0</v>
      </c>
      <c r="CA101" s="183"/>
      <c r="CC101" s="125"/>
      <c r="CD101" s="126"/>
      <c r="CE101" s="164"/>
      <c r="CG101" s="113"/>
      <c r="CH101" s="175"/>
      <c r="CI101" s="112"/>
      <c r="CJ101" s="154" t="s">
        <v>40</v>
      </c>
      <c r="CK101" s="181"/>
      <c r="CL101" s="154">
        <v>0</v>
      </c>
      <c r="CM101" s="142"/>
      <c r="CO101" s="125"/>
      <c r="CP101" s="126"/>
      <c r="CQ101" s="164"/>
      <c r="CS101" s="113"/>
      <c r="CT101" s="175"/>
      <c r="CU101" s="112"/>
      <c r="CV101" s="154" t="s">
        <v>40</v>
      </c>
      <c r="CW101" s="181"/>
      <c r="CX101" s="154">
        <v>0</v>
      </c>
      <c r="CY101" s="142"/>
      <c r="DA101" s="125"/>
      <c r="DB101" s="126"/>
      <c r="DC101" s="164"/>
      <c r="DD101" s="2"/>
      <c r="DE101" s="113"/>
      <c r="DF101" s="175"/>
      <c r="DG101" s="112"/>
      <c r="DH101" s="154" t="s">
        <v>40</v>
      </c>
      <c r="DI101" s="181"/>
      <c r="DJ101" s="182">
        <v>0</v>
      </c>
      <c r="DK101" s="183"/>
      <c r="DM101" s="125"/>
      <c r="DN101" s="126"/>
      <c r="DO101" s="164"/>
      <c r="DP101" s="2"/>
      <c r="DQ101" s="113"/>
      <c r="DR101" s="175"/>
      <c r="DS101" s="112"/>
      <c r="DT101" s="154" t="s">
        <v>40</v>
      </c>
      <c r="DU101" s="181"/>
      <c r="DV101" s="154">
        <v>0</v>
      </c>
      <c r="DW101" s="142"/>
      <c r="DY101" s="125"/>
      <c r="DZ101" s="126"/>
      <c r="EA101" s="164"/>
      <c r="EC101" s="113"/>
      <c r="ED101" s="175"/>
      <c r="EE101" s="112"/>
      <c r="EF101" s="154" t="s">
        <v>40</v>
      </c>
      <c r="EG101" s="181"/>
      <c r="EH101" s="154">
        <v>0</v>
      </c>
      <c r="EI101" s="142"/>
      <c r="EK101" s="125"/>
      <c r="EL101" s="126"/>
      <c r="EM101" s="164"/>
      <c r="EO101" s="113"/>
      <c r="EP101" s="175"/>
      <c r="EQ101" s="112"/>
      <c r="ER101" s="154" t="s">
        <v>40</v>
      </c>
      <c r="ES101" s="142"/>
      <c r="ET101" s="156">
        <f t="shared" si="6"/>
        <v>0</v>
      </c>
      <c r="EU101" s="157"/>
      <c r="EW101" s="125"/>
      <c r="EX101" s="126"/>
      <c r="EY101" s="164"/>
    </row>
    <row r="102" spans="1:155" ht="17.100000000000001" customHeight="1" thickBot="1" x14ac:dyDescent="0.25">
      <c r="A102" s="113"/>
      <c r="B102" s="175"/>
      <c r="C102" s="112"/>
      <c r="D102" s="154" t="s">
        <v>41</v>
      </c>
      <c r="E102" s="181"/>
      <c r="F102" s="182">
        <v>0</v>
      </c>
      <c r="G102" s="183"/>
      <c r="I102" s="111" t="s">
        <v>20</v>
      </c>
      <c r="J102" s="124"/>
      <c r="K102" s="162">
        <v>225</v>
      </c>
      <c r="M102" s="113"/>
      <c r="N102" s="175"/>
      <c r="O102" s="112"/>
      <c r="P102" s="154" t="s">
        <v>41</v>
      </c>
      <c r="Q102" s="181"/>
      <c r="R102" s="182">
        <v>0</v>
      </c>
      <c r="S102" s="183"/>
      <c r="U102" s="111" t="s">
        <v>20</v>
      </c>
      <c r="V102" s="124"/>
      <c r="W102" s="162">
        <v>29</v>
      </c>
      <c r="Y102" s="113"/>
      <c r="Z102" s="175"/>
      <c r="AA102" s="112"/>
      <c r="AB102" s="154" t="s">
        <v>41</v>
      </c>
      <c r="AC102" s="181"/>
      <c r="AD102" s="182">
        <v>115</v>
      </c>
      <c r="AE102" s="183"/>
      <c r="AG102" s="111" t="s">
        <v>20</v>
      </c>
      <c r="AH102" s="124"/>
      <c r="AI102" s="162">
        <v>0</v>
      </c>
      <c r="AK102" s="113"/>
      <c r="AL102" s="175"/>
      <c r="AM102" s="112"/>
      <c r="AN102" s="154" t="s">
        <v>41</v>
      </c>
      <c r="AO102" s="181"/>
      <c r="AP102" s="182">
        <v>0</v>
      </c>
      <c r="AQ102" s="183"/>
      <c r="AS102" s="111" t="s">
        <v>20</v>
      </c>
      <c r="AT102" s="124"/>
      <c r="AU102" s="162">
        <v>200</v>
      </c>
      <c r="AW102" s="113"/>
      <c r="AX102" s="175"/>
      <c r="AY102" s="112"/>
      <c r="AZ102" s="154" t="s">
        <v>41</v>
      </c>
      <c r="BA102" s="181"/>
      <c r="BB102" s="182">
        <v>109</v>
      </c>
      <c r="BC102" s="183"/>
      <c r="BE102" s="111" t="s">
        <v>20</v>
      </c>
      <c r="BF102" s="124"/>
      <c r="BG102" s="162">
        <v>0</v>
      </c>
      <c r="BI102" s="113"/>
      <c r="BJ102" s="175"/>
      <c r="BK102" s="112"/>
      <c r="BL102" s="154" t="s">
        <v>41</v>
      </c>
      <c r="BM102" s="181"/>
      <c r="BN102" s="154">
        <v>0</v>
      </c>
      <c r="BO102" s="142"/>
      <c r="BQ102" s="111" t="s">
        <v>20</v>
      </c>
      <c r="BR102" s="124"/>
      <c r="BS102" s="162">
        <v>0</v>
      </c>
      <c r="BU102" s="113"/>
      <c r="BV102" s="175"/>
      <c r="BW102" s="112"/>
      <c r="BX102" s="154" t="s">
        <v>41</v>
      </c>
      <c r="BY102" s="181"/>
      <c r="BZ102" s="182">
        <v>0</v>
      </c>
      <c r="CA102" s="183"/>
      <c r="CC102" s="111" t="s">
        <v>20</v>
      </c>
      <c r="CD102" s="124"/>
      <c r="CE102" s="162">
        <v>188</v>
      </c>
      <c r="CG102" s="113"/>
      <c r="CH102" s="175"/>
      <c r="CI102" s="112"/>
      <c r="CJ102" s="154" t="s">
        <v>41</v>
      </c>
      <c r="CK102" s="181"/>
      <c r="CL102" s="154">
        <v>0</v>
      </c>
      <c r="CM102" s="142"/>
      <c r="CO102" s="111" t="s">
        <v>20</v>
      </c>
      <c r="CP102" s="124"/>
      <c r="CQ102" s="162">
        <v>0</v>
      </c>
      <c r="CS102" s="113"/>
      <c r="CT102" s="175"/>
      <c r="CU102" s="112"/>
      <c r="CV102" s="154" t="s">
        <v>41</v>
      </c>
      <c r="CW102" s="181"/>
      <c r="CX102" s="154">
        <v>0</v>
      </c>
      <c r="CY102" s="142"/>
      <c r="DA102" s="111" t="s">
        <v>20</v>
      </c>
      <c r="DB102" s="124"/>
      <c r="DC102" s="162">
        <v>0</v>
      </c>
      <c r="DD102" s="2"/>
      <c r="DE102" s="113"/>
      <c r="DF102" s="175"/>
      <c r="DG102" s="112"/>
      <c r="DH102" s="154" t="s">
        <v>41</v>
      </c>
      <c r="DI102" s="181"/>
      <c r="DJ102" s="182">
        <v>0</v>
      </c>
      <c r="DK102" s="183"/>
      <c r="DM102" s="111" t="s">
        <v>20</v>
      </c>
      <c r="DN102" s="124"/>
      <c r="DO102" s="162">
        <v>225</v>
      </c>
      <c r="DP102" s="2"/>
      <c r="DQ102" s="113"/>
      <c r="DR102" s="175"/>
      <c r="DS102" s="112"/>
      <c r="DT102" s="154" t="s">
        <v>41</v>
      </c>
      <c r="DU102" s="181"/>
      <c r="DV102" s="154">
        <v>0</v>
      </c>
      <c r="DW102" s="142"/>
      <c r="DY102" s="111" t="s">
        <v>20</v>
      </c>
      <c r="DZ102" s="124"/>
      <c r="EA102" s="162">
        <v>0</v>
      </c>
      <c r="EC102" s="113"/>
      <c r="ED102" s="175"/>
      <c r="EE102" s="112"/>
      <c r="EF102" s="154" t="s">
        <v>41</v>
      </c>
      <c r="EG102" s="181"/>
      <c r="EH102" s="154">
        <v>0</v>
      </c>
      <c r="EI102" s="142"/>
      <c r="EK102" s="111" t="s">
        <v>20</v>
      </c>
      <c r="EL102" s="124"/>
      <c r="EM102" s="162">
        <v>0</v>
      </c>
      <c r="EO102" s="113"/>
      <c r="EP102" s="175"/>
      <c r="EQ102" s="112"/>
      <c r="ER102" s="154" t="s">
        <v>41</v>
      </c>
      <c r="ES102" s="142"/>
      <c r="ET102" s="156">
        <f t="shared" si="6"/>
        <v>224</v>
      </c>
      <c r="EU102" s="157"/>
      <c r="EW102" s="111" t="s">
        <v>20</v>
      </c>
      <c r="EX102" s="124"/>
      <c r="EY102" s="162">
        <f>K102+W102+AI102+AU102+BG102+BS102+CE102+CQ102+DC102+DO102+EA102+EM102</f>
        <v>867</v>
      </c>
    </row>
    <row r="103" spans="1:155" ht="17.100000000000001" customHeight="1" thickBot="1" x14ac:dyDescent="0.25">
      <c r="A103" s="125"/>
      <c r="B103" s="175"/>
      <c r="C103" s="112"/>
      <c r="D103" s="188" t="s">
        <v>42</v>
      </c>
      <c r="E103" s="189"/>
      <c r="F103" s="192">
        <v>0</v>
      </c>
      <c r="G103" s="193"/>
      <c r="I103" s="113"/>
      <c r="J103" s="112"/>
      <c r="K103" s="163"/>
      <c r="M103" s="125"/>
      <c r="N103" s="175"/>
      <c r="O103" s="112"/>
      <c r="P103" s="188" t="s">
        <v>42</v>
      </c>
      <c r="Q103" s="189"/>
      <c r="R103" s="192">
        <v>29</v>
      </c>
      <c r="S103" s="193"/>
      <c r="U103" s="113"/>
      <c r="V103" s="112"/>
      <c r="W103" s="163"/>
      <c r="Y103" s="125"/>
      <c r="Z103" s="175"/>
      <c r="AA103" s="112"/>
      <c r="AB103" s="188" t="s">
        <v>42</v>
      </c>
      <c r="AC103" s="189"/>
      <c r="AD103" s="192">
        <v>0</v>
      </c>
      <c r="AE103" s="193"/>
      <c r="AG103" s="113"/>
      <c r="AH103" s="112"/>
      <c r="AI103" s="163"/>
      <c r="AK103" s="125"/>
      <c r="AL103" s="175"/>
      <c r="AM103" s="112"/>
      <c r="AN103" s="188" t="s">
        <v>42</v>
      </c>
      <c r="AO103" s="189"/>
      <c r="AP103" s="192">
        <v>29</v>
      </c>
      <c r="AQ103" s="193"/>
      <c r="AS103" s="113"/>
      <c r="AT103" s="112"/>
      <c r="AU103" s="163"/>
      <c r="AW103" s="125"/>
      <c r="AX103" s="175"/>
      <c r="AY103" s="112"/>
      <c r="AZ103" s="188" t="s">
        <v>42</v>
      </c>
      <c r="BA103" s="189"/>
      <c r="BB103" s="192">
        <v>0</v>
      </c>
      <c r="BC103" s="193"/>
      <c r="BE103" s="113"/>
      <c r="BF103" s="112"/>
      <c r="BG103" s="163"/>
      <c r="BI103" s="125"/>
      <c r="BJ103" s="175"/>
      <c r="BK103" s="112"/>
      <c r="BL103" s="188" t="s">
        <v>42</v>
      </c>
      <c r="BM103" s="189"/>
      <c r="BN103" s="188">
        <v>0</v>
      </c>
      <c r="BO103" s="194"/>
      <c r="BQ103" s="113"/>
      <c r="BR103" s="112"/>
      <c r="BS103" s="163"/>
      <c r="BU103" s="125"/>
      <c r="BV103" s="175"/>
      <c r="BW103" s="112"/>
      <c r="BX103" s="188" t="s">
        <v>42</v>
      </c>
      <c r="BY103" s="189"/>
      <c r="BZ103" s="192">
        <v>29</v>
      </c>
      <c r="CA103" s="193"/>
      <c r="CC103" s="113"/>
      <c r="CD103" s="112"/>
      <c r="CE103" s="163"/>
      <c r="CG103" s="125"/>
      <c r="CH103" s="175"/>
      <c r="CI103" s="112"/>
      <c r="CJ103" s="188" t="s">
        <v>42</v>
      </c>
      <c r="CK103" s="189"/>
      <c r="CL103" s="188">
        <v>0</v>
      </c>
      <c r="CM103" s="194"/>
      <c r="CO103" s="113"/>
      <c r="CP103" s="112"/>
      <c r="CQ103" s="163"/>
      <c r="CS103" s="125"/>
      <c r="CT103" s="175"/>
      <c r="CU103" s="112"/>
      <c r="CV103" s="188" t="s">
        <v>42</v>
      </c>
      <c r="CW103" s="189"/>
      <c r="CX103" s="188">
        <v>0</v>
      </c>
      <c r="CY103" s="194"/>
      <c r="DA103" s="113"/>
      <c r="DB103" s="112"/>
      <c r="DC103" s="163"/>
      <c r="DD103" s="2"/>
      <c r="DE103" s="125"/>
      <c r="DF103" s="175"/>
      <c r="DG103" s="112"/>
      <c r="DH103" s="188" t="s">
        <v>42</v>
      </c>
      <c r="DI103" s="189"/>
      <c r="DJ103" s="192">
        <v>0</v>
      </c>
      <c r="DK103" s="193"/>
      <c r="DM103" s="113"/>
      <c r="DN103" s="112"/>
      <c r="DO103" s="163"/>
      <c r="DP103" s="2"/>
      <c r="DQ103" s="125"/>
      <c r="DR103" s="175"/>
      <c r="DS103" s="112"/>
      <c r="DT103" s="188" t="s">
        <v>42</v>
      </c>
      <c r="DU103" s="189"/>
      <c r="DV103" s="188">
        <v>0</v>
      </c>
      <c r="DW103" s="194"/>
      <c r="DY103" s="113"/>
      <c r="DZ103" s="112"/>
      <c r="EA103" s="163"/>
      <c r="EC103" s="125"/>
      <c r="ED103" s="175"/>
      <c r="EE103" s="112"/>
      <c r="EF103" s="188" t="s">
        <v>42</v>
      </c>
      <c r="EG103" s="189"/>
      <c r="EH103" s="188">
        <v>0</v>
      </c>
      <c r="EI103" s="194"/>
      <c r="EK103" s="113"/>
      <c r="EL103" s="112"/>
      <c r="EM103" s="163"/>
      <c r="EO103" s="125"/>
      <c r="EP103" s="176"/>
      <c r="EQ103" s="126"/>
      <c r="ER103" s="177" t="s">
        <v>42</v>
      </c>
      <c r="ES103" s="178"/>
      <c r="ET103" s="156">
        <f t="shared" si="6"/>
        <v>87</v>
      </c>
      <c r="EU103" s="157"/>
      <c r="EW103" s="113"/>
      <c r="EX103" s="112"/>
      <c r="EY103" s="163"/>
    </row>
    <row r="104" spans="1:155" ht="17.100000000000001" customHeight="1" thickBot="1" x14ac:dyDescent="0.25">
      <c r="A104" s="111" t="s">
        <v>43</v>
      </c>
      <c r="B104" s="61">
        <f>1</f>
        <v>1</v>
      </c>
      <c r="C104" s="62">
        <v>2</v>
      </c>
      <c r="D104" s="62">
        <v>3</v>
      </c>
      <c r="E104" s="62">
        <v>4</v>
      </c>
      <c r="F104" s="62">
        <v>5</v>
      </c>
      <c r="G104" s="80">
        <v>6</v>
      </c>
      <c r="I104" s="125"/>
      <c r="J104" s="126"/>
      <c r="K104" s="164"/>
      <c r="M104" s="111" t="s">
        <v>43</v>
      </c>
      <c r="N104" s="61">
        <f>1</f>
        <v>1</v>
      </c>
      <c r="O104" s="62">
        <v>2</v>
      </c>
      <c r="P104" s="62">
        <v>3</v>
      </c>
      <c r="Q104" s="62">
        <v>4</v>
      </c>
      <c r="R104" s="62">
        <v>5</v>
      </c>
      <c r="S104" s="80">
        <v>6</v>
      </c>
      <c r="U104" s="125"/>
      <c r="V104" s="126"/>
      <c r="W104" s="164"/>
      <c r="Y104" s="111" t="s">
        <v>43</v>
      </c>
      <c r="Z104" s="61">
        <f>1</f>
        <v>1</v>
      </c>
      <c r="AA104" s="62">
        <v>2</v>
      </c>
      <c r="AB104" s="62">
        <v>3</v>
      </c>
      <c r="AC104" s="62">
        <v>4</v>
      </c>
      <c r="AD104" s="62">
        <v>5</v>
      </c>
      <c r="AE104" s="80">
        <v>6</v>
      </c>
      <c r="AG104" s="125"/>
      <c r="AH104" s="126"/>
      <c r="AI104" s="164"/>
      <c r="AK104" s="111" t="s">
        <v>43</v>
      </c>
      <c r="AL104" s="61">
        <f>1</f>
        <v>1</v>
      </c>
      <c r="AM104" s="62">
        <v>2</v>
      </c>
      <c r="AN104" s="62">
        <v>3</v>
      </c>
      <c r="AO104" s="62">
        <v>4</v>
      </c>
      <c r="AP104" s="62">
        <v>5</v>
      </c>
      <c r="AQ104" s="80">
        <v>6</v>
      </c>
      <c r="AS104" s="125"/>
      <c r="AT104" s="126"/>
      <c r="AU104" s="164"/>
      <c r="AW104" s="111" t="s">
        <v>43</v>
      </c>
      <c r="AX104" s="61">
        <f>1</f>
        <v>1</v>
      </c>
      <c r="AY104" s="62">
        <v>2</v>
      </c>
      <c r="AZ104" s="62">
        <v>3</v>
      </c>
      <c r="BA104" s="62">
        <v>4</v>
      </c>
      <c r="BB104" s="62">
        <v>5</v>
      </c>
      <c r="BC104" s="80">
        <v>6</v>
      </c>
      <c r="BE104" s="125"/>
      <c r="BF104" s="126"/>
      <c r="BG104" s="164"/>
      <c r="BI104" s="111" t="s">
        <v>43</v>
      </c>
      <c r="BJ104" s="61">
        <f>1</f>
        <v>1</v>
      </c>
      <c r="BK104" s="62">
        <v>2</v>
      </c>
      <c r="BL104" s="62">
        <v>3</v>
      </c>
      <c r="BM104" s="62">
        <v>4</v>
      </c>
      <c r="BN104" s="62">
        <v>5</v>
      </c>
      <c r="BO104" s="80">
        <v>6</v>
      </c>
      <c r="BQ104" s="125"/>
      <c r="BR104" s="126"/>
      <c r="BS104" s="164"/>
      <c r="BU104" s="111" t="s">
        <v>43</v>
      </c>
      <c r="BV104" s="61">
        <f>1</f>
        <v>1</v>
      </c>
      <c r="BW104" s="62">
        <v>2</v>
      </c>
      <c r="BX104" s="62">
        <v>3</v>
      </c>
      <c r="BY104" s="62">
        <v>4</v>
      </c>
      <c r="BZ104" s="62">
        <v>5</v>
      </c>
      <c r="CA104" s="80">
        <v>6</v>
      </c>
      <c r="CC104" s="125"/>
      <c r="CD104" s="126"/>
      <c r="CE104" s="164"/>
      <c r="CG104" s="111" t="s">
        <v>43</v>
      </c>
      <c r="CH104" s="61">
        <f>1</f>
        <v>1</v>
      </c>
      <c r="CI104" s="62">
        <v>2</v>
      </c>
      <c r="CJ104" s="62">
        <v>3</v>
      </c>
      <c r="CK104" s="62">
        <v>4</v>
      </c>
      <c r="CL104" s="62">
        <v>5</v>
      </c>
      <c r="CM104" s="80">
        <v>6</v>
      </c>
      <c r="CO104" s="125"/>
      <c r="CP104" s="126"/>
      <c r="CQ104" s="164"/>
      <c r="CS104" s="111" t="s">
        <v>43</v>
      </c>
      <c r="CT104" s="61">
        <f>1</f>
        <v>1</v>
      </c>
      <c r="CU104" s="62">
        <v>2</v>
      </c>
      <c r="CV104" s="62">
        <v>3</v>
      </c>
      <c r="CW104" s="62">
        <v>4</v>
      </c>
      <c r="CX104" s="62">
        <v>5</v>
      </c>
      <c r="CY104" s="80">
        <v>6</v>
      </c>
      <c r="DA104" s="125"/>
      <c r="DB104" s="126"/>
      <c r="DC104" s="164"/>
      <c r="DD104" s="2"/>
      <c r="DE104" s="111" t="s">
        <v>43</v>
      </c>
      <c r="DF104" s="61">
        <f>1</f>
        <v>1</v>
      </c>
      <c r="DG104" s="62">
        <v>2</v>
      </c>
      <c r="DH104" s="62">
        <v>3</v>
      </c>
      <c r="DI104" s="62">
        <v>4</v>
      </c>
      <c r="DJ104" s="62">
        <v>5</v>
      </c>
      <c r="DK104" s="80">
        <v>6</v>
      </c>
      <c r="DM104" s="125"/>
      <c r="DN104" s="126"/>
      <c r="DO104" s="164"/>
      <c r="DP104" s="2"/>
      <c r="DQ104" s="111" t="s">
        <v>43</v>
      </c>
      <c r="DR104" s="61">
        <f>1</f>
        <v>1</v>
      </c>
      <c r="DS104" s="62">
        <v>2</v>
      </c>
      <c r="DT104" s="62">
        <v>3</v>
      </c>
      <c r="DU104" s="62">
        <v>4</v>
      </c>
      <c r="DV104" s="62">
        <v>5</v>
      </c>
      <c r="DW104" s="80">
        <v>6</v>
      </c>
      <c r="DY104" s="125"/>
      <c r="DZ104" s="126"/>
      <c r="EA104" s="164"/>
      <c r="EC104" s="111" t="s">
        <v>43</v>
      </c>
      <c r="ED104" s="61">
        <f>1</f>
        <v>1</v>
      </c>
      <c r="EE104" s="62">
        <v>2</v>
      </c>
      <c r="EF104" s="62">
        <v>3</v>
      </c>
      <c r="EG104" s="62">
        <v>4</v>
      </c>
      <c r="EH104" s="62">
        <v>5</v>
      </c>
      <c r="EI104" s="80">
        <v>6</v>
      </c>
      <c r="EK104" s="125"/>
      <c r="EL104" s="126"/>
      <c r="EM104" s="164"/>
      <c r="EO104" s="229" t="s">
        <v>43</v>
      </c>
      <c r="EP104" s="61">
        <f>1</f>
        <v>1</v>
      </c>
      <c r="EQ104" s="62">
        <v>2</v>
      </c>
      <c r="ER104" s="62">
        <v>3</v>
      </c>
      <c r="ES104" s="62">
        <v>4</v>
      </c>
      <c r="ET104" s="62">
        <v>5</v>
      </c>
      <c r="EU104" s="80">
        <v>6</v>
      </c>
      <c r="EW104" s="125"/>
      <c r="EX104" s="126"/>
      <c r="EY104" s="164"/>
    </row>
    <row r="105" spans="1:155" ht="17.100000000000001" customHeight="1" thickBot="1" x14ac:dyDescent="0.25">
      <c r="A105" s="125"/>
      <c r="B105" s="10">
        <v>0</v>
      </c>
      <c r="C105" s="11">
        <v>0</v>
      </c>
      <c r="D105" s="11">
        <v>0</v>
      </c>
      <c r="E105" s="11">
        <v>0</v>
      </c>
      <c r="F105" s="11">
        <v>0</v>
      </c>
      <c r="G105" s="12">
        <v>0</v>
      </c>
      <c r="H105" s="13"/>
      <c r="I105" s="14"/>
      <c r="J105" s="14"/>
      <c r="K105" s="9">
        <f>SUM(K99:K104)</f>
        <v>411</v>
      </c>
      <c r="M105" s="125"/>
      <c r="N105" s="10">
        <v>0</v>
      </c>
      <c r="O105" s="11">
        <v>0</v>
      </c>
      <c r="P105" s="11">
        <v>0</v>
      </c>
      <c r="Q105" s="11">
        <v>0</v>
      </c>
      <c r="R105" s="11">
        <v>0</v>
      </c>
      <c r="S105" s="12">
        <v>0</v>
      </c>
      <c r="T105" s="13"/>
      <c r="U105" s="14"/>
      <c r="V105" s="14"/>
      <c r="W105" s="9">
        <f>SUM(W99:W104)</f>
        <v>429</v>
      </c>
      <c r="Y105" s="125"/>
      <c r="Z105" s="10">
        <v>1</v>
      </c>
      <c r="AA105" s="11">
        <v>4</v>
      </c>
      <c r="AB105" s="11">
        <v>0</v>
      </c>
      <c r="AC105" s="11">
        <v>0</v>
      </c>
      <c r="AD105" s="11">
        <v>0</v>
      </c>
      <c r="AE105" s="12">
        <v>0</v>
      </c>
      <c r="AF105" s="13"/>
      <c r="AG105" s="14"/>
      <c r="AH105" s="14"/>
      <c r="AI105" s="9">
        <f>SUM(AI99:AI104)</f>
        <v>0</v>
      </c>
      <c r="AK105" s="125"/>
      <c r="AL105" s="10">
        <v>0</v>
      </c>
      <c r="AM105" s="11">
        <v>0</v>
      </c>
      <c r="AN105" s="11">
        <v>0</v>
      </c>
      <c r="AO105" s="11">
        <v>0</v>
      </c>
      <c r="AP105" s="11">
        <v>0</v>
      </c>
      <c r="AQ105" s="12">
        <v>0</v>
      </c>
      <c r="AR105" s="13"/>
      <c r="AS105" s="14"/>
      <c r="AT105" s="14"/>
      <c r="AU105" s="9">
        <f>SUM(AU99:AU104)</f>
        <v>404</v>
      </c>
      <c r="AW105" s="125"/>
      <c r="AX105" s="10">
        <v>0</v>
      </c>
      <c r="AY105" s="11">
        <v>0</v>
      </c>
      <c r="AZ105" s="11">
        <v>0</v>
      </c>
      <c r="BA105" s="11">
        <v>0</v>
      </c>
      <c r="BB105" s="11">
        <v>0</v>
      </c>
      <c r="BC105" s="12">
        <v>0</v>
      </c>
      <c r="BD105" s="13"/>
      <c r="BE105" s="14"/>
      <c r="BF105" s="14"/>
      <c r="BG105" s="9">
        <f>SUM(BG99:BG104)</f>
        <v>0</v>
      </c>
      <c r="BI105" s="125"/>
      <c r="BJ105" s="10">
        <v>0</v>
      </c>
      <c r="BK105" s="11">
        <v>0</v>
      </c>
      <c r="BL105" s="11">
        <v>0</v>
      </c>
      <c r="BM105" s="11">
        <v>0</v>
      </c>
      <c r="BN105" s="11">
        <v>0</v>
      </c>
      <c r="BO105" s="12">
        <v>0</v>
      </c>
      <c r="BP105" s="13"/>
      <c r="BQ105" s="14"/>
      <c r="BR105" s="14"/>
      <c r="BS105" s="9">
        <f>SUM(BS99:BS104)</f>
        <v>0</v>
      </c>
      <c r="BU105" s="125"/>
      <c r="BV105" s="10">
        <v>0</v>
      </c>
      <c r="BW105" s="11">
        <v>0</v>
      </c>
      <c r="BX105" s="11">
        <v>0</v>
      </c>
      <c r="BY105" s="11">
        <v>0</v>
      </c>
      <c r="BZ105" s="11">
        <v>0</v>
      </c>
      <c r="CA105" s="12">
        <v>0</v>
      </c>
      <c r="CB105" s="13"/>
      <c r="CC105" s="14"/>
      <c r="CD105" s="14"/>
      <c r="CE105" s="9">
        <f>SUM(CE99:CE104)</f>
        <v>297</v>
      </c>
      <c r="CG105" s="125"/>
      <c r="CH105" s="10">
        <v>0</v>
      </c>
      <c r="CI105" s="11">
        <v>0</v>
      </c>
      <c r="CJ105" s="11">
        <v>0</v>
      </c>
      <c r="CK105" s="11">
        <v>0</v>
      </c>
      <c r="CL105" s="11">
        <v>0</v>
      </c>
      <c r="CM105" s="12">
        <v>0</v>
      </c>
      <c r="CN105" s="13"/>
      <c r="CO105" s="14"/>
      <c r="CP105" s="14"/>
      <c r="CQ105" s="9">
        <f>SUM(CQ99:CQ104)</f>
        <v>0</v>
      </c>
      <c r="CS105" s="125"/>
      <c r="CT105" s="10">
        <v>0</v>
      </c>
      <c r="CU105" s="11">
        <v>0</v>
      </c>
      <c r="CV105" s="11">
        <v>0</v>
      </c>
      <c r="CW105" s="11">
        <v>0</v>
      </c>
      <c r="CX105" s="11">
        <v>0</v>
      </c>
      <c r="CY105" s="12">
        <v>0</v>
      </c>
      <c r="CZ105" s="13"/>
      <c r="DA105" s="14"/>
      <c r="DB105" s="14"/>
      <c r="DC105" s="9">
        <f>SUM(DC99:DC104)</f>
        <v>0</v>
      </c>
      <c r="DD105" s="2"/>
      <c r="DE105" s="125"/>
      <c r="DF105" s="10">
        <v>0</v>
      </c>
      <c r="DG105" s="11">
        <v>0</v>
      </c>
      <c r="DH105" s="11">
        <v>0</v>
      </c>
      <c r="DI105" s="11">
        <v>0</v>
      </c>
      <c r="DJ105" s="11">
        <v>0</v>
      </c>
      <c r="DK105" s="12">
        <v>0</v>
      </c>
      <c r="DL105" s="13"/>
      <c r="DM105" s="14"/>
      <c r="DN105" s="14"/>
      <c r="DO105" s="9">
        <f>SUM(DO99:DO104)</f>
        <v>411</v>
      </c>
      <c r="DP105" s="2"/>
      <c r="DQ105" s="125"/>
      <c r="DR105" s="10">
        <v>0</v>
      </c>
      <c r="DS105" s="11">
        <v>0</v>
      </c>
      <c r="DT105" s="11">
        <v>0</v>
      </c>
      <c r="DU105" s="11">
        <v>0</v>
      </c>
      <c r="DV105" s="11">
        <v>0</v>
      </c>
      <c r="DW105" s="12">
        <v>0</v>
      </c>
      <c r="DX105" s="13"/>
      <c r="DY105" s="14"/>
      <c r="DZ105" s="14"/>
      <c r="EA105" s="9">
        <f>SUM(EA99:EA104)</f>
        <v>0</v>
      </c>
      <c r="EC105" s="125"/>
      <c r="ED105" s="10">
        <v>0</v>
      </c>
      <c r="EE105" s="11">
        <v>0</v>
      </c>
      <c r="EF105" s="11">
        <v>0</v>
      </c>
      <c r="EG105" s="11">
        <v>0</v>
      </c>
      <c r="EH105" s="11">
        <v>0</v>
      </c>
      <c r="EI105" s="12">
        <v>0</v>
      </c>
      <c r="EJ105" s="13"/>
      <c r="EK105" s="14"/>
      <c r="EL105" s="14"/>
      <c r="EM105" s="9">
        <f>SUM(EM99:EM104)</f>
        <v>0</v>
      </c>
      <c r="EO105" s="237"/>
      <c r="EP105" s="10">
        <f t="shared" ref="EP105:EU105" si="7">B105+N105+Z105+AL105+AX105+BJ105+BV105+CH105+CT105+DF105+DR105+ED105</f>
        <v>1</v>
      </c>
      <c r="EQ105" s="10">
        <f t="shared" si="7"/>
        <v>4</v>
      </c>
      <c r="ER105" s="10">
        <f t="shared" si="7"/>
        <v>0</v>
      </c>
      <c r="ES105" s="10">
        <f t="shared" si="7"/>
        <v>0</v>
      </c>
      <c r="ET105" s="10">
        <f t="shared" si="7"/>
        <v>0</v>
      </c>
      <c r="EU105" s="10">
        <f t="shared" si="7"/>
        <v>0</v>
      </c>
      <c r="EV105" s="13"/>
      <c r="EW105" s="14"/>
      <c r="EX105" s="14"/>
      <c r="EY105" s="9">
        <f>SUM(EY99:EY104)</f>
        <v>1952</v>
      </c>
    </row>
    <row r="106" spans="1:155" ht="18" customHeight="1" thickBot="1" x14ac:dyDescent="0.25">
      <c r="A106" s="59" t="s">
        <v>3</v>
      </c>
      <c r="B106" s="59"/>
      <c r="C106" s="179" t="s">
        <v>59</v>
      </c>
      <c r="D106" s="179"/>
      <c r="E106" s="179"/>
      <c r="G106" s="64"/>
      <c r="H106" s="186"/>
      <c r="I106" s="186"/>
      <c r="J106" s="15"/>
      <c r="M106" s="59" t="s">
        <v>3</v>
      </c>
      <c r="N106" s="59"/>
      <c r="O106" s="179" t="s">
        <v>59</v>
      </c>
      <c r="P106" s="179"/>
      <c r="Q106" s="179"/>
      <c r="S106" s="64"/>
      <c r="T106" s="186"/>
      <c r="U106" s="186"/>
      <c r="V106" s="15"/>
      <c r="Y106" s="59" t="s">
        <v>3</v>
      </c>
      <c r="Z106" s="59"/>
      <c r="AA106" s="179" t="s">
        <v>59</v>
      </c>
      <c r="AB106" s="179"/>
      <c r="AC106" s="179"/>
      <c r="AE106" s="64"/>
      <c r="AF106" s="186"/>
      <c r="AG106" s="186"/>
      <c r="AH106" s="15"/>
      <c r="AK106" s="59" t="s">
        <v>3</v>
      </c>
      <c r="AL106" s="59"/>
      <c r="AM106" s="179" t="s">
        <v>59</v>
      </c>
      <c r="AN106" s="179"/>
      <c r="AO106" s="179"/>
      <c r="AQ106" s="64"/>
      <c r="AR106" s="186"/>
      <c r="AS106" s="186"/>
      <c r="AT106" s="15"/>
      <c r="AW106" s="59" t="s">
        <v>3</v>
      </c>
      <c r="AX106" s="59"/>
      <c r="AY106" s="179" t="s">
        <v>59</v>
      </c>
      <c r="AZ106" s="179"/>
      <c r="BA106" s="179"/>
      <c r="BC106" s="64"/>
      <c r="BD106" s="186"/>
      <c r="BE106" s="186"/>
      <c r="BF106" s="15"/>
      <c r="BI106" s="59" t="s">
        <v>3</v>
      </c>
      <c r="BJ106" s="59"/>
      <c r="BK106" s="179" t="s">
        <v>59</v>
      </c>
      <c r="BL106" s="179"/>
      <c r="BM106" s="179"/>
      <c r="BO106" s="64"/>
      <c r="BP106" s="186"/>
      <c r="BQ106" s="186"/>
      <c r="BR106" s="15"/>
      <c r="BU106" s="59" t="s">
        <v>3</v>
      </c>
      <c r="BV106" s="59"/>
      <c r="BW106" s="179" t="s">
        <v>59</v>
      </c>
      <c r="BX106" s="179"/>
      <c r="BY106" s="179"/>
      <c r="CA106" s="64"/>
      <c r="CB106" s="186"/>
      <c r="CC106" s="186"/>
      <c r="CD106" s="15"/>
      <c r="CG106" s="59" t="s">
        <v>3</v>
      </c>
      <c r="CH106" s="59"/>
      <c r="CI106" s="179" t="s">
        <v>59</v>
      </c>
      <c r="CJ106" s="179"/>
      <c r="CK106" s="179"/>
      <c r="CM106" s="64"/>
      <c r="CN106" s="186"/>
      <c r="CO106" s="186"/>
      <c r="CP106" s="15"/>
      <c r="CS106" s="59" t="s">
        <v>3</v>
      </c>
      <c r="CT106" s="59"/>
      <c r="CU106" s="179" t="s">
        <v>59</v>
      </c>
      <c r="CV106" s="179"/>
      <c r="CW106" s="179"/>
      <c r="CY106" s="64"/>
      <c r="CZ106" s="186"/>
      <c r="DA106" s="186"/>
      <c r="DB106" s="15"/>
      <c r="DD106" s="2"/>
      <c r="DE106" s="59" t="s">
        <v>3</v>
      </c>
      <c r="DF106" s="59"/>
      <c r="DG106" s="179" t="s">
        <v>59</v>
      </c>
      <c r="DH106" s="179"/>
      <c r="DI106" s="179"/>
      <c r="DK106" s="64"/>
      <c r="DL106" s="186"/>
      <c r="DM106" s="186"/>
      <c r="DN106" s="15"/>
      <c r="DP106" s="2"/>
      <c r="DQ106" s="59" t="s">
        <v>3</v>
      </c>
      <c r="DR106" s="59"/>
      <c r="DS106" s="179" t="s">
        <v>59</v>
      </c>
      <c r="DT106" s="179"/>
      <c r="DU106" s="179"/>
      <c r="DW106" s="64"/>
      <c r="DX106" s="186"/>
      <c r="DY106" s="186"/>
      <c r="DZ106" s="15"/>
      <c r="EC106" s="59" t="s">
        <v>3</v>
      </c>
      <c r="ED106" s="59"/>
      <c r="EE106" s="179" t="s">
        <v>59</v>
      </c>
      <c r="EF106" s="179"/>
      <c r="EG106" s="179"/>
      <c r="EI106" s="64"/>
      <c r="EJ106" s="186"/>
      <c r="EK106" s="186"/>
      <c r="EL106" s="15"/>
      <c r="EO106" s="59" t="s">
        <v>3</v>
      </c>
      <c r="EP106" s="59"/>
      <c r="EQ106" s="230" t="str">
        <f>EE106</f>
        <v>الروابي</v>
      </c>
      <c r="ER106" s="230"/>
      <c r="ES106" s="230"/>
      <c r="EU106" s="64"/>
      <c r="EV106" s="148"/>
      <c r="EW106" s="148"/>
      <c r="EX106" s="15"/>
    </row>
    <row r="107" spans="1:155" ht="17.100000000000001" customHeight="1" thickBot="1" x14ac:dyDescent="0.25">
      <c r="A107" s="156" t="s">
        <v>4</v>
      </c>
      <c r="B107" s="187"/>
      <c r="C107" s="187"/>
      <c r="D107" s="187"/>
      <c r="E107" s="157"/>
      <c r="F107" s="156" t="s">
        <v>5</v>
      </c>
      <c r="G107" s="157"/>
      <c r="I107" s="102" t="s">
        <v>6</v>
      </c>
      <c r="J107" s="143" t="s">
        <v>7</v>
      </c>
      <c r="K107" s="165">
        <v>0</v>
      </c>
      <c r="M107" s="156" t="s">
        <v>4</v>
      </c>
      <c r="N107" s="187"/>
      <c r="O107" s="187"/>
      <c r="P107" s="187"/>
      <c r="Q107" s="157"/>
      <c r="R107" s="156" t="s">
        <v>5</v>
      </c>
      <c r="S107" s="157"/>
      <c r="U107" s="102" t="s">
        <v>6</v>
      </c>
      <c r="V107" s="143" t="s">
        <v>7</v>
      </c>
      <c r="W107" s="165">
        <v>0</v>
      </c>
      <c r="Y107" s="156" t="s">
        <v>4</v>
      </c>
      <c r="Z107" s="187"/>
      <c r="AA107" s="187"/>
      <c r="AB107" s="187"/>
      <c r="AC107" s="157"/>
      <c r="AD107" s="156" t="s">
        <v>5</v>
      </c>
      <c r="AE107" s="157"/>
      <c r="AG107" s="102" t="s">
        <v>6</v>
      </c>
      <c r="AH107" s="143" t="s">
        <v>7</v>
      </c>
      <c r="AI107" s="165">
        <v>0</v>
      </c>
      <c r="AK107" s="156" t="s">
        <v>4</v>
      </c>
      <c r="AL107" s="187"/>
      <c r="AM107" s="187"/>
      <c r="AN107" s="187"/>
      <c r="AO107" s="157"/>
      <c r="AP107" s="156" t="s">
        <v>5</v>
      </c>
      <c r="AQ107" s="157"/>
      <c r="AS107" s="102" t="s">
        <v>6</v>
      </c>
      <c r="AT107" s="143" t="s">
        <v>7</v>
      </c>
      <c r="AU107" s="165">
        <v>0</v>
      </c>
      <c r="AW107" s="156" t="s">
        <v>4</v>
      </c>
      <c r="AX107" s="187"/>
      <c r="AY107" s="187"/>
      <c r="AZ107" s="187"/>
      <c r="BA107" s="157"/>
      <c r="BB107" s="156" t="s">
        <v>5</v>
      </c>
      <c r="BC107" s="157"/>
      <c r="BE107" s="102" t="s">
        <v>6</v>
      </c>
      <c r="BF107" s="143" t="s">
        <v>7</v>
      </c>
      <c r="BG107" s="165">
        <v>0</v>
      </c>
      <c r="BI107" s="156" t="s">
        <v>4</v>
      </c>
      <c r="BJ107" s="187"/>
      <c r="BK107" s="187"/>
      <c r="BL107" s="187"/>
      <c r="BM107" s="157"/>
      <c r="BN107" s="156" t="s">
        <v>5</v>
      </c>
      <c r="BO107" s="157"/>
      <c r="BQ107" s="102" t="s">
        <v>6</v>
      </c>
      <c r="BR107" s="143" t="s">
        <v>7</v>
      </c>
      <c r="BS107" s="165">
        <v>0</v>
      </c>
      <c r="BU107" s="156" t="s">
        <v>4</v>
      </c>
      <c r="BV107" s="187"/>
      <c r="BW107" s="187"/>
      <c r="BX107" s="187"/>
      <c r="BY107" s="157"/>
      <c r="BZ107" s="156" t="s">
        <v>5</v>
      </c>
      <c r="CA107" s="157"/>
      <c r="CC107" s="102" t="s">
        <v>6</v>
      </c>
      <c r="CD107" s="143" t="s">
        <v>7</v>
      </c>
      <c r="CE107" s="165">
        <v>0</v>
      </c>
      <c r="CG107" s="156" t="s">
        <v>4</v>
      </c>
      <c r="CH107" s="187"/>
      <c r="CI107" s="187"/>
      <c r="CJ107" s="187"/>
      <c r="CK107" s="157"/>
      <c r="CL107" s="156" t="s">
        <v>5</v>
      </c>
      <c r="CM107" s="157"/>
      <c r="CO107" s="102" t="s">
        <v>6</v>
      </c>
      <c r="CP107" s="143" t="s">
        <v>7</v>
      </c>
      <c r="CQ107" s="165">
        <v>0</v>
      </c>
      <c r="CS107" s="156" t="s">
        <v>4</v>
      </c>
      <c r="CT107" s="187"/>
      <c r="CU107" s="187"/>
      <c r="CV107" s="187"/>
      <c r="CW107" s="157"/>
      <c r="CX107" s="156" t="s">
        <v>5</v>
      </c>
      <c r="CY107" s="157"/>
      <c r="DA107" s="102" t="s">
        <v>6</v>
      </c>
      <c r="DB107" s="143" t="s">
        <v>7</v>
      </c>
      <c r="DC107" s="165">
        <v>0</v>
      </c>
      <c r="DD107" s="2"/>
      <c r="DE107" s="156" t="s">
        <v>4</v>
      </c>
      <c r="DF107" s="187"/>
      <c r="DG107" s="187"/>
      <c r="DH107" s="187"/>
      <c r="DI107" s="157"/>
      <c r="DJ107" s="156" t="s">
        <v>5</v>
      </c>
      <c r="DK107" s="157"/>
      <c r="DM107" s="102" t="s">
        <v>6</v>
      </c>
      <c r="DN107" s="143" t="s">
        <v>7</v>
      </c>
      <c r="DO107" s="165">
        <v>56</v>
      </c>
      <c r="DP107" s="2"/>
      <c r="DQ107" s="156" t="s">
        <v>4</v>
      </c>
      <c r="DR107" s="187"/>
      <c r="DS107" s="187"/>
      <c r="DT107" s="187"/>
      <c r="DU107" s="157"/>
      <c r="DV107" s="156" t="s">
        <v>5</v>
      </c>
      <c r="DW107" s="157"/>
      <c r="DY107" s="102" t="s">
        <v>6</v>
      </c>
      <c r="DZ107" s="143" t="s">
        <v>7</v>
      </c>
      <c r="EA107" s="165">
        <v>0</v>
      </c>
      <c r="EC107" s="156" t="s">
        <v>4</v>
      </c>
      <c r="ED107" s="187"/>
      <c r="EE107" s="187"/>
      <c r="EF107" s="187"/>
      <c r="EG107" s="157"/>
      <c r="EH107" s="156" t="s">
        <v>5</v>
      </c>
      <c r="EI107" s="157"/>
      <c r="EK107" s="102" t="s">
        <v>6</v>
      </c>
      <c r="EL107" s="143" t="s">
        <v>7</v>
      </c>
      <c r="EM107" s="165">
        <v>0</v>
      </c>
      <c r="EO107" s="156" t="s">
        <v>4</v>
      </c>
      <c r="EP107" s="187"/>
      <c r="EQ107" s="187"/>
      <c r="ER107" s="187"/>
      <c r="ES107" s="157"/>
      <c r="ET107" s="156" t="s">
        <v>5</v>
      </c>
      <c r="EU107" s="157"/>
      <c r="EW107" s="121" t="s">
        <v>6</v>
      </c>
      <c r="EX107" s="229" t="s">
        <v>7</v>
      </c>
      <c r="EY107" s="229">
        <f>K107+W107+AI107+AU107+BG107+BS107+CE107+CQ107+DC107+DO107+EA107+EM107</f>
        <v>56</v>
      </c>
    </row>
    <row r="108" spans="1:155" ht="17.100000000000001" customHeight="1" thickTop="1" thickBot="1" x14ac:dyDescent="0.25">
      <c r="A108" s="111" t="s">
        <v>8</v>
      </c>
      <c r="B108" s="174"/>
      <c r="C108" s="174"/>
      <c r="D108" s="155" t="s">
        <v>9</v>
      </c>
      <c r="E108" s="141"/>
      <c r="F108" s="155">
        <v>0</v>
      </c>
      <c r="G108" s="141"/>
      <c r="I108" s="103"/>
      <c r="J108" s="140"/>
      <c r="K108" s="166"/>
      <c r="M108" s="111" t="s">
        <v>8</v>
      </c>
      <c r="N108" s="174"/>
      <c r="O108" s="174"/>
      <c r="P108" s="155" t="s">
        <v>9</v>
      </c>
      <c r="Q108" s="141"/>
      <c r="R108" s="155">
        <v>0</v>
      </c>
      <c r="S108" s="141"/>
      <c r="U108" s="103"/>
      <c r="V108" s="140"/>
      <c r="W108" s="166"/>
      <c r="Y108" s="111" t="s">
        <v>8</v>
      </c>
      <c r="Z108" s="174"/>
      <c r="AA108" s="174"/>
      <c r="AB108" s="155" t="s">
        <v>9</v>
      </c>
      <c r="AC108" s="141"/>
      <c r="AD108" s="155">
        <v>0</v>
      </c>
      <c r="AE108" s="141"/>
      <c r="AG108" s="103"/>
      <c r="AH108" s="140"/>
      <c r="AI108" s="166"/>
      <c r="AK108" s="111" t="s">
        <v>8</v>
      </c>
      <c r="AL108" s="174"/>
      <c r="AM108" s="174"/>
      <c r="AN108" s="155" t="s">
        <v>9</v>
      </c>
      <c r="AO108" s="141"/>
      <c r="AP108" s="155">
        <v>0</v>
      </c>
      <c r="AQ108" s="141"/>
      <c r="AS108" s="103"/>
      <c r="AT108" s="140"/>
      <c r="AU108" s="166"/>
      <c r="AW108" s="111" t="s">
        <v>8</v>
      </c>
      <c r="AX108" s="174"/>
      <c r="AY108" s="174"/>
      <c r="AZ108" s="155" t="s">
        <v>9</v>
      </c>
      <c r="BA108" s="141"/>
      <c r="BB108" s="155">
        <v>0</v>
      </c>
      <c r="BC108" s="141"/>
      <c r="BE108" s="103"/>
      <c r="BF108" s="140"/>
      <c r="BG108" s="166"/>
      <c r="BI108" s="111" t="s">
        <v>8</v>
      </c>
      <c r="BJ108" s="174"/>
      <c r="BK108" s="174"/>
      <c r="BL108" s="155" t="s">
        <v>9</v>
      </c>
      <c r="BM108" s="141"/>
      <c r="BN108" s="155">
        <v>0</v>
      </c>
      <c r="BO108" s="141"/>
      <c r="BQ108" s="103"/>
      <c r="BR108" s="140"/>
      <c r="BS108" s="166"/>
      <c r="BU108" s="111" t="s">
        <v>8</v>
      </c>
      <c r="BV108" s="174"/>
      <c r="BW108" s="174"/>
      <c r="BX108" s="155" t="s">
        <v>9</v>
      </c>
      <c r="BY108" s="141"/>
      <c r="BZ108" s="155">
        <v>0</v>
      </c>
      <c r="CA108" s="141"/>
      <c r="CC108" s="103"/>
      <c r="CD108" s="140"/>
      <c r="CE108" s="166"/>
      <c r="CG108" s="111" t="s">
        <v>8</v>
      </c>
      <c r="CH108" s="174"/>
      <c r="CI108" s="174"/>
      <c r="CJ108" s="155" t="s">
        <v>9</v>
      </c>
      <c r="CK108" s="141"/>
      <c r="CL108" s="155">
        <v>0</v>
      </c>
      <c r="CM108" s="141"/>
      <c r="CO108" s="103"/>
      <c r="CP108" s="140"/>
      <c r="CQ108" s="166"/>
      <c r="CS108" s="111" t="s">
        <v>8</v>
      </c>
      <c r="CT108" s="174"/>
      <c r="CU108" s="174"/>
      <c r="CV108" s="155" t="s">
        <v>9</v>
      </c>
      <c r="CW108" s="141"/>
      <c r="CX108" s="155">
        <v>0</v>
      </c>
      <c r="CY108" s="141"/>
      <c r="DA108" s="103"/>
      <c r="DB108" s="140"/>
      <c r="DC108" s="166"/>
      <c r="DD108" s="2"/>
      <c r="DE108" s="111" t="s">
        <v>8</v>
      </c>
      <c r="DF108" s="174"/>
      <c r="DG108" s="174"/>
      <c r="DH108" s="155" t="s">
        <v>9</v>
      </c>
      <c r="DI108" s="141"/>
      <c r="DJ108" s="190">
        <v>0</v>
      </c>
      <c r="DK108" s="191"/>
      <c r="DM108" s="103"/>
      <c r="DN108" s="140"/>
      <c r="DO108" s="166"/>
      <c r="DP108" s="2"/>
      <c r="DQ108" s="111" t="s">
        <v>8</v>
      </c>
      <c r="DR108" s="174"/>
      <c r="DS108" s="174"/>
      <c r="DT108" s="155" t="s">
        <v>9</v>
      </c>
      <c r="DU108" s="141"/>
      <c r="DV108" s="155">
        <v>0</v>
      </c>
      <c r="DW108" s="141"/>
      <c r="DY108" s="103"/>
      <c r="DZ108" s="140"/>
      <c r="EA108" s="166"/>
      <c r="EC108" s="111" t="s">
        <v>8</v>
      </c>
      <c r="ED108" s="174"/>
      <c r="EE108" s="174"/>
      <c r="EF108" s="155" t="s">
        <v>9</v>
      </c>
      <c r="EG108" s="141"/>
      <c r="EH108" s="155">
        <v>0</v>
      </c>
      <c r="EI108" s="141"/>
      <c r="EK108" s="103"/>
      <c r="EL108" s="140"/>
      <c r="EM108" s="166"/>
      <c r="EO108" s="111" t="s">
        <v>8</v>
      </c>
      <c r="EP108" s="174"/>
      <c r="EQ108" s="124"/>
      <c r="ER108" s="155" t="s">
        <v>9</v>
      </c>
      <c r="ES108" s="141"/>
      <c r="ET108" s="156">
        <f>F108+R108+AD108+AP108+BB108+BN108+BZ108+CL108+CX108+DJ108+DV108+EH108</f>
        <v>0</v>
      </c>
      <c r="EU108" s="157"/>
      <c r="EW108" s="122"/>
      <c r="EX108" s="139"/>
      <c r="EY108" s="237"/>
    </row>
    <row r="109" spans="1:155" ht="17.100000000000001" customHeight="1" thickBot="1" x14ac:dyDescent="0.25">
      <c r="A109" s="113"/>
      <c r="B109" s="175"/>
      <c r="C109" s="175"/>
      <c r="D109" s="154" t="s">
        <v>10</v>
      </c>
      <c r="E109" s="142"/>
      <c r="F109" s="154">
        <v>0</v>
      </c>
      <c r="G109" s="142"/>
      <c r="I109" s="103"/>
      <c r="J109" s="140" t="s">
        <v>11</v>
      </c>
      <c r="K109" s="166">
        <v>0</v>
      </c>
      <c r="M109" s="113"/>
      <c r="N109" s="175"/>
      <c r="O109" s="175"/>
      <c r="P109" s="154" t="s">
        <v>10</v>
      </c>
      <c r="Q109" s="142"/>
      <c r="R109" s="154">
        <v>0</v>
      </c>
      <c r="S109" s="142"/>
      <c r="U109" s="103"/>
      <c r="V109" s="140" t="s">
        <v>11</v>
      </c>
      <c r="W109" s="166">
        <v>0</v>
      </c>
      <c r="Y109" s="113"/>
      <c r="Z109" s="175"/>
      <c r="AA109" s="175"/>
      <c r="AB109" s="154" t="s">
        <v>10</v>
      </c>
      <c r="AC109" s="142"/>
      <c r="AD109" s="154">
        <v>0</v>
      </c>
      <c r="AE109" s="142"/>
      <c r="AG109" s="103"/>
      <c r="AH109" s="140" t="s">
        <v>11</v>
      </c>
      <c r="AI109" s="166">
        <v>0</v>
      </c>
      <c r="AK109" s="113"/>
      <c r="AL109" s="175"/>
      <c r="AM109" s="175"/>
      <c r="AN109" s="154" t="s">
        <v>10</v>
      </c>
      <c r="AO109" s="142"/>
      <c r="AP109" s="154">
        <v>0</v>
      </c>
      <c r="AQ109" s="142"/>
      <c r="AS109" s="103"/>
      <c r="AT109" s="140" t="s">
        <v>11</v>
      </c>
      <c r="AU109" s="166">
        <v>0</v>
      </c>
      <c r="AW109" s="113"/>
      <c r="AX109" s="175"/>
      <c r="AY109" s="175"/>
      <c r="AZ109" s="154" t="s">
        <v>10</v>
      </c>
      <c r="BA109" s="142"/>
      <c r="BB109" s="154">
        <v>0</v>
      </c>
      <c r="BC109" s="142"/>
      <c r="BE109" s="103"/>
      <c r="BF109" s="140" t="s">
        <v>11</v>
      </c>
      <c r="BG109" s="166">
        <v>0</v>
      </c>
      <c r="BI109" s="113"/>
      <c r="BJ109" s="175"/>
      <c r="BK109" s="175"/>
      <c r="BL109" s="154" t="s">
        <v>10</v>
      </c>
      <c r="BM109" s="142"/>
      <c r="BN109" s="154">
        <v>0</v>
      </c>
      <c r="BO109" s="142"/>
      <c r="BQ109" s="103"/>
      <c r="BR109" s="140" t="s">
        <v>11</v>
      </c>
      <c r="BS109" s="166">
        <v>0</v>
      </c>
      <c r="BU109" s="113"/>
      <c r="BV109" s="175"/>
      <c r="BW109" s="175"/>
      <c r="BX109" s="154" t="s">
        <v>10</v>
      </c>
      <c r="BY109" s="142"/>
      <c r="BZ109" s="154">
        <v>0</v>
      </c>
      <c r="CA109" s="142"/>
      <c r="CC109" s="103"/>
      <c r="CD109" s="140" t="s">
        <v>11</v>
      </c>
      <c r="CE109" s="166">
        <v>0</v>
      </c>
      <c r="CG109" s="113"/>
      <c r="CH109" s="175"/>
      <c r="CI109" s="175"/>
      <c r="CJ109" s="154" t="s">
        <v>10</v>
      </c>
      <c r="CK109" s="142"/>
      <c r="CL109" s="154">
        <v>0</v>
      </c>
      <c r="CM109" s="142"/>
      <c r="CO109" s="103"/>
      <c r="CP109" s="140" t="s">
        <v>11</v>
      </c>
      <c r="CQ109" s="166">
        <v>0</v>
      </c>
      <c r="CS109" s="113"/>
      <c r="CT109" s="175"/>
      <c r="CU109" s="175"/>
      <c r="CV109" s="154" t="s">
        <v>10</v>
      </c>
      <c r="CW109" s="142"/>
      <c r="CX109" s="154">
        <v>0</v>
      </c>
      <c r="CY109" s="142"/>
      <c r="DA109" s="103"/>
      <c r="DB109" s="140" t="s">
        <v>11</v>
      </c>
      <c r="DC109" s="166">
        <v>0</v>
      </c>
      <c r="DD109" s="2"/>
      <c r="DE109" s="113"/>
      <c r="DF109" s="175"/>
      <c r="DG109" s="175"/>
      <c r="DH109" s="154" t="s">
        <v>10</v>
      </c>
      <c r="DI109" s="142"/>
      <c r="DJ109" s="182">
        <v>0</v>
      </c>
      <c r="DK109" s="183"/>
      <c r="DM109" s="103"/>
      <c r="DN109" s="140" t="s">
        <v>11</v>
      </c>
      <c r="DO109" s="166">
        <v>70</v>
      </c>
      <c r="DP109" s="2"/>
      <c r="DQ109" s="113"/>
      <c r="DR109" s="175"/>
      <c r="DS109" s="175"/>
      <c r="DT109" s="154" t="s">
        <v>10</v>
      </c>
      <c r="DU109" s="142"/>
      <c r="DV109" s="154">
        <v>0</v>
      </c>
      <c r="DW109" s="142"/>
      <c r="DY109" s="103"/>
      <c r="DZ109" s="140" t="s">
        <v>11</v>
      </c>
      <c r="EA109" s="166">
        <v>0</v>
      </c>
      <c r="EC109" s="113"/>
      <c r="ED109" s="175"/>
      <c r="EE109" s="175"/>
      <c r="EF109" s="154" t="s">
        <v>10</v>
      </c>
      <c r="EG109" s="142"/>
      <c r="EH109" s="154">
        <v>0</v>
      </c>
      <c r="EI109" s="142"/>
      <c r="EK109" s="103"/>
      <c r="EL109" s="140" t="s">
        <v>11</v>
      </c>
      <c r="EM109" s="166">
        <v>0</v>
      </c>
      <c r="EO109" s="113"/>
      <c r="EP109" s="175"/>
      <c r="EQ109" s="112"/>
      <c r="ER109" s="154" t="s">
        <v>10</v>
      </c>
      <c r="ES109" s="142"/>
      <c r="ET109" s="156">
        <f t="shared" ref="ET109:ET129" si="8">F109+R109+AD109+AP109+BB109+BN109+BZ109+CL109+CX109+DJ109+DV109+EH109</f>
        <v>0</v>
      </c>
      <c r="EU109" s="157"/>
      <c r="EW109" s="122"/>
      <c r="EX109" s="238" t="s">
        <v>11</v>
      </c>
      <c r="EY109" s="229">
        <f>K109+W109+AI109+AU109+BG109+BS109+CE109+CQ109+DC109+DO109+EA109+EM109</f>
        <v>70</v>
      </c>
    </row>
    <row r="110" spans="1:155" ht="17.100000000000001" customHeight="1" thickBot="1" x14ac:dyDescent="0.25">
      <c r="A110" s="125"/>
      <c r="B110" s="176"/>
      <c r="C110" s="176"/>
      <c r="D110" s="177" t="s">
        <v>12</v>
      </c>
      <c r="E110" s="178"/>
      <c r="F110" s="177">
        <v>0</v>
      </c>
      <c r="G110" s="178"/>
      <c r="I110" s="151"/>
      <c r="J110" s="144"/>
      <c r="K110" s="180"/>
      <c r="M110" s="125"/>
      <c r="N110" s="176"/>
      <c r="O110" s="176"/>
      <c r="P110" s="177" t="s">
        <v>12</v>
      </c>
      <c r="Q110" s="178"/>
      <c r="R110" s="177">
        <v>0</v>
      </c>
      <c r="S110" s="178"/>
      <c r="U110" s="151"/>
      <c r="V110" s="144"/>
      <c r="W110" s="180"/>
      <c r="Y110" s="125"/>
      <c r="Z110" s="176"/>
      <c r="AA110" s="176"/>
      <c r="AB110" s="177" t="s">
        <v>12</v>
      </c>
      <c r="AC110" s="178"/>
      <c r="AD110" s="177">
        <v>0</v>
      </c>
      <c r="AE110" s="178"/>
      <c r="AG110" s="151"/>
      <c r="AH110" s="144"/>
      <c r="AI110" s="180"/>
      <c r="AK110" s="125"/>
      <c r="AL110" s="176"/>
      <c r="AM110" s="176"/>
      <c r="AN110" s="177" t="s">
        <v>12</v>
      </c>
      <c r="AO110" s="178"/>
      <c r="AP110" s="177">
        <v>0</v>
      </c>
      <c r="AQ110" s="178"/>
      <c r="AS110" s="151"/>
      <c r="AT110" s="144"/>
      <c r="AU110" s="180"/>
      <c r="AW110" s="125"/>
      <c r="AX110" s="176"/>
      <c r="AY110" s="176"/>
      <c r="AZ110" s="177" t="s">
        <v>12</v>
      </c>
      <c r="BA110" s="178"/>
      <c r="BB110" s="177">
        <v>0</v>
      </c>
      <c r="BC110" s="178"/>
      <c r="BE110" s="151"/>
      <c r="BF110" s="144"/>
      <c r="BG110" s="180"/>
      <c r="BI110" s="125"/>
      <c r="BJ110" s="176"/>
      <c r="BK110" s="176"/>
      <c r="BL110" s="177" t="s">
        <v>12</v>
      </c>
      <c r="BM110" s="178"/>
      <c r="BN110" s="177">
        <v>0</v>
      </c>
      <c r="BO110" s="178"/>
      <c r="BQ110" s="151"/>
      <c r="BR110" s="144"/>
      <c r="BS110" s="180"/>
      <c r="BU110" s="125"/>
      <c r="BV110" s="176"/>
      <c r="BW110" s="176"/>
      <c r="BX110" s="177" t="s">
        <v>12</v>
      </c>
      <c r="BY110" s="178"/>
      <c r="BZ110" s="177">
        <v>0</v>
      </c>
      <c r="CA110" s="178"/>
      <c r="CC110" s="151"/>
      <c r="CD110" s="144"/>
      <c r="CE110" s="180"/>
      <c r="CG110" s="125"/>
      <c r="CH110" s="176"/>
      <c r="CI110" s="176"/>
      <c r="CJ110" s="177" t="s">
        <v>12</v>
      </c>
      <c r="CK110" s="178"/>
      <c r="CL110" s="177">
        <v>0</v>
      </c>
      <c r="CM110" s="178"/>
      <c r="CO110" s="151"/>
      <c r="CP110" s="144"/>
      <c r="CQ110" s="180"/>
      <c r="CS110" s="125"/>
      <c r="CT110" s="176"/>
      <c r="CU110" s="176"/>
      <c r="CV110" s="177" t="s">
        <v>12</v>
      </c>
      <c r="CW110" s="178"/>
      <c r="CX110" s="177">
        <v>0</v>
      </c>
      <c r="CY110" s="178"/>
      <c r="DA110" s="151"/>
      <c r="DB110" s="144"/>
      <c r="DC110" s="180"/>
      <c r="DD110" s="2"/>
      <c r="DE110" s="125"/>
      <c r="DF110" s="176"/>
      <c r="DG110" s="176"/>
      <c r="DH110" s="177" t="s">
        <v>12</v>
      </c>
      <c r="DI110" s="178"/>
      <c r="DJ110" s="192">
        <v>0</v>
      </c>
      <c r="DK110" s="193"/>
      <c r="DM110" s="151"/>
      <c r="DN110" s="144"/>
      <c r="DO110" s="180"/>
      <c r="DP110" s="2"/>
      <c r="DQ110" s="125"/>
      <c r="DR110" s="176"/>
      <c r="DS110" s="176"/>
      <c r="DT110" s="177" t="s">
        <v>12</v>
      </c>
      <c r="DU110" s="178"/>
      <c r="DV110" s="177">
        <v>0</v>
      </c>
      <c r="DW110" s="178"/>
      <c r="DY110" s="151"/>
      <c r="DZ110" s="144"/>
      <c r="EA110" s="180"/>
      <c r="EC110" s="125"/>
      <c r="ED110" s="176"/>
      <c r="EE110" s="176"/>
      <c r="EF110" s="177" t="s">
        <v>12</v>
      </c>
      <c r="EG110" s="178"/>
      <c r="EH110" s="177">
        <v>0</v>
      </c>
      <c r="EI110" s="178"/>
      <c r="EK110" s="151"/>
      <c r="EL110" s="144"/>
      <c r="EM110" s="180"/>
      <c r="EO110" s="125"/>
      <c r="EP110" s="176"/>
      <c r="EQ110" s="126"/>
      <c r="ER110" s="177" t="s">
        <v>12</v>
      </c>
      <c r="ES110" s="178"/>
      <c r="ET110" s="156">
        <f t="shared" si="8"/>
        <v>0</v>
      </c>
      <c r="EU110" s="157"/>
      <c r="EW110" s="123"/>
      <c r="EX110" s="237"/>
      <c r="EY110" s="237"/>
    </row>
    <row r="111" spans="1:155" ht="17.100000000000001" customHeight="1" thickTop="1" thickBot="1" x14ac:dyDescent="0.25">
      <c r="A111" s="158" t="s">
        <v>13</v>
      </c>
      <c r="B111" s="111" t="s">
        <v>14</v>
      </c>
      <c r="C111" s="174"/>
      <c r="D111" s="155" t="s">
        <v>29</v>
      </c>
      <c r="E111" s="141"/>
      <c r="F111" s="155">
        <v>0</v>
      </c>
      <c r="G111" s="141"/>
      <c r="I111" s="102" t="s">
        <v>15</v>
      </c>
      <c r="J111" s="143" t="s">
        <v>7</v>
      </c>
      <c r="K111" s="165">
        <v>0</v>
      </c>
      <c r="M111" s="158" t="s">
        <v>13</v>
      </c>
      <c r="N111" s="111" t="s">
        <v>14</v>
      </c>
      <c r="O111" s="174"/>
      <c r="P111" s="155" t="s">
        <v>29</v>
      </c>
      <c r="Q111" s="141"/>
      <c r="R111" s="155">
        <v>0</v>
      </c>
      <c r="S111" s="141"/>
      <c r="U111" s="102" t="s">
        <v>15</v>
      </c>
      <c r="V111" s="143" t="s">
        <v>7</v>
      </c>
      <c r="W111" s="165">
        <v>0</v>
      </c>
      <c r="Y111" s="158" t="s">
        <v>13</v>
      </c>
      <c r="Z111" s="111" t="s">
        <v>14</v>
      </c>
      <c r="AA111" s="174"/>
      <c r="AB111" s="155" t="s">
        <v>29</v>
      </c>
      <c r="AC111" s="141"/>
      <c r="AD111" s="155">
        <v>0</v>
      </c>
      <c r="AE111" s="141"/>
      <c r="AG111" s="102" t="s">
        <v>15</v>
      </c>
      <c r="AH111" s="143" t="s">
        <v>7</v>
      </c>
      <c r="AI111" s="165">
        <v>0</v>
      </c>
      <c r="AK111" s="158" t="s">
        <v>13</v>
      </c>
      <c r="AL111" s="111" t="s">
        <v>14</v>
      </c>
      <c r="AM111" s="174"/>
      <c r="AN111" s="155" t="s">
        <v>29</v>
      </c>
      <c r="AO111" s="141"/>
      <c r="AP111" s="155">
        <v>0</v>
      </c>
      <c r="AQ111" s="141"/>
      <c r="AS111" s="102" t="s">
        <v>15</v>
      </c>
      <c r="AT111" s="143" t="s">
        <v>7</v>
      </c>
      <c r="AU111" s="165">
        <v>0</v>
      </c>
      <c r="AW111" s="158" t="s">
        <v>13</v>
      </c>
      <c r="AX111" s="111" t="s">
        <v>14</v>
      </c>
      <c r="AY111" s="174"/>
      <c r="AZ111" s="155" t="s">
        <v>29</v>
      </c>
      <c r="BA111" s="141"/>
      <c r="BB111" s="155">
        <v>0</v>
      </c>
      <c r="BC111" s="141"/>
      <c r="BE111" s="102" t="s">
        <v>15</v>
      </c>
      <c r="BF111" s="143" t="s">
        <v>7</v>
      </c>
      <c r="BG111" s="165">
        <v>0</v>
      </c>
      <c r="BI111" s="158" t="s">
        <v>13</v>
      </c>
      <c r="BJ111" s="111" t="s">
        <v>14</v>
      </c>
      <c r="BK111" s="174"/>
      <c r="BL111" s="155" t="s">
        <v>29</v>
      </c>
      <c r="BM111" s="141"/>
      <c r="BN111" s="155">
        <v>0</v>
      </c>
      <c r="BO111" s="141"/>
      <c r="BQ111" s="102" t="s">
        <v>15</v>
      </c>
      <c r="BR111" s="143" t="s">
        <v>7</v>
      </c>
      <c r="BS111" s="165">
        <v>0</v>
      </c>
      <c r="BU111" s="158" t="s">
        <v>13</v>
      </c>
      <c r="BV111" s="111" t="s">
        <v>14</v>
      </c>
      <c r="BW111" s="174"/>
      <c r="BX111" s="155" t="s">
        <v>29</v>
      </c>
      <c r="BY111" s="141"/>
      <c r="BZ111" s="155">
        <v>0</v>
      </c>
      <c r="CA111" s="141"/>
      <c r="CC111" s="102" t="s">
        <v>15</v>
      </c>
      <c r="CD111" s="143" t="s">
        <v>7</v>
      </c>
      <c r="CE111" s="165">
        <v>0</v>
      </c>
      <c r="CG111" s="158" t="s">
        <v>13</v>
      </c>
      <c r="CH111" s="111" t="s">
        <v>14</v>
      </c>
      <c r="CI111" s="174"/>
      <c r="CJ111" s="155" t="s">
        <v>29</v>
      </c>
      <c r="CK111" s="141"/>
      <c r="CL111" s="155">
        <v>0</v>
      </c>
      <c r="CM111" s="141"/>
      <c r="CO111" s="102" t="s">
        <v>15</v>
      </c>
      <c r="CP111" s="143" t="s">
        <v>7</v>
      </c>
      <c r="CQ111" s="165">
        <v>0</v>
      </c>
      <c r="CS111" s="158" t="s">
        <v>13</v>
      </c>
      <c r="CT111" s="111" t="s">
        <v>14</v>
      </c>
      <c r="CU111" s="174"/>
      <c r="CV111" s="155" t="s">
        <v>29</v>
      </c>
      <c r="CW111" s="141"/>
      <c r="CX111" s="155">
        <v>0</v>
      </c>
      <c r="CY111" s="141"/>
      <c r="DA111" s="102" t="s">
        <v>15</v>
      </c>
      <c r="DB111" s="143" t="s">
        <v>7</v>
      </c>
      <c r="DC111" s="165">
        <v>0</v>
      </c>
      <c r="DD111" s="2"/>
      <c r="DE111" s="158" t="s">
        <v>13</v>
      </c>
      <c r="DF111" s="111" t="s">
        <v>14</v>
      </c>
      <c r="DG111" s="174"/>
      <c r="DH111" s="155" t="s">
        <v>29</v>
      </c>
      <c r="DI111" s="141"/>
      <c r="DJ111" s="190">
        <v>14</v>
      </c>
      <c r="DK111" s="191"/>
      <c r="DM111" s="102" t="s">
        <v>15</v>
      </c>
      <c r="DN111" s="143" t="s">
        <v>7</v>
      </c>
      <c r="DO111" s="165">
        <v>17</v>
      </c>
      <c r="DP111" s="2"/>
      <c r="DQ111" s="158" t="s">
        <v>13</v>
      </c>
      <c r="DR111" s="111" t="s">
        <v>14</v>
      </c>
      <c r="DS111" s="174"/>
      <c r="DT111" s="155" t="s">
        <v>29</v>
      </c>
      <c r="DU111" s="141"/>
      <c r="DV111" s="155">
        <v>0</v>
      </c>
      <c r="DW111" s="141"/>
      <c r="DY111" s="102" t="s">
        <v>15</v>
      </c>
      <c r="DZ111" s="143" t="s">
        <v>7</v>
      </c>
      <c r="EA111" s="165">
        <v>0</v>
      </c>
      <c r="EC111" s="158" t="s">
        <v>13</v>
      </c>
      <c r="ED111" s="111" t="s">
        <v>14</v>
      </c>
      <c r="EE111" s="174"/>
      <c r="EF111" s="155" t="s">
        <v>29</v>
      </c>
      <c r="EG111" s="141"/>
      <c r="EH111" s="155">
        <v>0</v>
      </c>
      <c r="EI111" s="141"/>
      <c r="EK111" s="102" t="s">
        <v>15</v>
      </c>
      <c r="EL111" s="143" t="s">
        <v>7</v>
      </c>
      <c r="EM111" s="165">
        <v>0</v>
      </c>
      <c r="EO111" s="232" t="s">
        <v>13</v>
      </c>
      <c r="EP111" s="111" t="s">
        <v>14</v>
      </c>
      <c r="EQ111" s="124"/>
      <c r="ER111" s="155" t="s">
        <v>29</v>
      </c>
      <c r="ES111" s="141"/>
      <c r="ET111" s="156">
        <f t="shared" si="8"/>
        <v>14</v>
      </c>
      <c r="EU111" s="157"/>
      <c r="EW111" s="121" t="s">
        <v>15</v>
      </c>
      <c r="EX111" s="229" t="s">
        <v>7</v>
      </c>
      <c r="EY111" s="229">
        <f>K111+W111+AI111+AU111+BG111+BS111+CE111+CQ111+DC111+DO111+EA111+EM111</f>
        <v>17</v>
      </c>
    </row>
    <row r="112" spans="1:155" ht="17.100000000000001" customHeight="1" thickBot="1" x14ac:dyDescent="0.25">
      <c r="A112" s="159"/>
      <c r="B112" s="113"/>
      <c r="C112" s="175"/>
      <c r="D112" s="154" t="s">
        <v>16</v>
      </c>
      <c r="E112" s="142"/>
      <c r="F112" s="154">
        <v>0</v>
      </c>
      <c r="G112" s="142"/>
      <c r="I112" s="103"/>
      <c r="J112" s="140"/>
      <c r="K112" s="166"/>
      <c r="M112" s="159"/>
      <c r="N112" s="113"/>
      <c r="O112" s="175"/>
      <c r="P112" s="154" t="s">
        <v>16</v>
      </c>
      <c r="Q112" s="142"/>
      <c r="R112" s="154">
        <v>0</v>
      </c>
      <c r="S112" s="142"/>
      <c r="U112" s="103"/>
      <c r="V112" s="140"/>
      <c r="W112" s="166"/>
      <c r="Y112" s="159"/>
      <c r="Z112" s="113"/>
      <c r="AA112" s="175"/>
      <c r="AB112" s="154" t="s">
        <v>16</v>
      </c>
      <c r="AC112" s="142"/>
      <c r="AD112" s="154">
        <v>0</v>
      </c>
      <c r="AE112" s="142"/>
      <c r="AG112" s="103"/>
      <c r="AH112" s="140"/>
      <c r="AI112" s="166"/>
      <c r="AK112" s="159"/>
      <c r="AL112" s="113"/>
      <c r="AM112" s="175"/>
      <c r="AN112" s="154" t="s">
        <v>16</v>
      </c>
      <c r="AO112" s="142"/>
      <c r="AP112" s="154">
        <v>0</v>
      </c>
      <c r="AQ112" s="142"/>
      <c r="AS112" s="103"/>
      <c r="AT112" s="140"/>
      <c r="AU112" s="166"/>
      <c r="AW112" s="159"/>
      <c r="AX112" s="113"/>
      <c r="AY112" s="175"/>
      <c r="AZ112" s="154" t="s">
        <v>16</v>
      </c>
      <c r="BA112" s="142"/>
      <c r="BB112" s="154">
        <v>0</v>
      </c>
      <c r="BC112" s="142"/>
      <c r="BE112" s="103"/>
      <c r="BF112" s="140"/>
      <c r="BG112" s="166"/>
      <c r="BI112" s="159"/>
      <c r="BJ112" s="113"/>
      <c r="BK112" s="175"/>
      <c r="BL112" s="154" t="s">
        <v>16</v>
      </c>
      <c r="BM112" s="142"/>
      <c r="BN112" s="154">
        <v>0</v>
      </c>
      <c r="BO112" s="142"/>
      <c r="BQ112" s="103"/>
      <c r="BR112" s="140"/>
      <c r="BS112" s="166"/>
      <c r="BU112" s="159"/>
      <c r="BV112" s="113"/>
      <c r="BW112" s="175"/>
      <c r="BX112" s="154" t="s">
        <v>16</v>
      </c>
      <c r="BY112" s="142"/>
      <c r="BZ112" s="154">
        <v>0</v>
      </c>
      <c r="CA112" s="142"/>
      <c r="CC112" s="103"/>
      <c r="CD112" s="140"/>
      <c r="CE112" s="166"/>
      <c r="CG112" s="159"/>
      <c r="CH112" s="113"/>
      <c r="CI112" s="175"/>
      <c r="CJ112" s="154" t="s">
        <v>16</v>
      </c>
      <c r="CK112" s="142"/>
      <c r="CL112" s="154">
        <v>0</v>
      </c>
      <c r="CM112" s="142"/>
      <c r="CO112" s="103"/>
      <c r="CP112" s="140"/>
      <c r="CQ112" s="166"/>
      <c r="CS112" s="159"/>
      <c r="CT112" s="113"/>
      <c r="CU112" s="175"/>
      <c r="CV112" s="154" t="s">
        <v>16</v>
      </c>
      <c r="CW112" s="142"/>
      <c r="CX112" s="154">
        <v>0</v>
      </c>
      <c r="CY112" s="142"/>
      <c r="DA112" s="103"/>
      <c r="DB112" s="140"/>
      <c r="DC112" s="166"/>
      <c r="DD112" s="2"/>
      <c r="DE112" s="159"/>
      <c r="DF112" s="113"/>
      <c r="DG112" s="175"/>
      <c r="DH112" s="154" t="s">
        <v>16</v>
      </c>
      <c r="DI112" s="142"/>
      <c r="DJ112" s="182">
        <v>29</v>
      </c>
      <c r="DK112" s="183"/>
      <c r="DM112" s="103"/>
      <c r="DN112" s="140"/>
      <c r="DO112" s="166"/>
      <c r="DP112" s="2"/>
      <c r="DQ112" s="159"/>
      <c r="DR112" s="113"/>
      <c r="DS112" s="175"/>
      <c r="DT112" s="154" t="s">
        <v>16</v>
      </c>
      <c r="DU112" s="142"/>
      <c r="DV112" s="154">
        <v>0</v>
      </c>
      <c r="DW112" s="142"/>
      <c r="DY112" s="103"/>
      <c r="DZ112" s="140"/>
      <c r="EA112" s="166"/>
      <c r="EC112" s="159"/>
      <c r="ED112" s="113"/>
      <c r="EE112" s="175"/>
      <c r="EF112" s="154" t="s">
        <v>16</v>
      </c>
      <c r="EG112" s="142"/>
      <c r="EH112" s="154">
        <v>0</v>
      </c>
      <c r="EI112" s="142"/>
      <c r="EK112" s="103"/>
      <c r="EL112" s="140"/>
      <c r="EM112" s="166"/>
      <c r="EO112" s="233"/>
      <c r="EP112" s="113"/>
      <c r="EQ112" s="112"/>
      <c r="ER112" s="154" t="s">
        <v>16</v>
      </c>
      <c r="ES112" s="142"/>
      <c r="ET112" s="156">
        <f t="shared" si="8"/>
        <v>29</v>
      </c>
      <c r="EU112" s="157"/>
      <c r="EW112" s="122"/>
      <c r="EX112" s="139"/>
      <c r="EY112" s="237"/>
    </row>
    <row r="113" spans="1:155" ht="17.100000000000001" customHeight="1" thickBot="1" x14ac:dyDescent="0.25">
      <c r="A113" s="159"/>
      <c r="B113" s="125"/>
      <c r="C113" s="176"/>
      <c r="D113" s="177" t="s">
        <v>17</v>
      </c>
      <c r="E113" s="178"/>
      <c r="F113" s="177">
        <v>0</v>
      </c>
      <c r="G113" s="178"/>
      <c r="I113" s="103"/>
      <c r="J113" s="140" t="s">
        <v>11</v>
      </c>
      <c r="K113" s="166">
        <v>0</v>
      </c>
      <c r="M113" s="159"/>
      <c r="N113" s="125"/>
      <c r="O113" s="176"/>
      <c r="P113" s="177" t="s">
        <v>17</v>
      </c>
      <c r="Q113" s="178"/>
      <c r="R113" s="177">
        <v>0</v>
      </c>
      <c r="S113" s="178"/>
      <c r="U113" s="103"/>
      <c r="V113" s="140" t="s">
        <v>11</v>
      </c>
      <c r="W113" s="166">
        <v>0</v>
      </c>
      <c r="Y113" s="159"/>
      <c r="Z113" s="125"/>
      <c r="AA113" s="176"/>
      <c r="AB113" s="177" t="s">
        <v>17</v>
      </c>
      <c r="AC113" s="178"/>
      <c r="AD113" s="177">
        <v>0</v>
      </c>
      <c r="AE113" s="178"/>
      <c r="AG113" s="103"/>
      <c r="AH113" s="140" t="s">
        <v>11</v>
      </c>
      <c r="AI113" s="166">
        <v>0</v>
      </c>
      <c r="AK113" s="159"/>
      <c r="AL113" s="125"/>
      <c r="AM113" s="176"/>
      <c r="AN113" s="177" t="s">
        <v>17</v>
      </c>
      <c r="AO113" s="178"/>
      <c r="AP113" s="177">
        <v>0</v>
      </c>
      <c r="AQ113" s="178"/>
      <c r="AS113" s="103"/>
      <c r="AT113" s="140" t="s">
        <v>11</v>
      </c>
      <c r="AU113" s="166">
        <v>0</v>
      </c>
      <c r="AW113" s="159"/>
      <c r="AX113" s="125"/>
      <c r="AY113" s="176"/>
      <c r="AZ113" s="177" t="s">
        <v>17</v>
      </c>
      <c r="BA113" s="178"/>
      <c r="BB113" s="177">
        <v>0</v>
      </c>
      <c r="BC113" s="178"/>
      <c r="BE113" s="103"/>
      <c r="BF113" s="140" t="s">
        <v>11</v>
      </c>
      <c r="BG113" s="166">
        <v>0</v>
      </c>
      <c r="BI113" s="159"/>
      <c r="BJ113" s="125"/>
      <c r="BK113" s="176"/>
      <c r="BL113" s="177" t="s">
        <v>17</v>
      </c>
      <c r="BM113" s="178"/>
      <c r="BN113" s="177">
        <v>0</v>
      </c>
      <c r="BO113" s="178"/>
      <c r="BQ113" s="103"/>
      <c r="BR113" s="140" t="s">
        <v>11</v>
      </c>
      <c r="BS113" s="166">
        <v>0</v>
      </c>
      <c r="BU113" s="159"/>
      <c r="BV113" s="125"/>
      <c r="BW113" s="176"/>
      <c r="BX113" s="177" t="s">
        <v>17</v>
      </c>
      <c r="BY113" s="178"/>
      <c r="BZ113" s="177">
        <v>0</v>
      </c>
      <c r="CA113" s="178"/>
      <c r="CC113" s="103"/>
      <c r="CD113" s="140" t="s">
        <v>11</v>
      </c>
      <c r="CE113" s="166">
        <v>0</v>
      </c>
      <c r="CG113" s="159"/>
      <c r="CH113" s="125"/>
      <c r="CI113" s="176"/>
      <c r="CJ113" s="177" t="s">
        <v>17</v>
      </c>
      <c r="CK113" s="178"/>
      <c r="CL113" s="177">
        <v>0</v>
      </c>
      <c r="CM113" s="178"/>
      <c r="CO113" s="103"/>
      <c r="CP113" s="140" t="s">
        <v>11</v>
      </c>
      <c r="CQ113" s="166">
        <v>0</v>
      </c>
      <c r="CS113" s="159"/>
      <c r="CT113" s="125"/>
      <c r="CU113" s="176"/>
      <c r="CV113" s="177" t="s">
        <v>17</v>
      </c>
      <c r="CW113" s="178"/>
      <c r="CX113" s="177">
        <v>0</v>
      </c>
      <c r="CY113" s="178"/>
      <c r="DA113" s="103"/>
      <c r="DB113" s="140" t="s">
        <v>11</v>
      </c>
      <c r="DC113" s="166">
        <v>0</v>
      </c>
      <c r="DD113" s="2"/>
      <c r="DE113" s="159"/>
      <c r="DF113" s="125"/>
      <c r="DG113" s="176"/>
      <c r="DH113" s="177" t="s">
        <v>17</v>
      </c>
      <c r="DI113" s="178"/>
      <c r="DJ113" s="192">
        <v>0</v>
      </c>
      <c r="DK113" s="193"/>
      <c r="DM113" s="103"/>
      <c r="DN113" s="140" t="s">
        <v>11</v>
      </c>
      <c r="DO113" s="166">
        <v>13</v>
      </c>
      <c r="DP113" s="2"/>
      <c r="DQ113" s="159"/>
      <c r="DR113" s="125"/>
      <c r="DS113" s="176"/>
      <c r="DT113" s="177" t="s">
        <v>17</v>
      </c>
      <c r="DU113" s="178"/>
      <c r="DV113" s="177">
        <v>0</v>
      </c>
      <c r="DW113" s="178"/>
      <c r="DY113" s="103"/>
      <c r="DZ113" s="140" t="s">
        <v>11</v>
      </c>
      <c r="EA113" s="166">
        <v>0</v>
      </c>
      <c r="EC113" s="159"/>
      <c r="ED113" s="125"/>
      <c r="EE113" s="176"/>
      <c r="EF113" s="177" t="s">
        <v>17</v>
      </c>
      <c r="EG113" s="178"/>
      <c r="EH113" s="177">
        <v>0</v>
      </c>
      <c r="EI113" s="178"/>
      <c r="EK113" s="103"/>
      <c r="EL113" s="140" t="s">
        <v>11</v>
      </c>
      <c r="EM113" s="166">
        <v>0</v>
      </c>
      <c r="EO113" s="233"/>
      <c r="EP113" s="125"/>
      <c r="EQ113" s="126"/>
      <c r="ER113" s="177" t="s">
        <v>17</v>
      </c>
      <c r="ES113" s="178"/>
      <c r="ET113" s="156">
        <f t="shared" si="8"/>
        <v>0</v>
      </c>
      <c r="EU113" s="157"/>
      <c r="EW113" s="122"/>
      <c r="EX113" s="238" t="s">
        <v>11</v>
      </c>
      <c r="EY113" s="229">
        <f>K113+W113+AI113+AU113+BG113+BS113+CE113+CQ113+DC113+DO113+EA113+EM113</f>
        <v>13</v>
      </c>
    </row>
    <row r="114" spans="1:155" ht="17.100000000000001" customHeight="1" thickTop="1" thickBot="1" x14ac:dyDescent="0.25">
      <c r="A114" s="159"/>
      <c r="B114" s="111" t="s">
        <v>18</v>
      </c>
      <c r="C114" s="174"/>
      <c r="D114" s="155" t="s">
        <v>19</v>
      </c>
      <c r="E114" s="141"/>
      <c r="F114" s="155">
        <v>0</v>
      </c>
      <c r="G114" s="141"/>
      <c r="I114" s="103"/>
      <c r="J114" s="144"/>
      <c r="K114" s="180"/>
      <c r="M114" s="159"/>
      <c r="N114" s="111" t="s">
        <v>18</v>
      </c>
      <c r="O114" s="174"/>
      <c r="P114" s="155" t="s">
        <v>19</v>
      </c>
      <c r="Q114" s="141"/>
      <c r="R114" s="155">
        <v>0</v>
      </c>
      <c r="S114" s="141"/>
      <c r="U114" s="103"/>
      <c r="V114" s="144"/>
      <c r="W114" s="180"/>
      <c r="Y114" s="159"/>
      <c r="Z114" s="111" t="s">
        <v>18</v>
      </c>
      <c r="AA114" s="174"/>
      <c r="AB114" s="155" t="s">
        <v>19</v>
      </c>
      <c r="AC114" s="141"/>
      <c r="AD114" s="155">
        <v>0</v>
      </c>
      <c r="AE114" s="141"/>
      <c r="AG114" s="103"/>
      <c r="AH114" s="144"/>
      <c r="AI114" s="180"/>
      <c r="AK114" s="159"/>
      <c r="AL114" s="111" t="s">
        <v>18</v>
      </c>
      <c r="AM114" s="174"/>
      <c r="AN114" s="155" t="s">
        <v>19</v>
      </c>
      <c r="AO114" s="141"/>
      <c r="AP114" s="155">
        <v>0</v>
      </c>
      <c r="AQ114" s="141"/>
      <c r="AS114" s="103"/>
      <c r="AT114" s="144"/>
      <c r="AU114" s="180"/>
      <c r="AW114" s="159"/>
      <c r="AX114" s="111" t="s">
        <v>18</v>
      </c>
      <c r="AY114" s="174"/>
      <c r="AZ114" s="155" t="s">
        <v>19</v>
      </c>
      <c r="BA114" s="141"/>
      <c r="BB114" s="155">
        <v>0</v>
      </c>
      <c r="BC114" s="141"/>
      <c r="BE114" s="103"/>
      <c r="BF114" s="144"/>
      <c r="BG114" s="180"/>
      <c r="BI114" s="159"/>
      <c r="BJ114" s="111" t="s">
        <v>18</v>
      </c>
      <c r="BK114" s="174"/>
      <c r="BL114" s="155" t="s">
        <v>19</v>
      </c>
      <c r="BM114" s="141"/>
      <c r="BN114" s="155">
        <v>0</v>
      </c>
      <c r="BO114" s="141"/>
      <c r="BQ114" s="103"/>
      <c r="BR114" s="144"/>
      <c r="BS114" s="180"/>
      <c r="BU114" s="159"/>
      <c r="BV114" s="111" t="s">
        <v>18</v>
      </c>
      <c r="BW114" s="174"/>
      <c r="BX114" s="155" t="s">
        <v>19</v>
      </c>
      <c r="BY114" s="141"/>
      <c r="BZ114" s="155">
        <v>0</v>
      </c>
      <c r="CA114" s="141"/>
      <c r="CC114" s="103"/>
      <c r="CD114" s="144"/>
      <c r="CE114" s="180"/>
      <c r="CG114" s="159"/>
      <c r="CH114" s="111" t="s">
        <v>18</v>
      </c>
      <c r="CI114" s="174"/>
      <c r="CJ114" s="155" t="s">
        <v>19</v>
      </c>
      <c r="CK114" s="141"/>
      <c r="CL114" s="155">
        <v>0</v>
      </c>
      <c r="CM114" s="141"/>
      <c r="CO114" s="103"/>
      <c r="CP114" s="144"/>
      <c r="CQ114" s="180"/>
      <c r="CS114" s="159"/>
      <c r="CT114" s="111" t="s">
        <v>18</v>
      </c>
      <c r="CU114" s="174"/>
      <c r="CV114" s="155" t="s">
        <v>19</v>
      </c>
      <c r="CW114" s="141"/>
      <c r="CX114" s="155">
        <v>0</v>
      </c>
      <c r="CY114" s="141"/>
      <c r="DA114" s="103"/>
      <c r="DB114" s="144"/>
      <c r="DC114" s="180"/>
      <c r="DD114" s="2"/>
      <c r="DE114" s="159"/>
      <c r="DF114" s="111" t="s">
        <v>18</v>
      </c>
      <c r="DG114" s="174"/>
      <c r="DH114" s="155" t="s">
        <v>19</v>
      </c>
      <c r="DI114" s="141"/>
      <c r="DJ114" s="190">
        <v>0</v>
      </c>
      <c r="DK114" s="191"/>
      <c r="DM114" s="103"/>
      <c r="DN114" s="144"/>
      <c r="DO114" s="180"/>
      <c r="DP114" s="2"/>
      <c r="DQ114" s="159"/>
      <c r="DR114" s="111" t="s">
        <v>18</v>
      </c>
      <c r="DS114" s="174"/>
      <c r="DT114" s="155" t="s">
        <v>19</v>
      </c>
      <c r="DU114" s="141"/>
      <c r="DV114" s="155">
        <v>0</v>
      </c>
      <c r="DW114" s="141"/>
      <c r="DY114" s="103"/>
      <c r="DZ114" s="144"/>
      <c r="EA114" s="180"/>
      <c r="EC114" s="159"/>
      <c r="ED114" s="111" t="s">
        <v>18</v>
      </c>
      <c r="EE114" s="174"/>
      <c r="EF114" s="155" t="s">
        <v>19</v>
      </c>
      <c r="EG114" s="141"/>
      <c r="EH114" s="155">
        <v>0</v>
      </c>
      <c r="EI114" s="141"/>
      <c r="EK114" s="103"/>
      <c r="EL114" s="144"/>
      <c r="EM114" s="180"/>
      <c r="EO114" s="233"/>
      <c r="EP114" s="111" t="s">
        <v>18</v>
      </c>
      <c r="EQ114" s="124"/>
      <c r="ER114" s="155" t="s">
        <v>19</v>
      </c>
      <c r="ES114" s="141"/>
      <c r="ET114" s="156">
        <f t="shared" si="8"/>
        <v>0</v>
      </c>
      <c r="EU114" s="157"/>
      <c r="EW114" s="123"/>
      <c r="EX114" s="237"/>
      <c r="EY114" s="139"/>
    </row>
    <row r="115" spans="1:155" ht="17.100000000000001" customHeight="1" thickBot="1" x14ac:dyDescent="0.25">
      <c r="A115" s="159"/>
      <c r="B115" s="125"/>
      <c r="C115" s="176"/>
      <c r="D115" s="177" t="s">
        <v>20</v>
      </c>
      <c r="E115" s="178"/>
      <c r="F115" s="177">
        <v>0</v>
      </c>
      <c r="G115" s="178"/>
      <c r="I115" s="167" t="s">
        <v>21</v>
      </c>
      <c r="J115" s="168"/>
      <c r="K115" s="172">
        <f>SUM(K107:K114)</f>
        <v>0</v>
      </c>
      <c r="M115" s="159"/>
      <c r="N115" s="125"/>
      <c r="O115" s="176"/>
      <c r="P115" s="177" t="s">
        <v>20</v>
      </c>
      <c r="Q115" s="178"/>
      <c r="R115" s="177">
        <v>0</v>
      </c>
      <c r="S115" s="178"/>
      <c r="U115" s="167" t="s">
        <v>21</v>
      </c>
      <c r="V115" s="168"/>
      <c r="W115" s="172">
        <f>SUM(W107:W114)</f>
        <v>0</v>
      </c>
      <c r="Y115" s="159"/>
      <c r="Z115" s="125"/>
      <c r="AA115" s="176"/>
      <c r="AB115" s="177" t="s">
        <v>20</v>
      </c>
      <c r="AC115" s="178"/>
      <c r="AD115" s="177">
        <v>0</v>
      </c>
      <c r="AE115" s="178"/>
      <c r="AG115" s="167" t="s">
        <v>21</v>
      </c>
      <c r="AH115" s="168"/>
      <c r="AI115" s="172">
        <f>SUM(AI107:AI114)</f>
        <v>0</v>
      </c>
      <c r="AK115" s="159"/>
      <c r="AL115" s="125"/>
      <c r="AM115" s="176"/>
      <c r="AN115" s="177" t="s">
        <v>20</v>
      </c>
      <c r="AO115" s="178"/>
      <c r="AP115" s="177">
        <v>0</v>
      </c>
      <c r="AQ115" s="178"/>
      <c r="AS115" s="167" t="s">
        <v>21</v>
      </c>
      <c r="AT115" s="168"/>
      <c r="AU115" s="172">
        <f>SUM(AU107:AU114)</f>
        <v>0</v>
      </c>
      <c r="AW115" s="159"/>
      <c r="AX115" s="125"/>
      <c r="AY115" s="176"/>
      <c r="AZ115" s="177" t="s">
        <v>20</v>
      </c>
      <c r="BA115" s="178"/>
      <c r="BB115" s="177">
        <v>0</v>
      </c>
      <c r="BC115" s="178"/>
      <c r="BE115" s="167" t="s">
        <v>21</v>
      </c>
      <c r="BF115" s="168"/>
      <c r="BG115" s="172">
        <f>SUM(BG107:BG114)</f>
        <v>0</v>
      </c>
      <c r="BI115" s="159"/>
      <c r="BJ115" s="125"/>
      <c r="BK115" s="176"/>
      <c r="BL115" s="177" t="s">
        <v>20</v>
      </c>
      <c r="BM115" s="178"/>
      <c r="BN115" s="177">
        <v>0</v>
      </c>
      <c r="BO115" s="178"/>
      <c r="BQ115" s="167" t="s">
        <v>21</v>
      </c>
      <c r="BR115" s="168"/>
      <c r="BS115" s="172">
        <f>SUM(BS107:BS114)</f>
        <v>0</v>
      </c>
      <c r="BU115" s="159"/>
      <c r="BV115" s="125"/>
      <c r="BW115" s="176"/>
      <c r="BX115" s="177" t="s">
        <v>20</v>
      </c>
      <c r="BY115" s="178"/>
      <c r="BZ115" s="177">
        <v>0</v>
      </c>
      <c r="CA115" s="178"/>
      <c r="CC115" s="167" t="s">
        <v>21</v>
      </c>
      <c r="CD115" s="168"/>
      <c r="CE115" s="172">
        <f>SUM(CE107:CE114)</f>
        <v>0</v>
      </c>
      <c r="CG115" s="159"/>
      <c r="CH115" s="125"/>
      <c r="CI115" s="176"/>
      <c r="CJ115" s="177" t="s">
        <v>20</v>
      </c>
      <c r="CK115" s="178"/>
      <c r="CL115" s="177">
        <v>0</v>
      </c>
      <c r="CM115" s="178"/>
      <c r="CO115" s="167" t="s">
        <v>21</v>
      </c>
      <c r="CP115" s="168"/>
      <c r="CQ115" s="172">
        <f>SUM(CQ107:CQ114)</f>
        <v>0</v>
      </c>
      <c r="CS115" s="159"/>
      <c r="CT115" s="125"/>
      <c r="CU115" s="176"/>
      <c r="CV115" s="177" t="s">
        <v>20</v>
      </c>
      <c r="CW115" s="178"/>
      <c r="CX115" s="177">
        <v>0</v>
      </c>
      <c r="CY115" s="178"/>
      <c r="DA115" s="167" t="s">
        <v>21</v>
      </c>
      <c r="DB115" s="168"/>
      <c r="DC115" s="172">
        <f>SUM(DC107:DC114)</f>
        <v>0</v>
      </c>
      <c r="DD115" s="2"/>
      <c r="DE115" s="159"/>
      <c r="DF115" s="125"/>
      <c r="DG115" s="176"/>
      <c r="DH115" s="177" t="s">
        <v>20</v>
      </c>
      <c r="DI115" s="178"/>
      <c r="DJ115" s="192">
        <v>0</v>
      </c>
      <c r="DK115" s="193"/>
      <c r="DM115" s="167" t="s">
        <v>21</v>
      </c>
      <c r="DN115" s="168"/>
      <c r="DO115" s="172">
        <f>SUM(DO107:DO114)</f>
        <v>156</v>
      </c>
      <c r="DP115" s="2"/>
      <c r="DQ115" s="159"/>
      <c r="DR115" s="125"/>
      <c r="DS115" s="176"/>
      <c r="DT115" s="177" t="s">
        <v>20</v>
      </c>
      <c r="DU115" s="178"/>
      <c r="DV115" s="177">
        <v>0</v>
      </c>
      <c r="DW115" s="178"/>
      <c r="DY115" s="167" t="s">
        <v>21</v>
      </c>
      <c r="DZ115" s="168"/>
      <c r="EA115" s="172">
        <f>SUM(EA107:EA114)</f>
        <v>0</v>
      </c>
      <c r="EC115" s="159"/>
      <c r="ED115" s="125"/>
      <c r="EE115" s="176"/>
      <c r="EF115" s="177" t="s">
        <v>20</v>
      </c>
      <c r="EG115" s="178"/>
      <c r="EH115" s="177">
        <v>0</v>
      </c>
      <c r="EI115" s="178"/>
      <c r="EK115" s="167" t="s">
        <v>21</v>
      </c>
      <c r="EL115" s="168"/>
      <c r="EM115" s="172">
        <f>SUM(EM107:EM114)</f>
        <v>0</v>
      </c>
      <c r="EO115" s="233"/>
      <c r="EP115" s="125"/>
      <c r="EQ115" s="126"/>
      <c r="ER115" s="177" t="s">
        <v>20</v>
      </c>
      <c r="ES115" s="178"/>
      <c r="ET115" s="156">
        <f t="shared" si="8"/>
        <v>0</v>
      </c>
      <c r="EU115" s="157"/>
      <c r="EW115" s="167" t="s">
        <v>21</v>
      </c>
      <c r="EX115" s="239"/>
      <c r="EY115" s="240">
        <f>SUM(EY107:EY114)</f>
        <v>156</v>
      </c>
    </row>
    <row r="116" spans="1:155" ht="17.100000000000001" customHeight="1" thickTop="1" thickBot="1" x14ac:dyDescent="0.25">
      <c r="A116" s="159"/>
      <c r="B116" s="111" t="s">
        <v>22</v>
      </c>
      <c r="C116" s="174"/>
      <c r="D116" s="155" t="s">
        <v>23</v>
      </c>
      <c r="E116" s="141"/>
      <c r="F116" s="155">
        <v>0</v>
      </c>
      <c r="G116" s="141"/>
      <c r="I116" s="169"/>
      <c r="J116" s="168"/>
      <c r="K116" s="172"/>
      <c r="M116" s="159"/>
      <c r="N116" s="111" t="s">
        <v>22</v>
      </c>
      <c r="O116" s="174"/>
      <c r="P116" s="155" t="s">
        <v>23</v>
      </c>
      <c r="Q116" s="141"/>
      <c r="R116" s="155">
        <v>0</v>
      </c>
      <c r="S116" s="141"/>
      <c r="U116" s="169"/>
      <c r="V116" s="168"/>
      <c r="W116" s="172"/>
      <c r="Y116" s="159"/>
      <c r="Z116" s="111" t="s">
        <v>22</v>
      </c>
      <c r="AA116" s="174"/>
      <c r="AB116" s="155" t="s">
        <v>23</v>
      </c>
      <c r="AC116" s="141"/>
      <c r="AD116" s="155">
        <v>0</v>
      </c>
      <c r="AE116" s="141"/>
      <c r="AG116" s="169"/>
      <c r="AH116" s="168"/>
      <c r="AI116" s="172"/>
      <c r="AK116" s="159"/>
      <c r="AL116" s="111" t="s">
        <v>22</v>
      </c>
      <c r="AM116" s="174"/>
      <c r="AN116" s="155" t="s">
        <v>23</v>
      </c>
      <c r="AO116" s="141"/>
      <c r="AP116" s="155">
        <v>0</v>
      </c>
      <c r="AQ116" s="141"/>
      <c r="AS116" s="169"/>
      <c r="AT116" s="168"/>
      <c r="AU116" s="172"/>
      <c r="AW116" s="159"/>
      <c r="AX116" s="111" t="s">
        <v>22</v>
      </c>
      <c r="AY116" s="174"/>
      <c r="AZ116" s="155" t="s">
        <v>23</v>
      </c>
      <c r="BA116" s="141"/>
      <c r="BB116" s="155">
        <v>0</v>
      </c>
      <c r="BC116" s="141"/>
      <c r="BE116" s="169"/>
      <c r="BF116" s="168"/>
      <c r="BG116" s="172"/>
      <c r="BI116" s="159"/>
      <c r="BJ116" s="111" t="s">
        <v>22</v>
      </c>
      <c r="BK116" s="174"/>
      <c r="BL116" s="155" t="s">
        <v>23</v>
      </c>
      <c r="BM116" s="141"/>
      <c r="BN116" s="155">
        <v>0</v>
      </c>
      <c r="BO116" s="141"/>
      <c r="BQ116" s="169"/>
      <c r="BR116" s="168"/>
      <c r="BS116" s="172"/>
      <c r="BU116" s="159"/>
      <c r="BV116" s="111" t="s">
        <v>22</v>
      </c>
      <c r="BW116" s="174"/>
      <c r="BX116" s="155" t="s">
        <v>23</v>
      </c>
      <c r="BY116" s="141"/>
      <c r="BZ116" s="155">
        <v>0</v>
      </c>
      <c r="CA116" s="141"/>
      <c r="CC116" s="169"/>
      <c r="CD116" s="168"/>
      <c r="CE116" s="172"/>
      <c r="CG116" s="159"/>
      <c r="CH116" s="111" t="s">
        <v>22</v>
      </c>
      <c r="CI116" s="174"/>
      <c r="CJ116" s="155" t="s">
        <v>23</v>
      </c>
      <c r="CK116" s="141"/>
      <c r="CL116" s="155">
        <v>0</v>
      </c>
      <c r="CM116" s="141"/>
      <c r="CO116" s="169"/>
      <c r="CP116" s="168"/>
      <c r="CQ116" s="172"/>
      <c r="CS116" s="159"/>
      <c r="CT116" s="111" t="s">
        <v>22</v>
      </c>
      <c r="CU116" s="174"/>
      <c r="CV116" s="155" t="s">
        <v>23</v>
      </c>
      <c r="CW116" s="141"/>
      <c r="CX116" s="155">
        <v>0</v>
      </c>
      <c r="CY116" s="141"/>
      <c r="DA116" s="169"/>
      <c r="DB116" s="168"/>
      <c r="DC116" s="172"/>
      <c r="DD116" s="2"/>
      <c r="DE116" s="159"/>
      <c r="DF116" s="111" t="s">
        <v>22</v>
      </c>
      <c r="DG116" s="174"/>
      <c r="DH116" s="155" t="s">
        <v>23</v>
      </c>
      <c r="DI116" s="141"/>
      <c r="DJ116" s="190">
        <v>12</v>
      </c>
      <c r="DK116" s="191"/>
      <c r="DM116" s="169"/>
      <c r="DN116" s="168"/>
      <c r="DO116" s="172"/>
      <c r="DP116" s="2"/>
      <c r="DQ116" s="159"/>
      <c r="DR116" s="111" t="s">
        <v>22</v>
      </c>
      <c r="DS116" s="174"/>
      <c r="DT116" s="155" t="s">
        <v>23</v>
      </c>
      <c r="DU116" s="141"/>
      <c r="DV116" s="155">
        <v>0</v>
      </c>
      <c r="DW116" s="141"/>
      <c r="DY116" s="169"/>
      <c r="DZ116" s="168"/>
      <c r="EA116" s="172"/>
      <c r="EC116" s="159"/>
      <c r="ED116" s="111" t="s">
        <v>22</v>
      </c>
      <c r="EE116" s="174"/>
      <c r="EF116" s="155" t="s">
        <v>23</v>
      </c>
      <c r="EG116" s="141"/>
      <c r="EH116" s="155">
        <v>0</v>
      </c>
      <c r="EI116" s="141"/>
      <c r="EK116" s="169"/>
      <c r="EL116" s="168"/>
      <c r="EM116" s="172"/>
      <c r="EO116" s="233"/>
      <c r="EP116" s="111" t="s">
        <v>22</v>
      </c>
      <c r="EQ116" s="124"/>
      <c r="ER116" s="155" t="s">
        <v>23</v>
      </c>
      <c r="ES116" s="141"/>
      <c r="ET116" s="156">
        <f t="shared" si="8"/>
        <v>12</v>
      </c>
      <c r="EU116" s="157"/>
      <c r="EW116" s="169"/>
      <c r="EX116" s="168"/>
      <c r="EY116" s="172"/>
    </row>
    <row r="117" spans="1:155" ht="17.100000000000001" customHeight="1" thickBot="1" x14ac:dyDescent="0.25">
      <c r="A117" s="159"/>
      <c r="B117" s="113"/>
      <c r="C117" s="175"/>
      <c r="D117" s="154" t="s">
        <v>24</v>
      </c>
      <c r="E117" s="142"/>
      <c r="F117" s="154">
        <v>0</v>
      </c>
      <c r="G117" s="142"/>
      <c r="I117" s="170"/>
      <c r="J117" s="171"/>
      <c r="K117" s="173"/>
      <c r="M117" s="159"/>
      <c r="N117" s="113"/>
      <c r="O117" s="175"/>
      <c r="P117" s="154" t="s">
        <v>24</v>
      </c>
      <c r="Q117" s="142"/>
      <c r="R117" s="154">
        <v>0</v>
      </c>
      <c r="S117" s="142"/>
      <c r="U117" s="170"/>
      <c r="V117" s="171"/>
      <c r="W117" s="173"/>
      <c r="Y117" s="159"/>
      <c r="Z117" s="113"/>
      <c r="AA117" s="175"/>
      <c r="AB117" s="154" t="s">
        <v>24</v>
      </c>
      <c r="AC117" s="142"/>
      <c r="AD117" s="154">
        <v>0</v>
      </c>
      <c r="AE117" s="142"/>
      <c r="AG117" s="170"/>
      <c r="AH117" s="171"/>
      <c r="AI117" s="173"/>
      <c r="AK117" s="159"/>
      <c r="AL117" s="113"/>
      <c r="AM117" s="175"/>
      <c r="AN117" s="154" t="s">
        <v>24</v>
      </c>
      <c r="AO117" s="142"/>
      <c r="AP117" s="154">
        <v>0</v>
      </c>
      <c r="AQ117" s="142"/>
      <c r="AS117" s="170"/>
      <c r="AT117" s="171"/>
      <c r="AU117" s="173"/>
      <c r="AW117" s="159"/>
      <c r="AX117" s="113"/>
      <c r="AY117" s="175"/>
      <c r="AZ117" s="154" t="s">
        <v>24</v>
      </c>
      <c r="BA117" s="142"/>
      <c r="BB117" s="154">
        <v>0</v>
      </c>
      <c r="BC117" s="142"/>
      <c r="BE117" s="170"/>
      <c r="BF117" s="171"/>
      <c r="BG117" s="173"/>
      <c r="BI117" s="159"/>
      <c r="BJ117" s="113"/>
      <c r="BK117" s="175"/>
      <c r="BL117" s="154" t="s">
        <v>24</v>
      </c>
      <c r="BM117" s="142"/>
      <c r="BN117" s="154">
        <v>0</v>
      </c>
      <c r="BO117" s="142"/>
      <c r="BQ117" s="170"/>
      <c r="BR117" s="171"/>
      <c r="BS117" s="173"/>
      <c r="BU117" s="159"/>
      <c r="BV117" s="113"/>
      <c r="BW117" s="175"/>
      <c r="BX117" s="154" t="s">
        <v>24</v>
      </c>
      <c r="BY117" s="142"/>
      <c r="BZ117" s="154">
        <v>0</v>
      </c>
      <c r="CA117" s="142"/>
      <c r="CC117" s="170"/>
      <c r="CD117" s="171"/>
      <c r="CE117" s="173"/>
      <c r="CG117" s="159"/>
      <c r="CH117" s="113"/>
      <c r="CI117" s="175"/>
      <c r="CJ117" s="154" t="s">
        <v>24</v>
      </c>
      <c r="CK117" s="142"/>
      <c r="CL117" s="154">
        <v>0</v>
      </c>
      <c r="CM117" s="142"/>
      <c r="CO117" s="170"/>
      <c r="CP117" s="171"/>
      <c r="CQ117" s="173"/>
      <c r="CS117" s="159"/>
      <c r="CT117" s="113"/>
      <c r="CU117" s="175"/>
      <c r="CV117" s="154" t="s">
        <v>24</v>
      </c>
      <c r="CW117" s="142"/>
      <c r="CX117" s="154">
        <v>0</v>
      </c>
      <c r="CY117" s="142"/>
      <c r="DA117" s="170"/>
      <c r="DB117" s="171"/>
      <c r="DC117" s="173"/>
      <c r="DD117" s="2"/>
      <c r="DE117" s="159"/>
      <c r="DF117" s="113"/>
      <c r="DG117" s="175"/>
      <c r="DH117" s="154" t="s">
        <v>24</v>
      </c>
      <c r="DI117" s="142"/>
      <c r="DJ117" s="182">
        <v>0</v>
      </c>
      <c r="DK117" s="183"/>
      <c r="DM117" s="170"/>
      <c r="DN117" s="171"/>
      <c r="DO117" s="173"/>
      <c r="DP117" s="2"/>
      <c r="DQ117" s="159"/>
      <c r="DR117" s="113"/>
      <c r="DS117" s="175"/>
      <c r="DT117" s="154" t="s">
        <v>24</v>
      </c>
      <c r="DU117" s="142"/>
      <c r="DV117" s="154">
        <v>0</v>
      </c>
      <c r="DW117" s="142"/>
      <c r="DY117" s="170"/>
      <c r="DZ117" s="171"/>
      <c r="EA117" s="173"/>
      <c r="EC117" s="159"/>
      <c r="ED117" s="113"/>
      <c r="EE117" s="175"/>
      <c r="EF117" s="154" t="s">
        <v>24</v>
      </c>
      <c r="EG117" s="142"/>
      <c r="EH117" s="154">
        <v>0</v>
      </c>
      <c r="EI117" s="142"/>
      <c r="EK117" s="170"/>
      <c r="EL117" s="171"/>
      <c r="EM117" s="173"/>
      <c r="EO117" s="233"/>
      <c r="EP117" s="113"/>
      <c r="EQ117" s="112"/>
      <c r="ER117" s="154" t="s">
        <v>24</v>
      </c>
      <c r="ES117" s="142"/>
      <c r="ET117" s="156">
        <f t="shared" si="8"/>
        <v>0</v>
      </c>
      <c r="EU117" s="157"/>
      <c r="EW117" s="170"/>
      <c r="EX117" s="171"/>
      <c r="EY117" s="173"/>
    </row>
    <row r="118" spans="1:155" ht="17.100000000000001" customHeight="1" thickBot="1" x14ac:dyDescent="0.25">
      <c r="A118" s="159"/>
      <c r="B118" s="113"/>
      <c r="C118" s="175"/>
      <c r="D118" s="154" t="s">
        <v>25</v>
      </c>
      <c r="E118" s="142"/>
      <c r="F118" s="154">
        <v>0</v>
      </c>
      <c r="G118" s="142"/>
      <c r="I118" s="111" t="s">
        <v>26</v>
      </c>
      <c r="J118" s="124"/>
      <c r="K118" s="162">
        <v>0</v>
      </c>
      <c r="M118" s="159"/>
      <c r="N118" s="113"/>
      <c r="O118" s="175"/>
      <c r="P118" s="154" t="s">
        <v>25</v>
      </c>
      <c r="Q118" s="142"/>
      <c r="R118" s="154">
        <v>0</v>
      </c>
      <c r="S118" s="142"/>
      <c r="U118" s="111" t="s">
        <v>26</v>
      </c>
      <c r="V118" s="124"/>
      <c r="W118" s="162">
        <v>0</v>
      </c>
      <c r="Y118" s="159"/>
      <c r="Z118" s="113"/>
      <c r="AA118" s="175"/>
      <c r="AB118" s="154" t="s">
        <v>25</v>
      </c>
      <c r="AC118" s="142"/>
      <c r="AD118" s="154">
        <v>0</v>
      </c>
      <c r="AE118" s="142"/>
      <c r="AG118" s="111" t="s">
        <v>26</v>
      </c>
      <c r="AH118" s="124"/>
      <c r="AI118" s="162">
        <v>0</v>
      </c>
      <c r="AK118" s="159"/>
      <c r="AL118" s="113"/>
      <c r="AM118" s="175"/>
      <c r="AN118" s="154" t="s">
        <v>25</v>
      </c>
      <c r="AO118" s="142"/>
      <c r="AP118" s="154">
        <v>0</v>
      </c>
      <c r="AQ118" s="142"/>
      <c r="AS118" s="111" t="s">
        <v>26</v>
      </c>
      <c r="AT118" s="124"/>
      <c r="AU118" s="162">
        <v>0</v>
      </c>
      <c r="AW118" s="159"/>
      <c r="AX118" s="113"/>
      <c r="AY118" s="175"/>
      <c r="AZ118" s="154" t="s">
        <v>25</v>
      </c>
      <c r="BA118" s="142"/>
      <c r="BB118" s="154">
        <v>0</v>
      </c>
      <c r="BC118" s="142"/>
      <c r="BE118" s="111" t="s">
        <v>26</v>
      </c>
      <c r="BF118" s="124"/>
      <c r="BG118" s="162">
        <v>0</v>
      </c>
      <c r="BI118" s="159"/>
      <c r="BJ118" s="113"/>
      <c r="BK118" s="175"/>
      <c r="BL118" s="154" t="s">
        <v>25</v>
      </c>
      <c r="BM118" s="142"/>
      <c r="BN118" s="154">
        <v>0</v>
      </c>
      <c r="BO118" s="142"/>
      <c r="BQ118" s="111" t="s">
        <v>26</v>
      </c>
      <c r="BR118" s="124"/>
      <c r="BS118" s="162">
        <v>0</v>
      </c>
      <c r="BU118" s="159"/>
      <c r="BV118" s="113"/>
      <c r="BW118" s="175"/>
      <c r="BX118" s="154" t="s">
        <v>25</v>
      </c>
      <c r="BY118" s="142"/>
      <c r="BZ118" s="154">
        <v>0</v>
      </c>
      <c r="CA118" s="142"/>
      <c r="CC118" s="111" t="s">
        <v>26</v>
      </c>
      <c r="CD118" s="124"/>
      <c r="CE118" s="162">
        <v>0</v>
      </c>
      <c r="CG118" s="159"/>
      <c r="CH118" s="113"/>
      <c r="CI118" s="175"/>
      <c r="CJ118" s="154" t="s">
        <v>25</v>
      </c>
      <c r="CK118" s="142"/>
      <c r="CL118" s="154">
        <v>0</v>
      </c>
      <c r="CM118" s="142"/>
      <c r="CO118" s="111" t="s">
        <v>26</v>
      </c>
      <c r="CP118" s="124"/>
      <c r="CQ118" s="162">
        <v>0</v>
      </c>
      <c r="CS118" s="159"/>
      <c r="CT118" s="113"/>
      <c r="CU118" s="175"/>
      <c r="CV118" s="154" t="s">
        <v>25</v>
      </c>
      <c r="CW118" s="142"/>
      <c r="CX118" s="154">
        <v>0</v>
      </c>
      <c r="CY118" s="142"/>
      <c r="DA118" s="111" t="s">
        <v>26</v>
      </c>
      <c r="DB118" s="124"/>
      <c r="DC118" s="162">
        <v>0</v>
      </c>
      <c r="DD118" s="2"/>
      <c r="DE118" s="159"/>
      <c r="DF118" s="113"/>
      <c r="DG118" s="175"/>
      <c r="DH118" s="154" t="s">
        <v>25</v>
      </c>
      <c r="DI118" s="142"/>
      <c r="DJ118" s="182">
        <v>14</v>
      </c>
      <c r="DK118" s="183"/>
      <c r="DM118" s="111" t="s">
        <v>26</v>
      </c>
      <c r="DN118" s="124"/>
      <c r="DO118" s="162">
        <v>156</v>
      </c>
      <c r="DP118" s="2"/>
      <c r="DQ118" s="159"/>
      <c r="DR118" s="113"/>
      <c r="DS118" s="175"/>
      <c r="DT118" s="154" t="s">
        <v>25</v>
      </c>
      <c r="DU118" s="142"/>
      <c r="DV118" s="154">
        <v>0</v>
      </c>
      <c r="DW118" s="142"/>
      <c r="DY118" s="111" t="s">
        <v>26</v>
      </c>
      <c r="DZ118" s="124"/>
      <c r="EA118" s="162">
        <v>0</v>
      </c>
      <c r="EC118" s="159"/>
      <c r="ED118" s="113"/>
      <c r="EE118" s="175"/>
      <c r="EF118" s="154" t="s">
        <v>25</v>
      </c>
      <c r="EG118" s="142"/>
      <c r="EH118" s="154">
        <v>0</v>
      </c>
      <c r="EI118" s="142"/>
      <c r="EK118" s="111" t="s">
        <v>26</v>
      </c>
      <c r="EL118" s="124"/>
      <c r="EM118" s="162">
        <v>0</v>
      </c>
      <c r="EO118" s="233"/>
      <c r="EP118" s="113"/>
      <c r="EQ118" s="112"/>
      <c r="ER118" s="154" t="s">
        <v>25</v>
      </c>
      <c r="ES118" s="142"/>
      <c r="ET118" s="156">
        <f t="shared" si="8"/>
        <v>14</v>
      </c>
      <c r="EU118" s="157"/>
      <c r="EW118" s="111" t="s">
        <v>26</v>
      </c>
      <c r="EX118" s="124"/>
      <c r="EY118" s="162">
        <f>K118+W118+AI118+AU118+BG118+BS118+CE118+CQ118+DC118+DO118+EA118+EM118</f>
        <v>156</v>
      </c>
    </row>
    <row r="119" spans="1:155" ht="17.100000000000001" customHeight="1" thickBot="1" x14ac:dyDescent="0.25">
      <c r="A119" s="159"/>
      <c r="B119" s="125"/>
      <c r="C119" s="176"/>
      <c r="D119" s="177" t="s">
        <v>27</v>
      </c>
      <c r="E119" s="178"/>
      <c r="F119" s="177">
        <v>0</v>
      </c>
      <c r="G119" s="178"/>
      <c r="I119" s="113"/>
      <c r="J119" s="112"/>
      <c r="K119" s="163"/>
      <c r="M119" s="159"/>
      <c r="N119" s="125"/>
      <c r="O119" s="176"/>
      <c r="P119" s="177" t="s">
        <v>27</v>
      </c>
      <c r="Q119" s="178"/>
      <c r="R119" s="177">
        <v>0</v>
      </c>
      <c r="S119" s="178"/>
      <c r="U119" s="113"/>
      <c r="V119" s="112"/>
      <c r="W119" s="163"/>
      <c r="Y119" s="159"/>
      <c r="Z119" s="125"/>
      <c r="AA119" s="176"/>
      <c r="AB119" s="177" t="s">
        <v>27</v>
      </c>
      <c r="AC119" s="178"/>
      <c r="AD119" s="177">
        <v>0</v>
      </c>
      <c r="AE119" s="178"/>
      <c r="AG119" s="113"/>
      <c r="AH119" s="112"/>
      <c r="AI119" s="163"/>
      <c r="AK119" s="159"/>
      <c r="AL119" s="125"/>
      <c r="AM119" s="176"/>
      <c r="AN119" s="177" t="s">
        <v>27</v>
      </c>
      <c r="AO119" s="178"/>
      <c r="AP119" s="177">
        <v>0</v>
      </c>
      <c r="AQ119" s="178"/>
      <c r="AS119" s="113"/>
      <c r="AT119" s="112"/>
      <c r="AU119" s="163"/>
      <c r="AW119" s="159"/>
      <c r="AX119" s="125"/>
      <c r="AY119" s="176"/>
      <c r="AZ119" s="177" t="s">
        <v>27</v>
      </c>
      <c r="BA119" s="178"/>
      <c r="BB119" s="177">
        <v>0</v>
      </c>
      <c r="BC119" s="178"/>
      <c r="BE119" s="113"/>
      <c r="BF119" s="112"/>
      <c r="BG119" s="163"/>
      <c r="BI119" s="159"/>
      <c r="BJ119" s="125"/>
      <c r="BK119" s="176"/>
      <c r="BL119" s="177" t="s">
        <v>27</v>
      </c>
      <c r="BM119" s="178"/>
      <c r="BN119" s="177">
        <v>0</v>
      </c>
      <c r="BO119" s="178"/>
      <c r="BQ119" s="113"/>
      <c r="BR119" s="112"/>
      <c r="BS119" s="163"/>
      <c r="BU119" s="159"/>
      <c r="BV119" s="125"/>
      <c r="BW119" s="176"/>
      <c r="BX119" s="177" t="s">
        <v>27</v>
      </c>
      <c r="BY119" s="178"/>
      <c r="BZ119" s="177">
        <v>0</v>
      </c>
      <c r="CA119" s="178"/>
      <c r="CC119" s="113"/>
      <c r="CD119" s="112"/>
      <c r="CE119" s="163"/>
      <c r="CG119" s="159"/>
      <c r="CH119" s="125"/>
      <c r="CI119" s="176"/>
      <c r="CJ119" s="177" t="s">
        <v>27</v>
      </c>
      <c r="CK119" s="178"/>
      <c r="CL119" s="177">
        <v>0</v>
      </c>
      <c r="CM119" s="178"/>
      <c r="CO119" s="113"/>
      <c r="CP119" s="112"/>
      <c r="CQ119" s="163"/>
      <c r="CS119" s="159"/>
      <c r="CT119" s="125"/>
      <c r="CU119" s="176"/>
      <c r="CV119" s="177" t="s">
        <v>27</v>
      </c>
      <c r="CW119" s="178"/>
      <c r="CX119" s="177">
        <v>0</v>
      </c>
      <c r="CY119" s="178"/>
      <c r="DA119" s="113"/>
      <c r="DB119" s="112"/>
      <c r="DC119" s="163"/>
      <c r="DD119" s="2"/>
      <c r="DE119" s="159"/>
      <c r="DF119" s="125"/>
      <c r="DG119" s="176"/>
      <c r="DH119" s="177" t="s">
        <v>27</v>
      </c>
      <c r="DI119" s="178"/>
      <c r="DJ119" s="192">
        <v>24</v>
      </c>
      <c r="DK119" s="193"/>
      <c r="DM119" s="113"/>
      <c r="DN119" s="112"/>
      <c r="DO119" s="163"/>
      <c r="DP119" s="2"/>
      <c r="DQ119" s="159"/>
      <c r="DR119" s="125"/>
      <c r="DS119" s="176"/>
      <c r="DT119" s="177" t="s">
        <v>27</v>
      </c>
      <c r="DU119" s="178"/>
      <c r="DV119" s="177">
        <v>0</v>
      </c>
      <c r="DW119" s="178"/>
      <c r="DY119" s="113"/>
      <c r="DZ119" s="112"/>
      <c r="EA119" s="163"/>
      <c r="EC119" s="159"/>
      <c r="ED119" s="125"/>
      <c r="EE119" s="176"/>
      <c r="EF119" s="177" t="s">
        <v>27</v>
      </c>
      <c r="EG119" s="178"/>
      <c r="EH119" s="177">
        <v>0</v>
      </c>
      <c r="EI119" s="178"/>
      <c r="EK119" s="113"/>
      <c r="EL119" s="112"/>
      <c r="EM119" s="163"/>
      <c r="EO119" s="233"/>
      <c r="EP119" s="125"/>
      <c r="EQ119" s="126"/>
      <c r="ER119" s="177" t="s">
        <v>27</v>
      </c>
      <c r="ES119" s="178"/>
      <c r="ET119" s="156">
        <f t="shared" si="8"/>
        <v>24</v>
      </c>
      <c r="EU119" s="157"/>
      <c r="EW119" s="113"/>
      <c r="EX119" s="112"/>
      <c r="EY119" s="163"/>
    </row>
    <row r="120" spans="1:155" ht="17.100000000000001" customHeight="1" thickTop="1" thickBot="1" x14ac:dyDescent="0.25">
      <c r="A120" s="159"/>
      <c r="B120" s="111" t="s">
        <v>28</v>
      </c>
      <c r="C120" s="174"/>
      <c r="D120" s="155" t="s">
        <v>29</v>
      </c>
      <c r="E120" s="141"/>
      <c r="F120" s="155">
        <v>0</v>
      </c>
      <c r="G120" s="141"/>
      <c r="I120" s="125"/>
      <c r="J120" s="126"/>
      <c r="K120" s="164"/>
      <c r="M120" s="159"/>
      <c r="N120" s="111" t="s">
        <v>28</v>
      </c>
      <c r="O120" s="174"/>
      <c r="P120" s="155" t="s">
        <v>29</v>
      </c>
      <c r="Q120" s="141"/>
      <c r="R120" s="155">
        <v>0</v>
      </c>
      <c r="S120" s="141"/>
      <c r="U120" s="125"/>
      <c r="V120" s="126"/>
      <c r="W120" s="164"/>
      <c r="Y120" s="159"/>
      <c r="Z120" s="111" t="s">
        <v>28</v>
      </c>
      <c r="AA120" s="174"/>
      <c r="AB120" s="155" t="s">
        <v>29</v>
      </c>
      <c r="AC120" s="141"/>
      <c r="AD120" s="155">
        <v>0</v>
      </c>
      <c r="AE120" s="141"/>
      <c r="AG120" s="125"/>
      <c r="AH120" s="126"/>
      <c r="AI120" s="164"/>
      <c r="AK120" s="159"/>
      <c r="AL120" s="111" t="s">
        <v>28</v>
      </c>
      <c r="AM120" s="174"/>
      <c r="AN120" s="155" t="s">
        <v>29</v>
      </c>
      <c r="AO120" s="141"/>
      <c r="AP120" s="155">
        <v>0</v>
      </c>
      <c r="AQ120" s="141"/>
      <c r="AS120" s="125"/>
      <c r="AT120" s="126"/>
      <c r="AU120" s="164"/>
      <c r="AW120" s="159"/>
      <c r="AX120" s="111" t="s">
        <v>28</v>
      </c>
      <c r="AY120" s="174"/>
      <c r="AZ120" s="155" t="s">
        <v>29</v>
      </c>
      <c r="BA120" s="141"/>
      <c r="BB120" s="155">
        <v>0</v>
      </c>
      <c r="BC120" s="141"/>
      <c r="BE120" s="125"/>
      <c r="BF120" s="126"/>
      <c r="BG120" s="164"/>
      <c r="BI120" s="159"/>
      <c r="BJ120" s="111" t="s">
        <v>28</v>
      </c>
      <c r="BK120" s="174"/>
      <c r="BL120" s="155" t="s">
        <v>29</v>
      </c>
      <c r="BM120" s="141"/>
      <c r="BN120" s="155">
        <v>0</v>
      </c>
      <c r="BO120" s="141"/>
      <c r="BQ120" s="125"/>
      <c r="BR120" s="126"/>
      <c r="BS120" s="164"/>
      <c r="BU120" s="159"/>
      <c r="BV120" s="111" t="s">
        <v>28</v>
      </c>
      <c r="BW120" s="174"/>
      <c r="BX120" s="155" t="s">
        <v>29</v>
      </c>
      <c r="BY120" s="141"/>
      <c r="BZ120" s="155">
        <v>0</v>
      </c>
      <c r="CA120" s="141"/>
      <c r="CC120" s="125"/>
      <c r="CD120" s="126"/>
      <c r="CE120" s="164"/>
      <c r="CG120" s="159"/>
      <c r="CH120" s="111" t="s">
        <v>28</v>
      </c>
      <c r="CI120" s="174"/>
      <c r="CJ120" s="155" t="s">
        <v>29</v>
      </c>
      <c r="CK120" s="141"/>
      <c r="CL120" s="155">
        <v>0</v>
      </c>
      <c r="CM120" s="141"/>
      <c r="CO120" s="125"/>
      <c r="CP120" s="126"/>
      <c r="CQ120" s="164"/>
      <c r="CS120" s="159"/>
      <c r="CT120" s="111" t="s">
        <v>28</v>
      </c>
      <c r="CU120" s="174"/>
      <c r="CV120" s="155" t="s">
        <v>29</v>
      </c>
      <c r="CW120" s="141"/>
      <c r="CX120" s="155">
        <v>0</v>
      </c>
      <c r="CY120" s="141"/>
      <c r="DA120" s="125"/>
      <c r="DB120" s="126"/>
      <c r="DC120" s="164"/>
      <c r="DD120" s="2"/>
      <c r="DE120" s="159"/>
      <c r="DF120" s="111" t="s">
        <v>28</v>
      </c>
      <c r="DG120" s="174"/>
      <c r="DH120" s="155" t="s">
        <v>29</v>
      </c>
      <c r="DI120" s="141"/>
      <c r="DJ120" s="190">
        <v>0</v>
      </c>
      <c r="DK120" s="191"/>
      <c r="DM120" s="125"/>
      <c r="DN120" s="126"/>
      <c r="DO120" s="164"/>
      <c r="DP120" s="2"/>
      <c r="DQ120" s="159"/>
      <c r="DR120" s="111" t="s">
        <v>28</v>
      </c>
      <c r="DS120" s="174"/>
      <c r="DT120" s="155" t="s">
        <v>29</v>
      </c>
      <c r="DU120" s="141"/>
      <c r="DV120" s="155">
        <v>0</v>
      </c>
      <c r="DW120" s="141"/>
      <c r="DY120" s="125"/>
      <c r="DZ120" s="126"/>
      <c r="EA120" s="164"/>
      <c r="EC120" s="159"/>
      <c r="ED120" s="111" t="s">
        <v>28</v>
      </c>
      <c r="EE120" s="174"/>
      <c r="EF120" s="155" t="s">
        <v>29</v>
      </c>
      <c r="EG120" s="141"/>
      <c r="EH120" s="155">
        <v>0</v>
      </c>
      <c r="EI120" s="141"/>
      <c r="EK120" s="125"/>
      <c r="EL120" s="126"/>
      <c r="EM120" s="164"/>
      <c r="EO120" s="233"/>
      <c r="EP120" s="111" t="s">
        <v>28</v>
      </c>
      <c r="EQ120" s="124"/>
      <c r="ER120" s="155" t="s">
        <v>29</v>
      </c>
      <c r="ES120" s="141"/>
      <c r="ET120" s="156">
        <f t="shared" si="8"/>
        <v>0</v>
      </c>
      <c r="EU120" s="157"/>
      <c r="EW120" s="125"/>
      <c r="EX120" s="126"/>
      <c r="EY120" s="164"/>
    </row>
    <row r="121" spans="1:155" ht="17.100000000000001" customHeight="1" thickBot="1" x14ac:dyDescent="0.25">
      <c r="A121" s="159"/>
      <c r="B121" s="113"/>
      <c r="C121" s="175"/>
      <c r="D121" s="154" t="s">
        <v>30</v>
      </c>
      <c r="E121" s="142"/>
      <c r="F121" s="154">
        <v>0</v>
      </c>
      <c r="G121" s="142"/>
      <c r="I121" s="111" t="s">
        <v>31</v>
      </c>
      <c r="J121" s="124"/>
      <c r="K121" s="162">
        <v>0</v>
      </c>
      <c r="M121" s="159"/>
      <c r="N121" s="113"/>
      <c r="O121" s="175"/>
      <c r="P121" s="154" t="s">
        <v>30</v>
      </c>
      <c r="Q121" s="142"/>
      <c r="R121" s="154">
        <v>0</v>
      </c>
      <c r="S121" s="142"/>
      <c r="U121" s="111" t="s">
        <v>31</v>
      </c>
      <c r="V121" s="124"/>
      <c r="W121" s="162">
        <v>0</v>
      </c>
      <c r="Y121" s="159"/>
      <c r="Z121" s="113"/>
      <c r="AA121" s="175"/>
      <c r="AB121" s="154" t="s">
        <v>30</v>
      </c>
      <c r="AC121" s="142"/>
      <c r="AD121" s="154">
        <v>0</v>
      </c>
      <c r="AE121" s="142"/>
      <c r="AG121" s="111" t="s">
        <v>31</v>
      </c>
      <c r="AH121" s="124"/>
      <c r="AI121" s="162">
        <v>0</v>
      </c>
      <c r="AK121" s="159"/>
      <c r="AL121" s="113"/>
      <c r="AM121" s="175"/>
      <c r="AN121" s="154" t="s">
        <v>30</v>
      </c>
      <c r="AO121" s="142"/>
      <c r="AP121" s="154">
        <v>0</v>
      </c>
      <c r="AQ121" s="142"/>
      <c r="AS121" s="111" t="s">
        <v>31</v>
      </c>
      <c r="AT121" s="124"/>
      <c r="AU121" s="162">
        <v>0</v>
      </c>
      <c r="AW121" s="159"/>
      <c r="AX121" s="113"/>
      <c r="AY121" s="175"/>
      <c r="AZ121" s="154" t="s">
        <v>30</v>
      </c>
      <c r="BA121" s="142"/>
      <c r="BB121" s="154">
        <v>0</v>
      </c>
      <c r="BC121" s="142"/>
      <c r="BE121" s="111" t="s">
        <v>31</v>
      </c>
      <c r="BF121" s="124"/>
      <c r="BG121" s="162">
        <v>0</v>
      </c>
      <c r="BI121" s="159"/>
      <c r="BJ121" s="113"/>
      <c r="BK121" s="175"/>
      <c r="BL121" s="154" t="s">
        <v>30</v>
      </c>
      <c r="BM121" s="142"/>
      <c r="BN121" s="154">
        <v>0</v>
      </c>
      <c r="BO121" s="142"/>
      <c r="BQ121" s="111" t="s">
        <v>31</v>
      </c>
      <c r="BR121" s="124"/>
      <c r="BS121" s="162">
        <v>0</v>
      </c>
      <c r="BU121" s="159"/>
      <c r="BV121" s="113"/>
      <c r="BW121" s="175"/>
      <c r="BX121" s="154" t="s">
        <v>30</v>
      </c>
      <c r="BY121" s="142"/>
      <c r="BZ121" s="154">
        <v>0</v>
      </c>
      <c r="CA121" s="142"/>
      <c r="CC121" s="111" t="s">
        <v>31</v>
      </c>
      <c r="CD121" s="124"/>
      <c r="CE121" s="162">
        <v>0</v>
      </c>
      <c r="CG121" s="159"/>
      <c r="CH121" s="113"/>
      <c r="CI121" s="175"/>
      <c r="CJ121" s="154" t="s">
        <v>30</v>
      </c>
      <c r="CK121" s="142"/>
      <c r="CL121" s="154">
        <v>0</v>
      </c>
      <c r="CM121" s="142"/>
      <c r="CO121" s="111" t="s">
        <v>31</v>
      </c>
      <c r="CP121" s="124"/>
      <c r="CQ121" s="162">
        <v>0</v>
      </c>
      <c r="CS121" s="159"/>
      <c r="CT121" s="113"/>
      <c r="CU121" s="175"/>
      <c r="CV121" s="154" t="s">
        <v>30</v>
      </c>
      <c r="CW121" s="142"/>
      <c r="CX121" s="154">
        <v>0</v>
      </c>
      <c r="CY121" s="142"/>
      <c r="DA121" s="111" t="s">
        <v>31</v>
      </c>
      <c r="DB121" s="124"/>
      <c r="DC121" s="162">
        <v>0</v>
      </c>
      <c r="DD121" s="2"/>
      <c r="DE121" s="159"/>
      <c r="DF121" s="113"/>
      <c r="DG121" s="175"/>
      <c r="DH121" s="154" t="s">
        <v>30</v>
      </c>
      <c r="DI121" s="142"/>
      <c r="DJ121" s="182">
        <v>15</v>
      </c>
      <c r="DK121" s="183"/>
      <c r="DM121" s="111" t="s">
        <v>31</v>
      </c>
      <c r="DN121" s="124"/>
      <c r="DO121" s="162">
        <v>0</v>
      </c>
      <c r="DP121" s="2"/>
      <c r="DQ121" s="159"/>
      <c r="DR121" s="113"/>
      <c r="DS121" s="175"/>
      <c r="DT121" s="154" t="s">
        <v>30</v>
      </c>
      <c r="DU121" s="142"/>
      <c r="DV121" s="154">
        <v>0</v>
      </c>
      <c r="DW121" s="142"/>
      <c r="DY121" s="111" t="s">
        <v>31</v>
      </c>
      <c r="DZ121" s="124"/>
      <c r="EA121" s="162">
        <v>0</v>
      </c>
      <c r="EC121" s="159"/>
      <c r="ED121" s="113"/>
      <c r="EE121" s="175"/>
      <c r="EF121" s="154" t="s">
        <v>30</v>
      </c>
      <c r="EG121" s="142"/>
      <c r="EH121" s="154">
        <v>0</v>
      </c>
      <c r="EI121" s="142"/>
      <c r="EK121" s="111" t="s">
        <v>31</v>
      </c>
      <c r="EL121" s="124"/>
      <c r="EM121" s="162">
        <v>0</v>
      </c>
      <c r="EO121" s="233"/>
      <c r="EP121" s="113"/>
      <c r="EQ121" s="112"/>
      <c r="ER121" s="154" t="s">
        <v>30</v>
      </c>
      <c r="ES121" s="142"/>
      <c r="ET121" s="156">
        <f t="shared" si="8"/>
        <v>15</v>
      </c>
      <c r="EU121" s="157"/>
      <c r="EW121" s="111" t="s">
        <v>31</v>
      </c>
      <c r="EX121" s="124"/>
      <c r="EY121" s="162">
        <f>K121+W121+AI121+AU121+BG121+BS121+CE121+CQ121+DC121+DO121+EA121+EM121</f>
        <v>0</v>
      </c>
    </row>
    <row r="122" spans="1:155" ht="17.100000000000001" customHeight="1" thickBot="1" x14ac:dyDescent="0.25">
      <c r="A122" s="159"/>
      <c r="B122" s="125"/>
      <c r="C122" s="176"/>
      <c r="D122" s="177" t="s">
        <v>32</v>
      </c>
      <c r="E122" s="178"/>
      <c r="F122" s="177">
        <v>0</v>
      </c>
      <c r="G122" s="178"/>
      <c r="I122" s="113"/>
      <c r="J122" s="112"/>
      <c r="K122" s="163"/>
      <c r="M122" s="159"/>
      <c r="N122" s="125"/>
      <c r="O122" s="176"/>
      <c r="P122" s="177" t="s">
        <v>32</v>
      </c>
      <c r="Q122" s="178"/>
      <c r="R122" s="177">
        <v>0</v>
      </c>
      <c r="S122" s="178"/>
      <c r="U122" s="113"/>
      <c r="V122" s="112"/>
      <c r="W122" s="163"/>
      <c r="Y122" s="159"/>
      <c r="Z122" s="125"/>
      <c r="AA122" s="176"/>
      <c r="AB122" s="177" t="s">
        <v>32</v>
      </c>
      <c r="AC122" s="178"/>
      <c r="AD122" s="177">
        <v>0</v>
      </c>
      <c r="AE122" s="178"/>
      <c r="AG122" s="113"/>
      <c r="AH122" s="112"/>
      <c r="AI122" s="163"/>
      <c r="AK122" s="159"/>
      <c r="AL122" s="125"/>
      <c r="AM122" s="176"/>
      <c r="AN122" s="177" t="s">
        <v>32</v>
      </c>
      <c r="AO122" s="178"/>
      <c r="AP122" s="177">
        <v>0</v>
      </c>
      <c r="AQ122" s="178"/>
      <c r="AS122" s="113"/>
      <c r="AT122" s="112"/>
      <c r="AU122" s="163"/>
      <c r="AW122" s="159"/>
      <c r="AX122" s="125"/>
      <c r="AY122" s="176"/>
      <c r="AZ122" s="177" t="s">
        <v>32</v>
      </c>
      <c r="BA122" s="178"/>
      <c r="BB122" s="177">
        <v>0</v>
      </c>
      <c r="BC122" s="178"/>
      <c r="BE122" s="113"/>
      <c r="BF122" s="112"/>
      <c r="BG122" s="163"/>
      <c r="BI122" s="159"/>
      <c r="BJ122" s="125"/>
      <c r="BK122" s="176"/>
      <c r="BL122" s="177" t="s">
        <v>32</v>
      </c>
      <c r="BM122" s="178"/>
      <c r="BN122" s="177">
        <v>0</v>
      </c>
      <c r="BO122" s="178"/>
      <c r="BQ122" s="113"/>
      <c r="BR122" s="112"/>
      <c r="BS122" s="163"/>
      <c r="BU122" s="159"/>
      <c r="BV122" s="125"/>
      <c r="BW122" s="176"/>
      <c r="BX122" s="177" t="s">
        <v>32</v>
      </c>
      <c r="BY122" s="178"/>
      <c r="BZ122" s="177">
        <v>0</v>
      </c>
      <c r="CA122" s="178"/>
      <c r="CC122" s="113"/>
      <c r="CD122" s="112"/>
      <c r="CE122" s="163"/>
      <c r="CG122" s="159"/>
      <c r="CH122" s="125"/>
      <c r="CI122" s="176"/>
      <c r="CJ122" s="177" t="s">
        <v>32</v>
      </c>
      <c r="CK122" s="178"/>
      <c r="CL122" s="177">
        <v>0</v>
      </c>
      <c r="CM122" s="178"/>
      <c r="CO122" s="113"/>
      <c r="CP122" s="112"/>
      <c r="CQ122" s="163"/>
      <c r="CS122" s="159"/>
      <c r="CT122" s="125"/>
      <c r="CU122" s="176"/>
      <c r="CV122" s="177" t="s">
        <v>32</v>
      </c>
      <c r="CW122" s="178"/>
      <c r="CX122" s="177">
        <v>0</v>
      </c>
      <c r="CY122" s="178"/>
      <c r="DA122" s="113"/>
      <c r="DB122" s="112"/>
      <c r="DC122" s="163"/>
      <c r="DD122" s="2"/>
      <c r="DE122" s="159"/>
      <c r="DF122" s="125"/>
      <c r="DG122" s="176"/>
      <c r="DH122" s="177" t="s">
        <v>32</v>
      </c>
      <c r="DI122" s="178"/>
      <c r="DJ122" s="192">
        <v>0</v>
      </c>
      <c r="DK122" s="193"/>
      <c r="DM122" s="113"/>
      <c r="DN122" s="112"/>
      <c r="DO122" s="163"/>
      <c r="DP122" s="2"/>
      <c r="DQ122" s="159"/>
      <c r="DR122" s="125"/>
      <c r="DS122" s="176"/>
      <c r="DT122" s="177" t="s">
        <v>32</v>
      </c>
      <c r="DU122" s="178"/>
      <c r="DV122" s="177">
        <v>0</v>
      </c>
      <c r="DW122" s="178"/>
      <c r="DY122" s="113"/>
      <c r="DZ122" s="112"/>
      <c r="EA122" s="163"/>
      <c r="EC122" s="159"/>
      <c r="ED122" s="125"/>
      <c r="EE122" s="176"/>
      <c r="EF122" s="177" t="s">
        <v>32</v>
      </c>
      <c r="EG122" s="178"/>
      <c r="EH122" s="177">
        <v>0</v>
      </c>
      <c r="EI122" s="178"/>
      <c r="EK122" s="113"/>
      <c r="EL122" s="112"/>
      <c r="EM122" s="163"/>
      <c r="EO122" s="233"/>
      <c r="EP122" s="125"/>
      <c r="EQ122" s="126"/>
      <c r="ER122" s="177" t="s">
        <v>32</v>
      </c>
      <c r="ES122" s="178"/>
      <c r="ET122" s="156">
        <f t="shared" si="8"/>
        <v>0</v>
      </c>
      <c r="EU122" s="157"/>
      <c r="EW122" s="113"/>
      <c r="EX122" s="112"/>
      <c r="EY122" s="163"/>
    </row>
    <row r="123" spans="1:155" ht="17.100000000000001" customHeight="1" thickTop="1" thickBot="1" x14ac:dyDescent="0.25">
      <c r="A123" s="159"/>
      <c r="B123" s="111" t="s">
        <v>33</v>
      </c>
      <c r="C123" s="174"/>
      <c r="D123" s="155" t="s">
        <v>34</v>
      </c>
      <c r="E123" s="141"/>
      <c r="F123" s="155">
        <v>0</v>
      </c>
      <c r="G123" s="141"/>
      <c r="I123" s="125"/>
      <c r="J123" s="126"/>
      <c r="K123" s="164"/>
      <c r="M123" s="159"/>
      <c r="N123" s="111" t="s">
        <v>33</v>
      </c>
      <c r="O123" s="174"/>
      <c r="P123" s="155" t="s">
        <v>34</v>
      </c>
      <c r="Q123" s="141"/>
      <c r="R123" s="155">
        <v>0</v>
      </c>
      <c r="S123" s="141"/>
      <c r="U123" s="125"/>
      <c r="V123" s="126"/>
      <c r="W123" s="164"/>
      <c r="Y123" s="159"/>
      <c r="Z123" s="111" t="s">
        <v>33</v>
      </c>
      <c r="AA123" s="174"/>
      <c r="AB123" s="155" t="s">
        <v>34</v>
      </c>
      <c r="AC123" s="141"/>
      <c r="AD123" s="155">
        <v>0</v>
      </c>
      <c r="AE123" s="141"/>
      <c r="AG123" s="125"/>
      <c r="AH123" s="126"/>
      <c r="AI123" s="164"/>
      <c r="AK123" s="159"/>
      <c r="AL123" s="111" t="s">
        <v>33</v>
      </c>
      <c r="AM123" s="174"/>
      <c r="AN123" s="155" t="s">
        <v>34</v>
      </c>
      <c r="AO123" s="141"/>
      <c r="AP123" s="155">
        <v>0</v>
      </c>
      <c r="AQ123" s="141"/>
      <c r="AS123" s="125"/>
      <c r="AT123" s="126"/>
      <c r="AU123" s="164"/>
      <c r="AW123" s="159"/>
      <c r="AX123" s="111" t="s">
        <v>33</v>
      </c>
      <c r="AY123" s="174"/>
      <c r="AZ123" s="155" t="s">
        <v>34</v>
      </c>
      <c r="BA123" s="141"/>
      <c r="BB123" s="155">
        <v>0</v>
      </c>
      <c r="BC123" s="141"/>
      <c r="BE123" s="125"/>
      <c r="BF123" s="126"/>
      <c r="BG123" s="164"/>
      <c r="BI123" s="159"/>
      <c r="BJ123" s="111" t="s">
        <v>33</v>
      </c>
      <c r="BK123" s="174"/>
      <c r="BL123" s="155" t="s">
        <v>34</v>
      </c>
      <c r="BM123" s="141"/>
      <c r="BN123" s="155">
        <v>0</v>
      </c>
      <c r="BO123" s="141"/>
      <c r="BQ123" s="125"/>
      <c r="BR123" s="126"/>
      <c r="BS123" s="164"/>
      <c r="BU123" s="159"/>
      <c r="BV123" s="111" t="s">
        <v>33</v>
      </c>
      <c r="BW123" s="174"/>
      <c r="BX123" s="155" t="s">
        <v>34</v>
      </c>
      <c r="BY123" s="141"/>
      <c r="BZ123" s="155">
        <v>0</v>
      </c>
      <c r="CA123" s="141"/>
      <c r="CC123" s="125"/>
      <c r="CD123" s="126"/>
      <c r="CE123" s="164"/>
      <c r="CG123" s="159"/>
      <c r="CH123" s="111" t="s">
        <v>33</v>
      </c>
      <c r="CI123" s="174"/>
      <c r="CJ123" s="155" t="s">
        <v>34</v>
      </c>
      <c r="CK123" s="141"/>
      <c r="CL123" s="155">
        <v>0</v>
      </c>
      <c r="CM123" s="141"/>
      <c r="CO123" s="125"/>
      <c r="CP123" s="126"/>
      <c r="CQ123" s="164"/>
      <c r="CS123" s="159"/>
      <c r="CT123" s="111" t="s">
        <v>33</v>
      </c>
      <c r="CU123" s="174"/>
      <c r="CV123" s="155" t="s">
        <v>34</v>
      </c>
      <c r="CW123" s="141"/>
      <c r="CX123" s="155">
        <v>0</v>
      </c>
      <c r="CY123" s="141"/>
      <c r="DA123" s="125"/>
      <c r="DB123" s="126"/>
      <c r="DC123" s="164"/>
      <c r="DD123" s="2"/>
      <c r="DE123" s="159"/>
      <c r="DF123" s="111" t="s">
        <v>33</v>
      </c>
      <c r="DG123" s="174"/>
      <c r="DH123" s="155" t="s">
        <v>34</v>
      </c>
      <c r="DI123" s="141"/>
      <c r="DJ123" s="190">
        <v>28</v>
      </c>
      <c r="DK123" s="191"/>
      <c r="DM123" s="125"/>
      <c r="DN123" s="126"/>
      <c r="DO123" s="164"/>
      <c r="DP123" s="2"/>
      <c r="DQ123" s="159"/>
      <c r="DR123" s="111" t="s">
        <v>33</v>
      </c>
      <c r="DS123" s="174"/>
      <c r="DT123" s="155" t="s">
        <v>34</v>
      </c>
      <c r="DU123" s="141"/>
      <c r="DV123" s="155">
        <v>0</v>
      </c>
      <c r="DW123" s="141"/>
      <c r="DY123" s="125"/>
      <c r="DZ123" s="126"/>
      <c r="EA123" s="164"/>
      <c r="EC123" s="159"/>
      <c r="ED123" s="111" t="s">
        <v>33</v>
      </c>
      <c r="EE123" s="174"/>
      <c r="EF123" s="155" t="s">
        <v>34</v>
      </c>
      <c r="EG123" s="141"/>
      <c r="EH123" s="155">
        <v>0</v>
      </c>
      <c r="EI123" s="141"/>
      <c r="EK123" s="125"/>
      <c r="EL123" s="126"/>
      <c r="EM123" s="164"/>
      <c r="EO123" s="233"/>
      <c r="EP123" s="111" t="s">
        <v>33</v>
      </c>
      <c r="EQ123" s="124"/>
      <c r="ER123" s="155" t="s">
        <v>34</v>
      </c>
      <c r="ES123" s="141"/>
      <c r="ET123" s="156">
        <f t="shared" si="8"/>
        <v>28</v>
      </c>
      <c r="EU123" s="157"/>
      <c r="EW123" s="125"/>
      <c r="EX123" s="126"/>
      <c r="EY123" s="164"/>
    </row>
    <row r="124" spans="1:155" ht="17.100000000000001" customHeight="1" thickBot="1" x14ac:dyDescent="0.25">
      <c r="A124" s="159"/>
      <c r="B124" s="125"/>
      <c r="C124" s="176"/>
      <c r="D124" s="177" t="s">
        <v>35</v>
      </c>
      <c r="E124" s="178"/>
      <c r="F124" s="177">
        <v>0</v>
      </c>
      <c r="G124" s="178"/>
      <c r="I124" s="7"/>
      <c r="J124" s="8"/>
      <c r="K124" s="9">
        <f>SUM(K118:K123)</f>
        <v>0</v>
      </c>
      <c r="M124" s="159"/>
      <c r="N124" s="125"/>
      <c r="O124" s="176"/>
      <c r="P124" s="177" t="s">
        <v>35</v>
      </c>
      <c r="Q124" s="178"/>
      <c r="R124" s="177">
        <v>0</v>
      </c>
      <c r="S124" s="178"/>
      <c r="U124" s="7"/>
      <c r="V124" s="8"/>
      <c r="W124" s="9">
        <f>SUM(W118:W123)</f>
        <v>0</v>
      </c>
      <c r="Y124" s="159"/>
      <c r="Z124" s="125"/>
      <c r="AA124" s="176"/>
      <c r="AB124" s="177" t="s">
        <v>35</v>
      </c>
      <c r="AC124" s="178"/>
      <c r="AD124" s="177">
        <v>0</v>
      </c>
      <c r="AE124" s="178"/>
      <c r="AG124" s="7"/>
      <c r="AH124" s="8"/>
      <c r="AI124" s="9">
        <f>SUM(AI118:AI123)</f>
        <v>0</v>
      </c>
      <c r="AK124" s="159"/>
      <c r="AL124" s="125"/>
      <c r="AM124" s="176"/>
      <c r="AN124" s="177" t="s">
        <v>35</v>
      </c>
      <c r="AO124" s="178"/>
      <c r="AP124" s="177">
        <v>0</v>
      </c>
      <c r="AQ124" s="178"/>
      <c r="AS124" s="7"/>
      <c r="AT124" s="8"/>
      <c r="AU124" s="9">
        <f>SUM(AU118:AU123)</f>
        <v>0</v>
      </c>
      <c r="AW124" s="159"/>
      <c r="AX124" s="125"/>
      <c r="AY124" s="176"/>
      <c r="AZ124" s="177" t="s">
        <v>35</v>
      </c>
      <c r="BA124" s="178"/>
      <c r="BB124" s="177">
        <v>0</v>
      </c>
      <c r="BC124" s="178"/>
      <c r="BE124" s="7"/>
      <c r="BF124" s="8"/>
      <c r="BG124" s="9">
        <f>SUM(BG118:BG123)</f>
        <v>0</v>
      </c>
      <c r="BI124" s="159"/>
      <c r="BJ124" s="125"/>
      <c r="BK124" s="176"/>
      <c r="BL124" s="177" t="s">
        <v>35</v>
      </c>
      <c r="BM124" s="178"/>
      <c r="BN124" s="177">
        <v>0</v>
      </c>
      <c r="BO124" s="178"/>
      <c r="BQ124" s="7"/>
      <c r="BR124" s="8"/>
      <c r="BS124" s="9">
        <f>SUM(BS118:BS123)</f>
        <v>0</v>
      </c>
      <c r="BU124" s="159"/>
      <c r="BV124" s="125"/>
      <c r="BW124" s="176"/>
      <c r="BX124" s="177" t="s">
        <v>35</v>
      </c>
      <c r="BY124" s="178"/>
      <c r="BZ124" s="177">
        <v>0</v>
      </c>
      <c r="CA124" s="178"/>
      <c r="CC124" s="7"/>
      <c r="CD124" s="8"/>
      <c r="CE124" s="9">
        <f>SUM(CE118:CE123)</f>
        <v>0</v>
      </c>
      <c r="CG124" s="159"/>
      <c r="CH124" s="125"/>
      <c r="CI124" s="176"/>
      <c r="CJ124" s="177" t="s">
        <v>35</v>
      </c>
      <c r="CK124" s="178"/>
      <c r="CL124" s="177">
        <v>0</v>
      </c>
      <c r="CM124" s="178"/>
      <c r="CO124" s="7"/>
      <c r="CP124" s="8"/>
      <c r="CQ124" s="9">
        <f>SUM(CQ118:CQ123)</f>
        <v>0</v>
      </c>
      <c r="CS124" s="159"/>
      <c r="CT124" s="125"/>
      <c r="CU124" s="176"/>
      <c r="CV124" s="177" t="s">
        <v>35</v>
      </c>
      <c r="CW124" s="178"/>
      <c r="CX124" s="177">
        <v>0</v>
      </c>
      <c r="CY124" s="178"/>
      <c r="DA124" s="7"/>
      <c r="DB124" s="8"/>
      <c r="DC124" s="9">
        <f>SUM(DC118:DC123)</f>
        <v>0</v>
      </c>
      <c r="DD124" s="2"/>
      <c r="DE124" s="159"/>
      <c r="DF124" s="125"/>
      <c r="DG124" s="176"/>
      <c r="DH124" s="177" t="s">
        <v>35</v>
      </c>
      <c r="DI124" s="178"/>
      <c r="DJ124" s="192">
        <v>0</v>
      </c>
      <c r="DK124" s="193"/>
      <c r="DM124" s="7"/>
      <c r="DN124" s="8"/>
      <c r="DO124" s="9">
        <f>SUM(DO118:DO123)</f>
        <v>156</v>
      </c>
      <c r="DP124" s="2"/>
      <c r="DQ124" s="159"/>
      <c r="DR124" s="125"/>
      <c r="DS124" s="176"/>
      <c r="DT124" s="177" t="s">
        <v>35</v>
      </c>
      <c r="DU124" s="178"/>
      <c r="DV124" s="177">
        <v>0</v>
      </c>
      <c r="DW124" s="178"/>
      <c r="DY124" s="7"/>
      <c r="DZ124" s="8"/>
      <c r="EA124" s="9">
        <f>SUM(EA118:EA123)</f>
        <v>0</v>
      </c>
      <c r="EC124" s="159"/>
      <c r="ED124" s="125"/>
      <c r="EE124" s="176"/>
      <c r="EF124" s="177" t="s">
        <v>35</v>
      </c>
      <c r="EG124" s="178"/>
      <c r="EH124" s="177">
        <v>0</v>
      </c>
      <c r="EI124" s="178"/>
      <c r="EK124" s="7"/>
      <c r="EL124" s="8"/>
      <c r="EM124" s="9">
        <f>SUM(EM118:EM123)</f>
        <v>0</v>
      </c>
      <c r="EO124" s="233"/>
      <c r="EP124" s="125"/>
      <c r="EQ124" s="126"/>
      <c r="ER124" s="177" t="s">
        <v>35</v>
      </c>
      <c r="ES124" s="178"/>
      <c r="ET124" s="156">
        <f t="shared" si="8"/>
        <v>0</v>
      </c>
      <c r="EU124" s="157"/>
      <c r="EW124" s="7"/>
      <c r="EX124" s="8"/>
      <c r="EY124" s="9">
        <f>SUM(EY118:EY123)</f>
        <v>156</v>
      </c>
    </row>
    <row r="125" spans="1:155" ht="17.100000000000001" customHeight="1" thickTop="1" thickBot="1" x14ac:dyDescent="0.25">
      <c r="A125" s="160"/>
      <c r="B125" s="102" t="s">
        <v>36</v>
      </c>
      <c r="C125" s="148"/>
      <c r="D125" s="148"/>
      <c r="E125" s="128"/>
      <c r="F125" s="156">
        <v>0</v>
      </c>
      <c r="G125" s="157"/>
      <c r="I125" s="111" t="s">
        <v>37</v>
      </c>
      <c r="J125" s="124"/>
      <c r="K125" s="162">
        <v>0</v>
      </c>
      <c r="M125" s="160"/>
      <c r="N125" s="102" t="s">
        <v>36</v>
      </c>
      <c r="O125" s="148"/>
      <c r="P125" s="148"/>
      <c r="Q125" s="128"/>
      <c r="R125" s="156">
        <v>0</v>
      </c>
      <c r="S125" s="157"/>
      <c r="U125" s="111" t="s">
        <v>37</v>
      </c>
      <c r="V125" s="124"/>
      <c r="W125" s="162">
        <v>0</v>
      </c>
      <c r="Y125" s="160"/>
      <c r="Z125" s="102" t="s">
        <v>36</v>
      </c>
      <c r="AA125" s="148"/>
      <c r="AB125" s="148"/>
      <c r="AC125" s="128"/>
      <c r="AD125" s="156">
        <v>0</v>
      </c>
      <c r="AE125" s="157"/>
      <c r="AG125" s="111" t="s">
        <v>37</v>
      </c>
      <c r="AH125" s="124"/>
      <c r="AI125" s="162">
        <v>0</v>
      </c>
      <c r="AK125" s="160"/>
      <c r="AL125" s="102" t="s">
        <v>36</v>
      </c>
      <c r="AM125" s="148"/>
      <c r="AN125" s="148"/>
      <c r="AO125" s="128"/>
      <c r="AP125" s="156">
        <v>0</v>
      </c>
      <c r="AQ125" s="157"/>
      <c r="AS125" s="111" t="s">
        <v>37</v>
      </c>
      <c r="AT125" s="124"/>
      <c r="AU125" s="162">
        <v>0</v>
      </c>
      <c r="AW125" s="160"/>
      <c r="AX125" s="102" t="s">
        <v>36</v>
      </c>
      <c r="AY125" s="148"/>
      <c r="AZ125" s="148"/>
      <c r="BA125" s="128"/>
      <c r="BB125" s="156">
        <v>0</v>
      </c>
      <c r="BC125" s="157"/>
      <c r="BE125" s="111" t="s">
        <v>37</v>
      </c>
      <c r="BF125" s="124"/>
      <c r="BG125" s="162">
        <v>0</v>
      </c>
      <c r="BI125" s="160"/>
      <c r="BJ125" s="102" t="s">
        <v>36</v>
      </c>
      <c r="BK125" s="148"/>
      <c r="BL125" s="148"/>
      <c r="BM125" s="128"/>
      <c r="BN125" s="156">
        <v>0</v>
      </c>
      <c r="BO125" s="157"/>
      <c r="BQ125" s="111" t="s">
        <v>37</v>
      </c>
      <c r="BR125" s="124"/>
      <c r="BS125" s="162">
        <v>0</v>
      </c>
      <c r="BU125" s="160"/>
      <c r="BV125" s="102" t="s">
        <v>36</v>
      </c>
      <c r="BW125" s="148"/>
      <c r="BX125" s="148"/>
      <c r="BY125" s="128"/>
      <c r="BZ125" s="156">
        <v>0</v>
      </c>
      <c r="CA125" s="157"/>
      <c r="CC125" s="111" t="s">
        <v>37</v>
      </c>
      <c r="CD125" s="124"/>
      <c r="CE125" s="162">
        <v>0</v>
      </c>
      <c r="CG125" s="160"/>
      <c r="CH125" s="102" t="s">
        <v>36</v>
      </c>
      <c r="CI125" s="148"/>
      <c r="CJ125" s="148"/>
      <c r="CK125" s="128"/>
      <c r="CL125" s="156">
        <v>0</v>
      </c>
      <c r="CM125" s="157"/>
      <c r="CO125" s="111" t="s">
        <v>37</v>
      </c>
      <c r="CP125" s="124"/>
      <c r="CQ125" s="162">
        <v>0</v>
      </c>
      <c r="CS125" s="160"/>
      <c r="CT125" s="102" t="s">
        <v>36</v>
      </c>
      <c r="CU125" s="148"/>
      <c r="CV125" s="148"/>
      <c r="CW125" s="128"/>
      <c r="CX125" s="156">
        <v>0</v>
      </c>
      <c r="CY125" s="157"/>
      <c r="DA125" s="111" t="s">
        <v>37</v>
      </c>
      <c r="DB125" s="124"/>
      <c r="DC125" s="162">
        <v>0</v>
      </c>
      <c r="DD125" s="2"/>
      <c r="DE125" s="160"/>
      <c r="DF125" s="102" t="s">
        <v>36</v>
      </c>
      <c r="DG125" s="148"/>
      <c r="DH125" s="148"/>
      <c r="DI125" s="128"/>
      <c r="DJ125" s="184">
        <v>0</v>
      </c>
      <c r="DK125" s="185"/>
      <c r="DM125" s="111" t="s">
        <v>37</v>
      </c>
      <c r="DN125" s="124"/>
      <c r="DO125" s="162">
        <v>123</v>
      </c>
      <c r="DP125" s="2"/>
      <c r="DQ125" s="160"/>
      <c r="DR125" s="102" t="s">
        <v>36</v>
      </c>
      <c r="DS125" s="148"/>
      <c r="DT125" s="148"/>
      <c r="DU125" s="128"/>
      <c r="DV125" s="156">
        <v>0</v>
      </c>
      <c r="DW125" s="157"/>
      <c r="DY125" s="111" t="s">
        <v>37</v>
      </c>
      <c r="DZ125" s="124"/>
      <c r="EA125" s="162">
        <v>0</v>
      </c>
      <c r="EC125" s="160"/>
      <c r="ED125" s="102" t="s">
        <v>36</v>
      </c>
      <c r="EE125" s="148"/>
      <c r="EF125" s="148"/>
      <c r="EG125" s="128"/>
      <c r="EH125" s="156">
        <v>0</v>
      </c>
      <c r="EI125" s="157"/>
      <c r="EK125" s="111" t="s">
        <v>37</v>
      </c>
      <c r="EL125" s="124"/>
      <c r="EM125" s="162">
        <v>0</v>
      </c>
      <c r="EO125" s="234"/>
      <c r="EP125" s="156" t="s">
        <v>36</v>
      </c>
      <c r="EQ125" s="187"/>
      <c r="ER125" s="187"/>
      <c r="ES125" s="157"/>
      <c r="ET125" s="156">
        <f t="shared" si="8"/>
        <v>0</v>
      </c>
      <c r="EU125" s="157"/>
      <c r="EW125" s="111" t="s">
        <v>37</v>
      </c>
      <c r="EX125" s="124"/>
      <c r="EY125" s="162">
        <f>K125+W125+AI125+AU125+BG125+BS125+CE125+CQ125+DC125+DO125+EA125+EM125</f>
        <v>123</v>
      </c>
    </row>
    <row r="126" spans="1:155" ht="17.100000000000001" customHeight="1" thickTop="1" thickBot="1" x14ac:dyDescent="0.25">
      <c r="A126" s="111" t="s">
        <v>38</v>
      </c>
      <c r="B126" s="174"/>
      <c r="C126" s="124"/>
      <c r="D126" s="155" t="s">
        <v>39</v>
      </c>
      <c r="E126" s="161"/>
      <c r="F126" s="155">
        <v>0</v>
      </c>
      <c r="G126" s="141"/>
      <c r="I126" s="113"/>
      <c r="J126" s="112"/>
      <c r="K126" s="163"/>
      <c r="M126" s="111" t="s">
        <v>38</v>
      </c>
      <c r="N126" s="174"/>
      <c r="O126" s="124"/>
      <c r="P126" s="155" t="s">
        <v>39</v>
      </c>
      <c r="Q126" s="161"/>
      <c r="R126" s="155">
        <v>0</v>
      </c>
      <c r="S126" s="141"/>
      <c r="U126" s="113"/>
      <c r="V126" s="112"/>
      <c r="W126" s="163"/>
      <c r="Y126" s="111" t="s">
        <v>38</v>
      </c>
      <c r="Z126" s="174"/>
      <c r="AA126" s="124"/>
      <c r="AB126" s="155" t="s">
        <v>39</v>
      </c>
      <c r="AC126" s="161"/>
      <c r="AD126" s="155">
        <v>0</v>
      </c>
      <c r="AE126" s="141"/>
      <c r="AG126" s="113"/>
      <c r="AH126" s="112"/>
      <c r="AI126" s="163"/>
      <c r="AK126" s="111" t="s">
        <v>38</v>
      </c>
      <c r="AL126" s="174"/>
      <c r="AM126" s="124"/>
      <c r="AN126" s="155" t="s">
        <v>39</v>
      </c>
      <c r="AO126" s="161"/>
      <c r="AP126" s="155">
        <v>0</v>
      </c>
      <c r="AQ126" s="141"/>
      <c r="AS126" s="113"/>
      <c r="AT126" s="112"/>
      <c r="AU126" s="163"/>
      <c r="AW126" s="111" t="s">
        <v>38</v>
      </c>
      <c r="AX126" s="174"/>
      <c r="AY126" s="124"/>
      <c r="AZ126" s="155" t="s">
        <v>39</v>
      </c>
      <c r="BA126" s="161"/>
      <c r="BB126" s="155">
        <v>0</v>
      </c>
      <c r="BC126" s="141"/>
      <c r="BE126" s="113"/>
      <c r="BF126" s="112"/>
      <c r="BG126" s="163"/>
      <c r="BI126" s="111" t="s">
        <v>38</v>
      </c>
      <c r="BJ126" s="174"/>
      <c r="BK126" s="124"/>
      <c r="BL126" s="155" t="s">
        <v>39</v>
      </c>
      <c r="BM126" s="161"/>
      <c r="BN126" s="155">
        <v>0</v>
      </c>
      <c r="BO126" s="141"/>
      <c r="BQ126" s="113"/>
      <c r="BR126" s="112"/>
      <c r="BS126" s="163"/>
      <c r="BU126" s="111" t="s">
        <v>38</v>
      </c>
      <c r="BV126" s="174"/>
      <c r="BW126" s="124"/>
      <c r="BX126" s="155" t="s">
        <v>39</v>
      </c>
      <c r="BY126" s="161"/>
      <c r="BZ126" s="155">
        <v>0</v>
      </c>
      <c r="CA126" s="141"/>
      <c r="CC126" s="113"/>
      <c r="CD126" s="112"/>
      <c r="CE126" s="163"/>
      <c r="CG126" s="111" t="s">
        <v>38</v>
      </c>
      <c r="CH126" s="174"/>
      <c r="CI126" s="124"/>
      <c r="CJ126" s="155" t="s">
        <v>39</v>
      </c>
      <c r="CK126" s="161"/>
      <c r="CL126" s="155">
        <v>0</v>
      </c>
      <c r="CM126" s="141"/>
      <c r="CO126" s="113"/>
      <c r="CP126" s="112"/>
      <c r="CQ126" s="163"/>
      <c r="CS126" s="111" t="s">
        <v>38</v>
      </c>
      <c r="CT126" s="174"/>
      <c r="CU126" s="124"/>
      <c r="CV126" s="155" t="s">
        <v>39</v>
      </c>
      <c r="CW126" s="161"/>
      <c r="CX126" s="155">
        <v>0</v>
      </c>
      <c r="CY126" s="141"/>
      <c r="DA126" s="113"/>
      <c r="DB126" s="112"/>
      <c r="DC126" s="163"/>
      <c r="DD126" s="2"/>
      <c r="DE126" s="111" t="s">
        <v>38</v>
      </c>
      <c r="DF126" s="174"/>
      <c r="DG126" s="124"/>
      <c r="DH126" s="155" t="s">
        <v>39</v>
      </c>
      <c r="DI126" s="161"/>
      <c r="DJ126" s="190">
        <v>12</v>
      </c>
      <c r="DK126" s="191"/>
      <c r="DM126" s="113"/>
      <c r="DN126" s="112"/>
      <c r="DO126" s="163"/>
      <c r="DP126" s="2"/>
      <c r="DQ126" s="111" t="s">
        <v>38</v>
      </c>
      <c r="DR126" s="174"/>
      <c r="DS126" s="124"/>
      <c r="DT126" s="155" t="s">
        <v>39</v>
      </c>
      <c r="DU126" s="161"/>
      <c r="DV126" s="155">
        <v>0</v>
      </c>
      <c r="DW126" s="141"/>
      <c r="DY126" s="113"/>
      <c r="DZ126" s="112"/>
      <c r="EA126" s="163"/>
      <c r="EC126" s="111" t="s">
        <v>38</v>
      </c>
      <c r="ED126" s="174"/>
      <c r="EE126" s="124"/>
      <c r="EF126" s="155" t="s">
        <v>39</v>
      </c>
      <c r="EG126" s="161"/>
      <c r="EH126" s="155">
        <v>0</v>
      </c>
      <c r="EI126" s="141"/>
      <c r="EK126" s="113"/>
      <c r="EL126" s="112"/>
      <c r="EM126" s="163"/>
      <c r="EO126" s="111" t="s">
        <v>38</v>
      </c>
      <c r="EP126" s="174"/>
      <c r="EQ126" s="124"/>
      <c r="ER126" s="155" t="s">
        <v>39</v>
      </c>
      <c r="ES126" s="141"/>
      <c r="ET126" s="156">
        <f t="shared" si="8"/>
        <v>12</v>
      </c>
      <c r="EU126" s="157"/>
      <c r="EW126" s="113"/>
      <c r="EX126" s="112"/>
      <c r="EY126" s="163"/>
    </row>
    <row r="127" spans="1:155" ht="17.100000000000001" customHeight="1" thickBot="1" x14ac:dyDescent="0.25">
      <c r="A127" s="113"/>
      <c r="B127" s="175"/>
      <c r="C127" s="112"/>
      <c r="D127" s="154" t="s">
        <v>40</v>
      </c>
      <c r="E127" s="181"/>
      <c r="F127" s="154">
        <v>0</v>
      </c>
      <c r="G127" s="142"/>
      <c r="I127" s="125"/>
      <c r="J127" s="126"/>
      <c r="K127" s="164"/>
      <c r="M127" s="113"/>
      <c r="N127" s="175"/>
      <c r="O127" s="112"/>
      <c r="P127" s="154" t="s">
        <v>40</v>
      </c>
      <c r="Q127" s="181"/>
      <c r="R127" s="154">
        <v>0</v>
      </c>
      <c r="S127" s="142"/>
      <c r="U127" s="125"/>
      <c r="V127" s="126"/>
      <c r="W127" s="164"/>
      <c r="Y127" s="113"/>
      <c r="Z127" s="175"/>
      <c r="AA127" s="112"/>
      <c r="AB127" s="154" t="s">
        <v>40</v>
      </c>
      <c r="AC127" s="181"/>
      <c r="AD127" s="154">
        <v>0</v>
      </c>
      <c r="AE127" s="142"/>
      <c r="AG127" s="125"/>
      <c r="AH127" s="126"/>
      <c r="AI127" s="164"/>
      <c r="AK127" s="113"/>
      <c r="AL127" s="175"/>
      <c r="AM127" s="112"/>
      <c r="AN127" s="154" t="s">
        <v>40</v>
      </c>
      <c r="AO127" s="181"/>
      <c r="AP127" s="154">
        <v>0</v>
      </c>
      <c r="AQ127" s="142"/>
      <c r="AS127" s="125"/>
      <c r="AT127" s="126"/>
      <c r="AU127" s="164"/>
      <c r="AW127" s="113"/>
      <c r="AX127" s="175"/>
      <c r="AY127" s="112"/>
      <c r="AZ127" s="154" t="s">
        <v>40</v>
      </c>
      <c r="BA127" s="181"/>
      <c r="BB127" s="154">
        <v>0</v>
      </c>
      <c r="BC127" s="142"/>
      <c r="BE127" s="125"/>
      <c r="BF127" s="126"/>
      <c r="BG127" s="164"/>
      <c r="BI127" s="113"/>
      <c r="BJ127" s="175"/>
      <c r="BK127" s="112"/>
      <c r="BL127" s="154" t="s">
        <v>40</v>
      </c>
      <c r="BM127" s="181"/>
      <c r="BN127" s="154">
        <v>0</v>
      </c>
      <c r="BO127" s="142"/>
      <c r="BQ127" s="125"/>
      <c r="BR127" s="126"/>
      <c r="BS127" s="164"/>
      <c r="BU127" s="113"/>
      <c r="BV127" s="175"/>
      <c r="BW127" s="112"/>
      <c r="BX127" s="154" t="s">
        <v>40</v>
      </c>
      <c r="BY127" s="181"/>
      <c r="BZ127" s="154">
        <v>0</v>
      </c>
      <c r="CA127" s="142"/>
      <c r="CC127" s="125"/>
      <c r="CD127" s="126"/>
      <c r="CE127" s="164"/>
      <c r="CG127" s="113"/>
      <c r="CH127" s="175"/>
      <c r="CI127" s="112"/>
      <c r="CJ127" s="154" t="s">
        <v>40</v>
      </c>
      <c r="CK127" s="181"/>
      <c r="CL127" s="154">
        <v>0</v>
      </c>
      <c r="CM127" s="142"/>
      <c r="CO127" s="125"/>
      <c r="CP127" s="126"/>
      <c r="CQ127" s="164"/>
      <c r="CS127" s="113"/>
      <c r="CT127" s="175"/>
      <c r="CU127" s="112"/>
      <c r="CV127" s="154" t="s">
        <v>40</v>
      </c>
      <c r="CW127" s="181"/>
      <c r="CX127" s="154">
        <v>0</v>
      </c>
      <c r="CY127" s="142"/>
      <c r="DA127" s="125"/>
      <c r="DB127" s="126"/>
      <c r="DC127" s="164"/>
      <c r="DD127" s="2"/>
      <c r="DE127" s="113"/>
      <c r="DF127" s="175"/>
      <c r="DG127" s="112"/>
      <c r="DH127" s="154" t="s">
        <v>40</v>
      </c>
      <c r="DI127" s="181"/>
      <c r="DJ127" s="182">
        <v>0</v>
      </c>
      <c r="DK127" s="183"/>
      <c r="DM127" s="125"/>
      <c r="DN127" s="126"/>
      <c r="DO127" s="164"/>
      <c r="DP127" s="2"/>
      <c r="DQ127" s="113"/>
      <c r="DR127" s="175"/>
      <c r="DS127" s="112"/>
      <c r="DT127" s="154" t="s">
        <v>40</v>
      </c>
      <c r="DU127" s="181"/>
      <c r="DV127" s="154">
        <v>0</v>
      </c>
      <c r="DW127" s="142"/>
      <c r="DY127" s="125"/>
      <c r="DZ127" s="126"/>
      <c r="EA127" s="164"/>
      <c r="EC127" s="113"/>
      <c r="ED127" s="175"/>
      <c r="EE127" s="112"/>
      <c r="EF127" s="154" t="s">
        <v>40</v>
      </c>
      <c r="EG127" s="181"/>
      <c r="EH127" s="154">
        <v>0</v>
      </c>
      <c r="EI127" s="142"/>
      <c r="EK127" s="125"/>
      <c r="EL127" s="126"/>
      <c r="EM127" s="164"/>
      <c r="EO127" s="113"/>
      <c r="EP127" s="175"/>
      <c r="EQ127" s="112"/>
      <c r="ER127" s="154" t="s">
        <v>40</v>
      </c>
      <c r="ES127" s="142"/>
      <c r="ET127" s="156">
        <f t="shared" si="8"/>
        <v>0</v>
      </c>
      <c r="EU127" s="157"/>
      <c r="EW127" s="125"/>
      <c r="EX127" s="126"/>
      <c r="EY127" s="164"/>
    </row>
    <row r="128" spans="1:155" ht="17.100000000000001" customHeight="1" thickBot="1" x14ac:dyDescent="0.25">
      <c r="A128" s="113"/>
      <c r="B128" s="175"/>
      <c r="C128" s="112"/>
      <c r="D128" s="154" t="s">
        <v>41</v>
      </c>
      <c r="E128" s="181"/>
      <c r="F128" s="154">
        <v>0</v>
      </c>
      <c r="G128" s="142"/>
      <c r="I128" s="111" t="s">
        <v>20</v>
      </c>
      <c r="J128" s="124"/>
      <c r="K128" s="162">
        <v>0</v>
      </c>
      <c r="M128" s="113"/>
      <c r="N128" s="175"/>
      <c r="O128" s="112"/>
      <c r="P128" s="154" t="s">
        <v>41</v>
      </c>
      <c r="Q128" s="181"/>
      <c r="R128" s="154">
        <v>0</v>
      </c>
      <c r="S128" s="142"/>
      <c r="U128" s="111" t="s">
        <v>20</v>
      </c>
      <c r="V128" s="124"/>
      <c r="W128" s="162">
        <v>0</v>
      </c>
      <c r="Y128" s="113"/>
      <c r="Z128" s="175"/>
      <c r="AA128" s="112"/>
      <c r="AB128" s="154" t="s">
        <v>41</v>
      </c>
      <c r="AC128" s="181"/>
      <c r="AD128" s="154">
        <v>0</v>
      </c>
      <c r="AE128" s="142"/>
      <c r="AG128" s="111" t="s">
        <v>20</v>
      </c>
      <c r="AH128" s="124"/>
      <c r="AI128" s="162">
        <v>0</v>
      </c>
      <c r="AK128" s="113"/>
      <c r="AL128" s="175"/>
      <c r="AM128" s="112"/>
      <c r="AN128" s="154" t="s">
        <v>41</v>
      </c>
      <c r="AO128" s="181"/>
      <c r="AP128" s="154">
        <v>0</v>
      </c>
      <c r="AQ128" s="142"/>
      <c r="AS128" s="111" t="s">
        <v>20</v>
      </c>
      <c r="AT128" s="124"/>
      <c r="AU128" s="162">
        <v>0</v>
      </c>
      <c r="AW128" s="113"/>
      <c r="AX128" s="175"/>
      <c r="AY128" s="112"/>
      <c r="AZ128" s="154" t="s">
        <v>41</v>
      </c>
      <c r="BA128" s="181"/>
      <c r="BB128" s="154">
        <v>0</v>
      </c>
      <c r="BC128" s="142"/>
      <c r="BE128" s="111" t="s">
        <v>20</v>
      </c>
      <c r="BF128" s="124"/>
      <c r="BG128" s="162">
        <v>0</v>
      </c>
      <c r="BI128" s="113"/>
      <c r="BJ128" s="175"/>
      <c r="BK128" s="112"/>
      <c r="BL128" s="154" t="s">
        <v>41</v>
      </c>
      <c r="BM128" s="181"/>
      <c r="BN128" s="154">
        <v>0</v>
      </c>
      <c r="BO128" s="142"/>
      <c r="BQ128" s="111" t="s">
        <v>20</v>
      </c>
      <c r="BR128" s="124"/>
      <c r="BS128" s="162">
        <v>0</v>
      </c>
      <c r="BU128" s="113"/>
      <c r="BV128" s="175"/>
      <c r="BW128" s="112"/>
      <c r="BX128" s="154" t="s">
        <v>41</v>
      </c>
      <c r="BY128" s="181"/>
      <c r="BZ128" s="154">
        <v>0</v>
      </c>
      <c r="CA128" s="142"/>
      <c r="CC128" s="111" t="s">
        <v>20</v>
      </c>
      <c r="CD128" s="124"/>
      <c r="CE128" s="162">
        <v>0</v>
      </c>
      <c r="CG128" s="113"/>
      <c r="CH128" s="175"/>
      <c r="CI128" s="112"/>
      <c r="CJ128" s="154" t="s">
        <v>41</v>
      </c>
      <c r="CK128" s="181"/>
      <c r="CL128" s="154">
        <v>0</v>
      </c>
      <c r="CM128" s="142"/>
      <c r="CO128" s="111" t="s">
        <v>20</v>
      </c>
      <c r="CP128" s="124"/>
      <c r="CQ128" s="162">
        <v>0</v>
      </c>
      <c r="CS128" s="113"/>
      <c r="CT128" s="175"/>
      <c r="CU128" s="112"/>
      <c r="CV128" s="154" t="s">
        <v>41</v>
      </c>
      <c r="CW128" s="181"/>
      <c r="CX128" s="154">
        <v>0</v>
      </c>
      <c r="CY128" s="142"/>
      <c r="DA128" s="111" t="s">
        <v>20</v>
      </c>
      <c r="DB128" s="124"/>
      <c r="DC128" s="162">
        <v>0</v>
      </c>
      <c r="DD128" s="2"/>
      <c r="DE128" s="113"/>
      <c r="DF128" s="175"/>
      <c r="DG128" s="112"/>
      <c r="DH128" s="154" t="s">
        <v>41</v>
      </c>
      <c r="DI128" s="181"/>
      <c r="DJ128" s="182">
        <v>0</v>
      </c>
      <c r="DK128" s="183"/>
      <c r="DM128" s="111" t="s">
        <v>20</v>
      </c>
      <c r="DN128" s="124"/>
      <c r="DO128" s="162">
        <v>42</v>
      </c>
      <c r="DP128" s="2"/>
      <c r="DQ128" s="113"/>
      <c r="DR128" s="175"/>
      <c r="DS128" s="112"/>
      <c r="DT128" s="154" t="s">
        <v>41</v>
      </c>
      <c r="DU128" s="181"/>
      <c r="DV128" s="154">
        <v>0</v>
      </c>
      <c r="DW128" s="142"/>
      <c r="DY128" s="111" t="s">
        <v>20</v>
      </c>
      <c r="DZ128" s="124"/>
      <c r="EA128" s="162">
        <v>0</v>
      </c>
      <c r="EC128" s="113"/>
      <c r="ED128" s="175"/>
      <c r="EE128" s="112"/>
      <c r="EF128" s="154" t="s">
        <v>41</v>
      </c>
      <c r="EG128" s="181"/>
      <c r="EH128" s="154">
        <v>0</v>
      </c>
      <c r="EI128" s="142"/>
      <c r="EK128" s="111" t="s">
        <v>20</v>
      </c>
      <c r="EL128" s="124"/>
      <c r="EM128" s="162">
        <v>0</v>
      </c>
      <c r="EO128" s="113"/>
      <c r="EP128" s="175"/>
      <c r="EQ128" s="112"/>
      <c r="ER128" s="154" t="s">
        <v>41</v>
      </c>
      <c r="ES128" s="142"/>
      <c r="ET128" s="156">
        <f t="shared" si="8"/>
        <v>0</v>
      </c>
      <c r="EU128" s="157"/>
      <c r="EW128" s="111" t="s">
        <v>20</v>
      </c>
      <c r="EX128" s="124"/>
      <c r="EY128" s="162">
        <f>K128+W128+AI128+AU128+BG128+BS128+CE128+CQ128+DC128+DO128+EA128+EM128</f>
        <v>42</v>
      </c>
    </row>
    <row r="129" spans="1:155" ht="17.100000000000001" customHeight="1" thickBot="1" x14ac:dyDescent="0.25">
      <c r="A129" s="125"/>
      <c r="B129" s="175"/>
      <c r="C129" s="112"/>
      <c r="D129" s="188" t="s">
        <v>42</v>
      </c>
      <c r="E129" s="189"/>
      <c r="F129" s="188">
        <v>0</v>
      </c>
      <c r="G129" s="194"/>
      <c r="I129" s="113"/>
      <c r="J129" s="112"/>
      <c r="K129" s="163"/>
      <c r="M129" s="125"/>
      <c r="N129" s="175"/>
      <c r="O129" s="112"/>
      <c r="P129" s="188" t="s">
        <v>42</v>
      </c>
      <c r="Q129" s="189"/>
      <c r="R129" s="188">
        <v>0</v>
      </c>
      <c r="S129" s="194"/>
      <c r="U129" s="113"/>
      <c r="V129" s="112"/>
      <c r="W129" s="163"/>
      <c r="Y129" s="125"/>
      <c r="Z129" s="175"/>
      <c r="AA129" s="112"/>
      <c r="AB129" s="188" t="s">
        <v>42</v>
      </c>
      <c r="AC129" s="189"/>
      <c r="AD129" s="188">
        <v>0</v>
      </c>
      <c r="AE129" s="194"/>
      <c r="AG129" s="113"/>
      <c r="AH129" s="112"/>
      <c r="AI129" s="163"/>
      <c r="AK129" s="125"/>
      <c r="AL129" s="175"/>
      <c r="AM129" s="112"/>
      <c r="AN129" s="188" t="s">
        <v>42</v>
      </c>
      <c r="AO129" s="189"/>
      <c r="AP129" s="188">
        <v>0</v>
      </c>
      <c r="AQ129" s="194"/>
      <c r="AS129" s="113"/>
      <c r="AT129" s="112"/>
      <c r="AU129" s="163"/>
      <c r="AW129" s="125"/>
      <c r="AX129" s="175"/>
      <c r="AY129" s="112"/>
      <c r="AZ129" s="188" t="s">
        <v>42</v>
      </c>
      <c r="BA129" s="189"/>
      <c r="BB129" s="188">
        <v>0</v>
      </c>
      <c r="BC129" s="194"/>
      <c r="BE129" s="113"/>
      <c r="BF129" s="112"/>
      <c r="BG129" s="163"/>
      <c r="BI129" s="125"/>
      <c r="BJ129" s="175"/>
      <c r="BK129" s="112"/>
      <c r="BL129" s="188" t="s">
        <v>42</v>
      </c>
      <c r="BM129" s="189"/>
      <c r="BN129" s="188">
        <v>0</v>
      </c>
      <c r="BO129" s="194"/>
      <c r="BQ129" s="113"/>
      <c r="BR129" s="112"/>
      <c r="BS129" s="163"/>
      <c r="BU129" s="125"/>
      <c r="BV129" s="175"/>
      <c r="BW129" s="112"/>
      <c r="BX129" s="188" t="s">
        <v>42</v>
      </c>
      <c r="BY129" s="189"/>
      <c r="BZ129" s="188">
        <v>0</v>
      </c>
      <c r="CA129" s="194"/>
      <c r="CC129" s="113"/>
      <c r="CD129" s="112"/>
      <c r="CE129" s="163"/>
      <c r="CG129" s="125"/>
      <c r="CH129" s="175"/>
      <c r="CI129" s="112"/>
      <c r="CJ129" s="188" t="s">
        <v>42</v>
      </c>
      <c r="CK129" s="189"/>
      <c r="CL129" s="188">
        <v>0</v>
      </c>
      <c r="CM129" s="194"/>
      <c r="CO129" s="113"/>
      <c r="CP129" s="112"/>
      <c r="CQ129" s="163"/>
      <c r="CS129" s="125"/>
      <c r="CT129" s="175"/>
      <c r="CU129" s="112"/>
      <c r="CV129" s="188" t="s">
        <v>42</v>
      </c>
      <c r="CW129" s="189"/>
      <c r="CX129" s="188">
        <v>0</v>
      </c>
      <c r="CY129" s="194"/>
      <c r="DA129" s="113"/>
      <c r="DB129" s="112"/>
      <c r="DC129" s="163"/>
      <c r="DD129" s="2"/>
      <c r="DE129" s="125"/>
      <c r="DF129" s="175"/>
      <c r="DG129" s="112"/>
      <c r="DH129" s="188" t="s">
        <v>42</v>
      </c>
      <c r="DI129" s="189"/>
      <c r="DJ129" s="192">
        <v>2</v>
      </c>
      <c r="DK129" s="193"/>
      <c r="DM129" s="113"/>
      <c r="DN129" s="112"/>
      <c r="DO129" s="163"/>
      <c r="DP129" s="2"/>
      <c r="DQ129" s="125"/>
      <c r="DR129" s="175"/>
      <c r="DS129" s="112"/>
      <c r="DT129" s="188" t="s">
        <v>42</v>
      </c>
      <c r="DU129" s="189"/>
      <c r="DV129" s="188">
        <v>0</v>
      </c>
      <c r="DW129" s="194"/>
      <c r="DY129" s="113"/>
      <c r="DZ129" s="112"/>
      <c r="EA129" s="163"/>
      <c r="EC129" s="125"/>
      <c r="ED129" s="175"/>
      <c r="EE129" s="112"/>
      <c r="EF129" s="188" t="s">
        <v>42</v>
      </c>
      <c r="EG129" s="189"/>
      <c r="EH129" s="188">
        <v>0</v>
      </c>
      <c r="EI129" s="194"/>
      <c r="EK129" s="113"/>
      <c r="EL129" s="112"/>
      <c r="EM129" s="163"/>
      <c r="EO129" s="125"/>
      <c r="EP129" s="176"/>
      <c r="EQ129" s="126"/>
      <c r="ER129" s="177" t="s">
        <v>42</v>
      </c>
      <c r="ES129" s="178"/>
      <c r="ET129" s="156">
        <f t="shared" si="8"/>
        <v>2</v>
      </c>
      <c r="EU129" s="157"/>
      <c r="EW129" s="113"/>
      <c r="EX129" s="112"/>
      <c r="EY129" s="163"/>
    </row>
    <row r="130" spans="1:155" ht="17.100000000000001" customHeight="1" thickBot="1" x14ac:dyDescent="0.25">
      <c r="A130" s="111" t="s">
        <v>43</v>
      </c>
      <c r="B130" s="61">
        <f>1</f>
        <v>1</v>
      </c>
      <c r="C130" s="62">
        <v>2</v>
      </c>
      <c r="D130" s="62">
        <v>3</v>
      </c>
      <c r="E130" s="62">
        <v>4</v>
      </c>
      <c r="F130" s="62">
        <v>5</v>
      </c>
      <c r="G130" s="80">
        <v>6</v>
      </c>
      <c r="I130" s="125"/>
      <c r="J130" s="126"/>
      <c r="K130" s="164"/>
      <c r="M130" s="111" t="s">
        <v>43</v>
      </c>
      <c r="N130" s="61">
        <f>1</f>
        <v>1</v>
      </c>
      <c r="O130" s="62">
        <v>2</v>
      </c>
      <c r="P130" s="62">
        <v>3</v>
      </c>
      <c r="Q130" s="62">
        <v>4</v>
      </c>
      <c r="R130" s="62">
        <v>5</v>
      </c>
      <c r="S130" s="80">
        <v>6</v>
      </c>
      <c r="U130" s="125"/>
      <c r="V130" s="126"/>
      <c r="W130" s="164"/>
      <c r="Y130" s="111" t="s">
        <v>43</v>
      </c>
      <c r="Z130" s="61">
        <f>1</f>
        <v>1</v>
      </c>
      <c r="AA130" s="62">
        <v>2</v>
      </c>
      <c r="AB130" s="62">
        <v>3</v>
      </c>
      <c r="AC130" s="62">
        <v>4</v>
      </c>
      <c r="AD130" s="62">
        <v>5</v>
      </c>
      <c r="AE130" s="80">
        <v>6</v>
      </c>
      <c r="AG130" s="125"/>
      <c r="AH130" s="126"/>
      <c r="AI130" s="164"/>
      <c r="AK130" s="111" t="s">
        <v>43</v>
      </c>
      <c r="AL130" s="61">
        <f>1</f>
        <v>1</v>
      </c>
      <c r="AM130" s="62">
        <v>2</v>
      </c>
      <c r="AN130" s="62">
        <v>3</v>
      </c>
      <c r="AO130" s="62">
        <v>4</v>
      </c>
      <c r="AP130" s="62">
        <v>5</v>
      </c>
      <c r="AQ130" s="80">
        <v>6</v>
      </c>
      <c r="AS130" s="125"/>
      <c r="AT130" s="126"/>
      <c r="AU130" s="164"/>
      <c r="AW130" s="111" t="s">
        <v>43</v>
      </c>
      <c r="AX130" s="61">
        <f>1</f>
        <v>1</v>
      </c>
      <c r="AY130" s="62">
        <v>2</v>
      </c>
      <c r="AZ130" s="62">
        <v>3</v>
      </c>
      <c r="BA130" s="62">
        <v>4</v>
      </c>
      <c r="BB130" s="62">
        <v>5</v>
      </c>
      <c r="BC130" s="80">
        <v>6</v>
      </c>
      <c r="BE130" s="125"/>
      <c r="BF130" s="126"/>
      <c r="BG130" s="164"/>
      <c r="BI130" s="111" t="s">
        <v>43</v>
      </c>
      <c r="BJ130" s="61">
        <f>1</f>
        <v>1</v>
      </c>
      <c r="BK130" s="62">
        <v>2</v>
      </c>
      <c r="BL130" s="62">
        <v>3</v>
      </c>
      <c r="BM130" s="62">
        <v>4</v>
      </c>
      <c r="BN130" s="62">
        <v>5</v>
      </c>
      <c r="BO130" s="80">
        <v>6</v>
      </c>
      <c r="BQ130" s="125"/>
      <c r="BR130" s="126"/>
      <c r="BS130" s="164"/>
      <c r="BU130" s="111" t="s">
        <v>43</v>
      </c>
      <c r="BV130" s="61">
        <f>1</f>
        <v>1</v>
      </c>
      <c r="BW130" s="62">
        <v>2</v>
      </c>
      <c r="BX130" s="62">
        <v>3</v>
      </c>
      <c r="BY130" s="62">
        <v>4</v>
      </c>
      <c r="BZ130" s="62">
        <v>5</v>
      </c>
      <c r="CA130" s="80">
        <v>6</v>
      </c>
      <c r="CC130" s="125"/>
      <c r="CD130" s="126"/>
      <c r="CE130" s="164"/>
      <c r="CG130" s="111" t="s">
        <v>43</v>
      </c>
      <c r="CH130" s="61">
        <f>1</f>
        <v>1</v>
      </c>
      <c r="CI130" s="62">
        <v>2</v>
      </c>
      <c r="CJ130" s="62">
        <v>3</v>
      </c>
      <c r="CK130" s="62">
        <v>4</v>
      </c>
      <c r="CL130" s="62">
        <v>5</v>
      </c>
      <c r="CM130" s="80">
        <v>6</v>
      </c>
      <c r="CO130" s="125"/>
      <c r="CP130" s="126"/>
      <c r="CQ130" s="164"/>
      <c r="CS130" s="111" t="s">
        <v>43</v>
      </c>
      <c r="CT130" s="61">
        <f>1</f>
        <v>1</v>
      </c>
      <c r="CU130" s="62">
        <v>2</v>
      </c>
      <c r="CV130" s="62">
        <v>3</v>
      </c>
      <c r="CW130" s="62">
        <v>4</v>
      </c>
      <c r="CX130" s="62">
        <v>5</v>
      </c>
      <c r="CY130" s="80">
        <v>6</v>
      </c>
      <c r="DA130" s="125"/>
      <c r="DB130" s="126"/>
      <c r="DC130" s="164"/>
      <c r="DD130" s="2"/>
      <c r="DE130" s="111" t="s">
        <v>43</v>
      </c>
      <c r="DF130" s="61">
        <f>1</f>
        <v>1</v>
      </c>
      <c r="DG130" s="62">
        <v>2</v>
      </c>
      <c r="DH130" s="62">
        <v>3</v>
      </c>
      <c r="DI130" s="62">
        <v>4</v>
      </c>
      <c r="DJ130" s="62">
        <v>5</v>
      </c>
      <c r="DK130" s="80">
        <v>6</v>
      </c>
      <c r="DM130" s="125"/>
      <c r="DN130" s="126"/>
      <c r="DO130" s="164"/>
      <c r="DP130" s="2"/>
      <c r="DQ130" s="111" t="s">
        <v>43</v>
      </c>
      <c r="DR130" s="61">
        <f>1</f>
        <v>1</v>
      </c>
      <c r="DS130" s="62">
        <v>2</v>
      </c>
      <c r="DT130" s="62">
        <v>3</v>
      </c>
      <c r="DU130" s="62">
        <v>4</v>
      </c>
      <c r="DV130" s="62">
        <v>5</v>
      </c>
      <c r="DW130" s="80">
        <v>6</v>
      </c>
      <c r="DY130" s="125"/>
      <c r="DZ130" s="126"/>
      <c r="EA130" s="164"/>
      <c r="EC130" s="111" t="s">
        <v>43</v>
      </c>
      <c r="ED130" s="61">
        <f>1</f>
        <v>1</v>
      </c>
      <c r="EE130" s="62">
        <v>2</v>
      </c>
      <c r="EF130" s="62">
        <v>3</v>
      </c>
      <c r="EG130" s="62">
        <v>4</v>
      </c>
      <c r="EH130" s="62">
        <v>5</v>
      </c>
      <c r="EI130" s="80">
        <v>6</v>
      </c>
      <c r="EK130" s="125"/>
      <c r="EL130" s="126"/>
      <c r="EM130" s="164"/>
      <c r="EO130" s="229" t="s">
        <v>43</v>
      </c>
      <c r="EP130" s="61">
        <f>1</f>
        <v>1</v>
      </c>
      <c r="EQ130" s="62">
        <v>2</v>
      </c>
      <c r="ER130" s="62">
        <v>3</v>
      </c>
      <c r="ES130" s="62">
        <v>4</v>
      </c>
      <c r="ET130" s="62">
        <v>5</v>
      </c>
      <c r="EU130" s="80">
        <v>6</v>
      </c>
      <c r="EW130" s="125"/>
      <c r="EX130" s="126"/>
      <c r="EY130" s="164"/>
    </row>
    <row r="131" spans="1:155" ht="17.100000000000001" customHeight="1" thickTop="1" thickBot="1" x14ac:dyDescent="0.25">
      <c r="A131" s="125"/>
      <c r="B131" s="10">
        <v>0</v>
      </c>
      <c r="C131" s="11">
        <v>0</v>
      </c>
      <c r="D131" s="11">
        <v>0</v>
      </c>
      <c r="E131" s="11">
        <v>0</v>
      </c>
      <c r="F131" s="11">
        <v>0</v>
      </c>
      <c r="G131" s="12">
        <v>0</v>
      </c>
      <c r="H131" s="13"/>
      <c r="I131" s="14"/>
      <c r="J131" s="14"/>
      <c r="K131" s="9">
        <f>SUM(K125:K130)</f>
        <v>0</v>
      </c>
      <c r="M131" s="125"/>
      <c r="N131" s="10">
        <v>0</v>
      </c>
      <c r="O131" s="11">
        <v>0</v>
      </c>
      <c r="P131" s="11">
        <v>0</v>
      </c>
      <c r="Q131" s="11">
        <v>0</v>
      </c>
      <c r="R131" s="11">
        <v>0</v>
      </c>
      <c r="S131" s="12">
        <v>0</v>
      </c>
      <c r="T131" s="13"/>
      <c r="U131" s="14"/>
      <c r="V131" s="14"/>
      <c r="W131" s="9">
        <f>SUM(W125:W130)</f>
        <v>0</v>
      </c>
      <c r="Y131" s="125"/>
      <c r="Z131" s="10">
        <v>0</v>
      </c>
      <c r="AA131" s="11">
        <v>0</v>
      </c>
      <c r="AB131" s="11">
        <v>0</v>
      </c>
      <c r="AC131" s="11">
        <v>0</v>
      </c>
      <c r="AD131" s="11">
        <v>0</v>
      </c>
      <c r="AE131" s="12">
        <v>0</v>
      </c>
      <c r="AF131" s="13"/>
      <c r="AG131" s="14"/>
      <c r="AH131" s="14"/>
      <c r="AI131" s="9">
        <f>SUM(AI125:AI130)</f>
        <v>0</v>
      </c>
      <c r="AK131" s="125"/>
      <c r="AL131" s="10">
        <v>0</v>
      </c>
      <c r="AM131" s="11">
        <v>0</v>
      </c>
      <c r="AN131" s="11">
        <v>0</v>
      </c>
      <c r="AO131" s="11">
        <v>0</v>
      </c>
      <c r="AP131" s="11">
        <v>0</v>
      </c>
      <c r="AQ131" s="12">
        <v>0</v>
      </c>
      <c r="AR131" s="13"/>
      <c r="AS131" s="14"/>
      <c r="AT131" s="14"/>
      <c r="AU131" s="9">
        <f>SUM(AU125:AU130)</f>
        <v>0</v>
      </c>
      <c r="AW131" s="125"/>
      <c r="AX131" s="10">
        <v>0</v>
      </c>
      <c r="AY131" s="11">
        <v>0</v>
      </c>
      <c r="AZ131" s="11">
        <v>0</v>
      </c>
      <c r="BA131" s="11">
        <v>0</v>
      </c>
      <c r="BB131" s="11">
        <v>0</v>
      </c>
      <c r="BC131" s="12">
        <v>0</v>
      </c>
      <c r="BD131" s="13"/>
      <c r="BE131" s="14"/>
      <c r="BF131" s="14"/>
      <c r="BG131" s="9">
        <f>SUM(BG125:BG130)</f>
        <v>0</v>
      </c>
      <c r="BI131" s="125"/>
      <c r="BJ131" s="10">
        <v>0</v>
      </c>
      <c r="BK131" s="11">
        <v>0</v>
      </c>
      <c r="BL131" s="11">
        <v>0</v>
      </c>
      <c r="BM131" s="11">
        <v>0</v>
      </c>
      <c r="BN131" s="11">
        <v>0</v>
      </c>
      <c r="BO131" s="12">
        <v>0</v>
      </c>
      <c r="BP131" s="13"/>
      <c r="BQ131" s="14"/>
      <c r="BR131" s="14"/>
      <c r="BS131" s="9">
        <f>SUM(BS125:BS130)</f>
        <v>0</v>
      </c>
      <c r="BU131" s="125"/>
      <c r="BV131" s="10">
        <v>0</v>
      </c>
      <c r="BW131" s="11">
        <v>0</v>
      </c>
      <c r="BX131" s="11">
        <v>0</v>
      </c>
      <c r="BY131" s="11">
        <v>0</v>
      </c>
      <c r="BZ131" s="11">
        <v>0</v>
      </c>
      <c r="CA131" s="12">
        <v>0</v>
      </c>
      <c r="CB131" s="13"/>
      <c r="CC131" s="14"/>
      <c r="CD131" s="14"/>
      <c r="CE131" s="9">
        <f>SUM(CE125:CE130)</f>
        <v>0</v>
      </c>
      <c r="CG131" s="125"/>
      <c r="CH131" s="10">
        <v>0</v>
      </c>
      <c r="CI131" s="11">
        <v>0</v>
      </c>
      <c r="CJ131" s="11">
        <v>0</v>
      </c>
      <c r="CK131" s="11">
        <v>0</v>
      </c>
      <c r="CL131" s="11">
        <v>0</v>
      </c>
      <c r="CM131" s="12">
        <v>0</v>
      </c>
      <c r="CN131" s="13"/>
      <c r="CO131" s="14"/>
      <c r="CP131" s="14"/>
      <c r="CQ131" s="9">
        <f>SUM(CQ125:CQ130)</f>
        <v>0</v>
      </c>
      <c r="CS131" s="125"/>
      <c r="CT131" s="10">
        <v>0</v>
      </c>
      <c r="CU131" s="11">
        <v>0</v>
      </c>
      <c r="CV131" s="11">
        <v>0</v>
      </c>
      <c r="CW131" s="11">
        <v>0</v>
      </c>
      <c r="CX131" s="11">
        <v>0</v>
      </c>
      <c r="CY131" s="12">
        <v>0</v>
      </c>
      <c r="CZ131" s="13"/>
      <c r="DA131" s="14"/>
      <c r="DB131" s="14"/>
      <c r="DC131" s="9">
        <f>SUM(DC125:DC130)</f>
        <v>0</v>
      </c>
      <c r="DD131" s="2"/>
      <c r="DE131" s="125"/>
      <c r="DF131" s="94">
        <v>3</v>
      </c>
      <c r="DG131" s="95">
        <v>9</v>
      </c>
      <c r="DH131" s="95">
        <v>3</v>
      </c>
      <c r="DI131" s="95">
        <v>0</v>
      </c>
      <c r="DJ131" s="95">
        <v>0</v>
      </c>
      <c r="DK131" s="96">
        <v>0</v>
      </c>
      <c r="DL131" s="13"/>
      <c r="DM131" s="14"/>
      <c r="DN131" s="14"/>
      <c r="DO131" s="9">
        <f>SUM(DO125:DO130)</f>
        <v>165</v>
      </c>
      <c r="DP131" s="2"/>
      <c r="DQ131" s="125"/>
      <c r="DR131" s="10">
        <v>0</v>
      </c>
      <c r="DS131" s="11">
        <v>0</v>
      </c>
      <c r="DT131" s="11">
        <v>0</v>
      </c>
      <c r="DU131" s="11">
        <v>0</v>
      </c>
      <c r="DV131" s="11">
        <v>0</v>
      </c>
      <c r="DW131" s="12">
        <v>0</v>
      </c>
      <c r="DX131" s="13"/>
      <c r="DY131" s="14"/>
      <c r="DZ131" s="14"/>
      <c r="EA131" s="9">
        <f>SUM(EA125:EA130)</f>
        <v>0</v>
      </c>
      <c r="EC131" s="125"/>
      <c r="ED131" s="10">
        <v>0</v>
      </c>
      <c r="EE131" s="11">
        <v>0</v>
      </c>
      <c r="EF131" s="11">
        <v>0</v>
      </c>
      <c r="EG131" s="11">
        <v>0</v>
      </c>
      <c r="EH131" s="11">
        <v>0</v>
      </c>
      <c r="EI131" s="12">
        <v>0</v>
      </c>
      <c r="EJ131" s="13"/>
      <c r="EK131" s="14"/>
      <c r="EL131" s="14"/>
      <c r="EM131" s="9">
        <f>SUM(EM125:EM130)</f>
        <v>0</v>
      </c>
      <c r="EO131" s="237"/>
      <c r="EP131" s="10">
        <f t="shared" ref="EP131:EU131" si="9">B131+N131+Z131+AL131+AX131+BJ131+BV131+CH131+CT131+DF131+DR131+ED131</f>
        <v>3</v>
      </c>
      <c r="EQ131" s="10">
        <f t="shared" si="9"/>
        <v>9</v>
      </c>
      <c r="ER131" s="10">
        <f t="shared" si="9"/>
        <v>3</v>
      </c>
      <c r="ES131" s="10">
        <f t="shared" si="9"/>
        <v>0</v>
      </c>
      <c r="ET131" s="10">
        <f t="shared" si="9"/>
        <v>0</v>
      </c>
      <c r="EU131" s="10">
        <f t="shared" si="9"/>
        <v>0</v>
      </c>
      <c r="EV131" s="13"/>
      <c r="EW131" s="14"/>
      <c r="EX131" s="14"/>
      <c r="EY131" s="9">
        <f>SUM(EY125:EY130)</f>
        <v>165</v>
      </c>
    </row>
    <row r="132" spans="1:155" ht="18" customHeight="1" thickBot="1" x14ac:dyDescent="0.25">
      <c r="A132" s="59" t="s">
        <v>3</v>
      </c>
      <c r="B132" s="59"/>
      <c r="C132" s="179" t="s">
        <v>60</v>
      </c>
      <c r="D132" s="179"/>
      <c r="E132" s="179"/>
      <c r="G132" s="64"/>
      <c r="H132" s="186"/>
      <c r="I132" s="186"/>
      <c r="J132" s="15"/>
      <c r="M132" s="59" t="s">
        <v>3</v>
      </c>
      <c r="N132" s="59"/>
      <c r="O132" s="179" t="s">
        <v>60</v>
      </c>
      <c r="P132" s="179"/>
      <c r="Q132" s="179"/>
      <c r="S132" s="64"/>
      <c r="T132" s="186"/>
      <c r="U132" s="186"/>
      <c r="V132" s="15"/>
      <c r="Y132" s="59" t="s">
        <v>3</v>
      </c>
      <c r="Z132" s="59"/>
      <c r="AA132" s="179" t="s">
        <v>60</v>
      </c>
      <c r="AB132" s="179"/>
      <c r="AC132" s="179"/>
      <c r="AE132" s="64"/>
      <c r="AF132" s="186"/>
      <c r="AG132" s="186"/>
      <c r="AH132" s="15"/>
      <c r="AK132" s="59" t="s">
        <v>3</v>
      </c>
      <c r="AL132" s="59"/>
      <c r="AM132" s="179" t="s">
        <v>60</v>
      </c>
      <c r="AN132" s="179"/>
      <c r="AO132" s="179"/>
      <c r="AQ132" s="64"/>
      <c r="AR132" s="186"/>
      <c r="AS132" s="186"/>
      <c r="AT132" s="15"/>
      <c r="AW132" s="59" t="s">
        <v>3</v>
      </c>
      <c r="AX132" s="59"/>
      <c r="AY132" s="179" t="s">
        <v>60</v>
      </c>
      <c r="AZ132" s="179"/>
      <c r="BA132" s="179"/>
      <c r="BC132" s="64"/>
      <c r="BD132" s="186"/>
      <c r="BE132" s="186"/>
      <c r="BF132" s="15"/>
      <c r="BI132" s="59" t="s">
        <v>3</v>
      </c>
      <c r="BJ132" s="59"/>
      <c r="BK132" s="179" t="s">
        <v>60</v>
      </c>
      <c r="BL132" s="179"/>
      <c r="BM132" s="179"/>
      <c r="BO132" s="64"/>
      <c r="BP132" s="186"/>
      <c r="BQ132" s="186"/>
      <c r="BR132" s="15"/>
      <c r="BU132" s="59" t="s">
        <v>3</v>
      </c>
      <c r="BV132" s="59"/>
      <c r="BW132" s="179" t="s">
        <v>60</v>
      </c>
      <c r="BX132" s="179"/>
      <c r="BY132" s="179"/>
      <c r="CA132" s="64"/>
      <c r="CB132" s="186"/>
      <c r="CC132" s="186"/>
      <c r="CD132" s="15"/>
      <c r="CG132" s="59" t="s">
        <v>3</v>
      </c>
      <c r="CH132" s="59"/>
      <c r="CI132" s="179" t="s">
        <v>60</v>
      </c>
      <c r="CJ132" s="179"/>
      <c r="CK132" s="179"/>
      <c r="CM132" s="64"/>
      <c r="CN132" s="186"/>
      <c r="CO132" s="186"/>
      <c r="CP132" s="15"/>
      <c r="CS132" s="59" t="s">
        <v>3</v>
      </c>
      <c r="CT132" s="59"/>
      <c r="CU132" s="179" t="s">
        <v>60</v>
      </c>
      <c r="CV132" s="179"/>
      <c r="CW132" s="179"/>
      <c r="CY132" s="64"/>
      <c r="CZ132" s="186"/>
      <c r="DA132" s="186"/>
      <c r="DB132" s="15"/>
      <c r="DD132" s="2"/>
      <c r="DE132" s="59" t="s">
        <v>3</v>
      </c>
      <c r="DF132" s="59"/>
      <c r="DG132" s="179" t="s">
        <v>60</v>
      </c>
      <c r="DH132" s="179"/>
      <c r="DI132" s="179"/>
      <c r="DK132" s="64"/>
      <c r="DL132" s="186"/>
      <c r="DM132" s="186"/>
      <c r="DN132" s="15"/>
      <c r="DP132" s="2"/>
      <c r="DQ132" s="59" t="s">
        <v>3</v>
      </c>
      <c r="DR132" s="59"/>
      <c r="DS132" s="179" t="s">
        <v>60</v>
      </c>
      <c r="DT132" s="179"/>
      <c r="DU132" s="179"/>
      <c r="DW132" s="64"/>
      <c r="DX132" s="186"/>
      <c r="DY132" s="186"/>
      <c r="DZ132" s="15"/>
      <c r="EC132" s="59" t="s">
        <v>3</v>
      </c>
      <c r="ED132" s="59"/>
      <c r="EE132" s="179" t="s">
        <v>60</v>
      </c>
      <c r="EF132" s="179"/>
      <c r="EG132" s="179"/>
      <c r="EI132" s="64"/>
      <c r="EJ132" s="186"/>
      <c r="EK132" s="186"/>
      <c r="EL132" s="15"/>
      <c r="EO132" s="59" t="s">
        <v>3</v>
      </c>
      <c r="EP132" s="59"/>
      <c r="EQ132" s="230" t="str">
        <f>EE132</f>
        <v>قويزة</v>
      </c>
      <c r="ER132" s="230"/>
      <c r="ES132" s="230"/>
      <c r="EU132" s="64"/>
      <c r="EV132" s="148"/>
      <c r="EW132" s="148"/>
      <c r="EX132" s="15"/>
    </row>
    <row r="133" spans="1:155" ht="17.100000000000001" customHeight="1" thickBot="1" x14ac:dyDescent="0.25">
      <c r="A133" s="156" t="s">
        <v>4</v>
      </c>
      <c r="B133" s="187"/>
      <c r="C133" s="187"/>
      <c r="D133" s="187"/>
      <c r="E133" s="157"/>
      <c r="F133" s="156" t="s">
        <v>5</v>
      </c>
      <c r="G133" s="157"/>
      <c r="I133" s="102" t="s">
        <v>6</v>
      </c>
      <c r="J133" s="143" t="s">
        <v>7</v>
      </c>
      <c r="K133" s="165">
        <v>209</v>
      </c>
      <c r="M133" s="156" t="s">
        <v>4</v>
      </c>
      <c r="N133" s="187"/>
      <c r="O133" s="187"/>
      <c r="P133" s="187"/>
      <c r="Q133" s="157"/>
      <c r="R133" s="156" t="s">
        <v>5</v>
      </c>
      <c r="S133" s="157"/>
      <c r="U133" s="102" t="s">
        <v>6</v>
      </c>
      <c r="V133" s="143" t="s">
        <v>7</v>
      </c>
      <c r="W133" s="165">
        <v>215</v>
      </c>
      <c r="Y133" s="156" t="s">
        <v>4</v>
      </c>
      <c r="Z133" s="187"/>
      <c r="AA133" s="187"/>
      <c r="AB133" s="187"/>
      <c r="AC133" s="157"/>
      <c r="AD133" s="156" t="s">
        <v>5</v>
      </c>
      <c r="AE133" s="157"/>
      <c r="AG133" s="102" t="s">
        <v>6</v>
      </c>
      <c r="AH133" s="143" t="s">
        <v>7</v>
      </c>
      <c r="AI133" s="165">
        <v>170</v>
      </c>
      <c r="AK133" s="156" t="s">
        <v>4</v>
      </c>
      <c r="AL133" s="187"/>
      <c r="AM133" s="187"/>
      <c r="AN133" s="187"/>
      <c r="AO133" s="157"/>
      <c r="AP133" s="156" t="s">
        <v>5</v>
      </c>
      <c r="AQ133" s="157"/>
      <c r="AS133" s="102" t="s">
        <v>6</v>
      </c>
      <c r="AT133" s="143" t="s">
        <v>7</v>
      </c>
      <c r="AU133" s="165">
        <v>210</v>
      </c>
      <c r="AW133" s="156" t="s">
        <v>4</v>
      </c>
      <c r="AX133" s="187"/>
      <c r="AY133" s="187"/>
      <c r="AZ133" s="187"/>
      <c r="BA133" s="157"/>
      <c r="BB133" s="156" t="s">
        <v>5</v>
      </c>
      <c r="BC133" s="157"/>
      <c r="BE133" s="102" t="s">
        <v>6</v>
      </c>
      <c r="BF133" s="143" t="s">
        <v>7</v>
      </c>
      <c r="BG133" s="165">
        <v>139</v>
      </c>
      <c r="BI133" s="156" t="s">
        <v>4</v>
      </c>
      <c r="BJ133" s="187"/>
      <c r="BK133" s="187"/>
      <c r="BL133" s="187"/>
      <c r="BM133" s="157"/>
      <c r="BN133" s="156" t="s">
        <v>5</v>
      </c>
      <c r="BO133" s="157"/>
      <c r="BQ133" s="102" t="s">
        <v>6</v>
      </c>
      <c r="BR133" s="143" t="s">
        <v>7</v>
      </c>
      <c r="BS133" s="165">
        <v>120</v>
      </c>
      <c r="BU133" s="156" t="s">
        <v>4</v>
      </c>
      <c r="BV133" s="187"/>
      <c r="BW133" s="187"/>
      <c r="BX133" s="187"/>
      <c r="BY133" s="157"/>
      <c r="BZ133" s="156" t="s">
        <v>5</v>
      </c>
      <c r="CA133" s="157"/>
      <c r="CC133" s="102" t="s">
        <v>6</v>
      </c>
      <c r="CD133" s="143" t="s">
        <v>7</v>
      </c>
      <c r="CE133" s="165">
        <v>210</v>
      </c>
      <c r="CG133" s="156" t="s">
        <v>4</v>
      </c>
      <c r="CH133" s="187"/>
      <c r="CI133" s="187"/>
      <c r="CJ133" s="187"/>
      <c r="CK133" s="157"/>
      <c r="CL133" s="156" t="s">
        <v>5</v>
      </c>
      <c r="CM133" s="157"/>
      <c r="CO133" s="102" t="s">
        <v>6</v>
      </c>
      <c r="CP133" s="143" t="s">
        <v>7</v>
      </c>
      <c r="CQ133" s="165">
        <v>0</v>
      </c>
      <c r="CS133" s="156" t="s">
        <v>4</v>
      </c>
      <c r="CT133" s="187"/>
      <c r="CU133" s="187"/>
      <c r="CV133" s="187"/>
      <c r="CW133" s="157"/>
      <c r="CX133" s="156" t="s">
        <v>5</v>
      </c>
      <c r="CY133" s="157"/>
      <c r="DA133" s="102" t="s">
        <v>6</v>
      </c>
      <c r="DB133" s="143" t="s">
        <v>7</v>
      </c>
      <c r="DC133" s="165">
        <v>0</v>
      </c>
      <c r="DD133" s="2"/>
      <c r="DE133" s="156" t="s">
        <v>4</v>
      </c>
      <c r="DF133" s="187"/>
      <c r="DG133" s="187"/>
      <c r="DH133" s="187"/>
      <c r="DI133" s="157"/>
      <c r="DJ133" s="156" t="s">
        <v>5</v>
      </c>
      <c r="DK133" s="157"/>
      <c r="DM133" s="102" t="s">
        <v>6</v>
      </c>
      <c r="DN133" s="143" t="s">
        <v>7</v>
      </c>
      <c r="DO133" s="165">
        <v>209</v>
      </c>
      <c r="DP133" s="2"/>
      <c r="DQ133" s="156" t="s">
        <v>4</v>
      </c>
      <c r="DR133" s="187"/>
      <c r="DS133" s="187"/>
      <c r="DT133" s="187"/>
      <c r="DU133" s="157"/>
      <c r="DV133" s="156" t="s">
        <v>5</v>
      </c>
      <c r="DW133" s="157"/>
      <c r="DY133" s="102" t="s">
        <v>6</v>
      </c>
      <c r="DZ133" s="143" t="s">
        <v>7</v>
      </c>
      <c r="EA133" s="165">
        <v>0</v>
      </c>
      <c r="EC133" s="156" t="s">
        <v>4</v>
      </c>
      <c r="ED133" s="187"/>
      <c r="EE133" s="187"/>
      <c r="EF133" s="187"/>
      <c r="EG133" s="157"/>
      <c r="EH133" s="156" t="s">
        <v>5</v>
      </c>
      <c r="EI133" s="157"/>
      <c r="EK133" s="102" t="s">
        <v>6</v>
      </c>
      <c r="EL133" s="143" t="s">
        <v>7</v>
      </c>
      <c r="EM133" s="165">
        <v>0</v>
      </c>
      <c r="EO133" s="156" t="s">
        <v>4</v>
      </c>
      <c r="EP133" s="187"/>
      <c r="EQ133" s="187"/>
      <c r="ER133" s="187"/>
      <c r="ES133" s="157"/>
      <c r="ET133" s="156" t="s">
        <v>5</v>
      </c>
      <c r="EU133" s="157"/>
      <c r="EW133" s="121" t="s">
        <v>6</v>
      </c>
      <c r="EX133" s="229" t="s">
        <v>7</v>
      </c>
      <c r="EY133" s="229">
        <f>K133+W133+AI133+AU133+BG133+BS133+CE133+CQ133+DC133+DO133+EA133+EM133</f>
        <v>1482</v>
      </c>
    </row>
    <row r="134" spans="1:155" ht="17.100000000000001" customHeight="1" thickTop="1" thickBot="1" x14ac:dyDescent="0.25">
      <c r="A134" s="111" t="s">
        <v>8</v>
      </c>
      <c r="B134" s="174"/>
      <c r="C134" s="174"/>
      <c r="D134" s="155" t="s">
        <v>9</v>
      </c>
      <c r="E134" s="141"/>
      <c r="F134" s="190">
        <v>200</v>
      </c>
      <c r="G134" s="191"/>
      <c r="I134" s="103"/>
      <c r="J134" s="140"/>
      <c r="K134" s="166"/>
      <c r="M134" s="111" t="s">
        <v>8</v>
      </c>
      <c r="N134" s="174"/>
      <c r="O134" s="174"/>
      <c r="P134" s="155" t="s">
        <v>9</v>
      </c>
      <c r="Q134" s="141"/>
      <c r="R134" s="190">
        <v>125</v>
      </c>
      <c r="S134" s="191"/>
      <c r="U134" s="103"/>
      <c r="V134" s="140"/>
      <c r="W134" s="166"/>
      <c r="Y134" s="111" t="s">
        <v>8</v>
      </c>
      <c r="Z134" s="174"/>
      <c r="AA134" s="174"/>
      <c r="AB134" s="155" t="s">
        <v>9</v>
      </c>
      <c r="AC134" s="141"/>
      <c r="AD134" s="190">
        <v>63</v>
      </c>
      <c r="AE134" s="191"/>
      <c r="AG134" s="103"/>
      <c r="AH134" s="140"/>
      <c r="AI134" s="166"/>
      <c r="AK134" s="111" t="s">
        <v>8</v>
      </c>
      <c r="AL134" s="174"/>
      <c r="AM134" s="174"/>
      <c r="AN134" s="155" t="s">
        <v>9</v>
      </c>
      <c r="AO134" s="141"/>
      <c r="AP134" s="190">
        <v>203</v>
      </c>
      <c r="AQ134" s="191"/>
      <c r="AS134" s="103"/>
      <c r="AT134" s="140"/>
      <c r="AU134" s="166"/>
      <c r="AW134" s="111" t="s">
        <v>8</v>
      </c>
      <c r="AX134" s="174"/>
      <c r="AY134" s="174"/>
      <c r="AZ134" s="155" t="s">
        <v>9</v>
      </c>
      <c r="BA134" s="141"/>
      <c r="BB134" s="190">
        <v>0</v>
      </c>
      <c r="BC134" s="191"/>
      <c r="BE134" s="103"/>
      <c r="BF134" s="140"/>
      <c r="BG134" s="166"/>
      <c r="BI134" s="111" t="s">
        <v>8</v>
      </c>
      <c r="BJ134" s="174"/>
      <c r="BK134" s="174"/>
      <c r="BL134" s="155" t="s">
        <v>9</v>
      </c>
      <c r="BM134" s="141"/>
      <c r="BN134" s="190">
        <v>50</v>
      </c>
      <c r="BO134" s="191"/>
      <c r="BQ134" s="103"/>
      <c r="BR134" s="140"/>
      <c r="BS134" s="166"/>
      <c r="BU134" s="111" t="s">
        <v>8</v>
      </c>
      <c r="BV134" s="174"/>
      <c r="BW134" s="174"/>
      <c r="BX134" s="155" t="s">
        <v>9</v>
      </c>
      <c r="BY134" s="141"/>
      <c r="BZ134" s="190">
        <v>203</v>
      </c>
      <c r="CA134" s="191"/>
      <c r="CC134" s="103"/>
      <c r="CD134" s="140"/>
      <c r="CE134" s="166"/>
      <c r="CG134" s="111" t="s">
        <v>8</v>
      </c>
      <c r="CH134" s="174"/>
      <c r="CI134" s="174"/>
      <c r="CJ134" s="155" t="s">
        <v>9</v>
      </c>
      <c r="CK134" s="141"/>
      <c r="CL134" s="155">
        <v>0</v>
      </c>
      <c r="CM134" s="141"/>
      <c r="CO134" s="103"/>
      <c r="CP134" s="140"/>
      <c r="CQ134" s="166"/>
      <c r="CS134" s="111" t="s">
        <v>8</v>
      </c>
      <c r="CT134" s="174"/>
      <c r="CU134" s="174"/>
      <c r="CV134" s="155" t="s">
        <v>9</v>
      </c>
      <c r="CW134" s="141"/>
      <c r="CX134" s="155">
        <v>0</v>
      </c>
      <c r="CY134" s="141"/>
      <c r="DA134" s="103"/>
      <c r="DB134" s="140"/>
      <c r="DC134" s="166"/>
      <c r="DD134" s="2"/>
      <c r="DE134" s="111" t="s">
        <v>8</v>
      </c>
      <c r="DF134" s="174"/>
      <c r="DG134" s="174"/>
      <c r="DH134" s="155" t="s">
        <v>9</v>
      </c>
      <c r="DI134" s="141"/>
      <c r="DJ134" s="190">
        <v>0</v>
      </c>
      <c r="DK134" s="191"/>
      <c r="DM134" s="103"/>
      <c r="DN134" s="140"/>
      <c r="DO134" s="166"/>
      <c r="DP134" s="2"/>
      <c r="DQ134" s="111" t="s">
        <v>8</v>
      </c>
      <c r="DR134" s="174"/>
      <c r="DS134" s="174"/>
      <c r="DT134" s="155" t="s">
        <v>9</v>
      </c>
      <c r="DU134" s="141"/>
      <c r="DV134" s="155">
        <v>0</v>
      </c>
      <c r="DW134" s="141"/>
      <c r="DY134" s="103"/>
      <c r="DZ134" s="140"/>
      <c r="EA134" s="166"/>
      <c r="EC134" s="111" t="s">
        <v>8</v>
      </c>
      <c r="ED134" s="174"/>
      <c r="EE134" s="174"/>
      <c r="EF134" s="155" t="s">
        <v>9</v>
      </c>
      <c r="EG134" s="141"/>
      <c r="EH134" s="155">
        <v>0</v>
      </c>
      <c r="EI134" s="141"/>
      <c r="EK134" s="103"/>
      <c r="EL134" s="140"/>
      <c r="EM134" s="166"/>
      <c r="EO134" s="111" t="s">
        <v>8</v>
      </c>
      <c r="EP134" s="174"/>
      <c r="EQ134" s="124"/>
      <c r="ER134" s="155" t="s">
        <v>9</v>
      </c>
      <c r="ES134" s="141"/>
      <c r="ET134" s="156">
        <f>F134+R134+AD134+AP134+BB134+BN134+BZ134+CL134+CX134+DJ134+DV134+EH134</f>
        <v>844</v>
      </c>
      <c r="EU134" s="157"/>
      <c r="EW134" s="122"/>
      <c r="EX134" s="139"/>
      <c r="EY134" s="237"/>
    </row>
    <row r="135" spans="1:155" ht="17.100000000000001" customHeight="1" thickBot="1" x14ac:dyDescent="0.25">
      <c r="A135" s="113"/>
      <c r="B135" s="175"/>
      <c r="C135" s="175"/>
      <c r="D135" s="154" t="s">
        <v>10</v>
      </c>
      <c r="E135" s="142"/>
      <c r="F135" s="182">
        <v>119</v>
      </c>
      <c r="G135" s="183"/>
      <c r="I135" s="103"/>
      <c r="J135" s="140" t="s">
        <v>11</v>
      </c>
      <c r="K135" s="166">
        <v>273</v>
      </c>
      <c r="M135" s="113"/>
      <c r="N135" s="175"/>
      <c r="O135" s="175"/>
      <c r="P135" s="154" t="s">
        <v>10</v>
      </c>
      <c r="Q135" s="142"/>
      <c r="R135" s="182">
        <v>91</v>
      </c>
      <c r="S135" s="183"/>
      <c r="U135" s="103"/>
      <c r="V135" s="140" t="s">
        <v>11</v>
      </c>
      <c r="W135" s="166">
        <v>361</v>
      </c>
      <c r="Y135" s="113"/>
      <c r="Z135" s="175"/>
      <c r="AA135" s="175"/>
      <c r="AB135" s="154" t="s">
        <v>10</v>
      </c>
      <c r="AC135" s="142"/>
      <c r="AD135" s="182">
        <v>0</v>
      </c>
      <c r="AE135" s="183"/>
      <c r="AG135" s="103"/>
      <c r="AH135" s="140" t="s">
        <v>11</v>
      </c>
      <c r="AI135" s="166">
        <v>269</v>
      </c>
      <c r="AK135" s="113"/>
      <c r="AL135" s="175"/>
      <c r="AM135" s="175"/>
      <c r="AN135" s="154" t="s">
        <v>10</v>
      </c>
      <c r="AO135" s="142"/>
      <c r="AP135" s="182">
        <v>125</v>
      </c>
      <c r="AQ135" s="183"/>
      <c r="AS135" s="103"/>
      <c r="AT135" s="140" t="s">
        <v>11</v>
      </c>
      <c r="AU135" s="166">
        <v>283</v>
      </c>
      <c r="AW135" s="113"/>
      <c r="AX135" s="175"/>
      <c r="AY135" s="175"/>
      <c r="AZ135" s="154" t="s">
        <v>10</v>
      </c>
      <c r="BA135" s="142"/>
      <c r="BB135" s="182">
        <v>0</v>
      </c>
      <c r="BC135" s="183"/>
      <c r="BE135" s="103"/>
      <c r="BF135" s="140" t="s">
        <v>11</v>
      </c>
      <c r="BG135" s="166">
        <v>159</v>
      </c>
      <c r="BI135" s="113"/>
      <c r="BJ135" s="175"/>
      <c r="BK135" s="175"/>
      <c r="BL135" s="154" t="s">
        <v>10</v>
      </c>
      <c r="BM135" s="142"/>
      <c r="BN135" s="182">
        <v>0</v>
      </c>
      <c r="BO135" s="183"/>
      <c r="BQ135" s="103"/>
      <c r="BR135" s="140" t="s">
        <v>11</v>
      </c>
      <c r="BS135" s="166">
        <v>132</v>
      </c>
      <c r="BU135" s="113"/>
      <c r="BV135" s="175"/>
      <c r="BW135" s="175"/>
      <c r="BX135" s="154" t="s">
        <v>10</v>
      </c>
      <c r="BY135" s="142"/>
      <c r="BZ135" s="182">
        <v>125</v>
      </c>
      <c r="CA135" s="183"/>
      <c r="CC135" s="103"/>
      <c r="CD135" s="140" t="s">
        <v>11</v>
      </c>
      <c r="CE135" s="166">
        <v>283</v>
      </c>
      <c r="CG135" s="113"/>
      <c r="CH135" s="175"/>
      <c r="CI135" s="175"/>
      <c r="CJ135" s="154" t="s">
        <v>10</v>
      </c>
      <c r="CK135" s="142"/>
      <c r="CL135" s="154">
        <v>0</v>
      </c>
      <c r="CM135" s="142"/>
      <c r="CO135" s="103"/>
      <c r="CP135" s="140" t="s">
        <v>11</v>
      </c>
      <c r="CQ135" s="166">
        <v>0</v>
      </c>
      <c r="CS135" s="113"/>
      <c r="CT135" s="175"/>
      <c r="CU135" s="175"/>
      <c r="CV135" s="154" t="s">
        <v>10</v>
      </c>
      <c r="CW135" s="142"/>
      <c r="CX135" s="154">
        <v>0</v>
      </c>
      <c r="CY135" s="142"/>
      <c r="DA135" s="103"/>
      <c r="DB135" s="140" t="s">
        <v>11</v>
      </c>
      <c r="DC135" s="166">
        <v>0</v>
      </c>
      <c r="DD135" s="2"/>
      <c r="DE135" s="113"/>
      <c r="DF135" s="175"/>
      <c r="DG135" s="175"/>
      <c r="DH135" s="154" t="s">
        <v>10</v>
      </c>
      <c r="DI135" s="142"/>
      <c r="DJ135" s="182">
        <v>0</v>
      </c>
      <c r="DK135" s="183"/>
      <c r="DM135" s="103"/>
      <c r="DN135" s="140" t="s">
        <v>11</v>
      </c>
      <c r="DO135" s="166">
        <v>255</v>
      </c>
      <c r="DP135" s="2"/>
      <c r="DQ135" s="113"/>
      <c r="DR135" s="175"/>
      <c r="DS135" s="175"/>
      <c r="DT135" s="154" t="s">
        <v>10</v>
      </c>
      <c r="DU135" s="142"/>
      <c r="DV135" s="154">
        <v>0</v>
      </c>
      <c r="DW135" s="142"/>
      <c r="DY135" s="103"/>
      <c r="DZ135" s="140" t="s">
        <v>11</v>
      </c>
      <c r="EA135" s="166">
        <v>0</v>
      </c>
      <c r="EC135" s="113"/>
      <c r="ED135" s="175"/>
      <c r="EE135" s="175"/>
      <c r="EF135" s="154" t="s">
        <v>10</v>
      </c>
      <c r="EG135" s="142"/>
      <c r="EH135" s="154">
        <v>0</v>
      </c>
      <c r="EI135" s="142"/>
      <c r="EK135" s="103"/>
      <c r="EL135" s="140" t="s">
        <v>11</v>
      </c>
      <c r="EM135" s="166">
        <v>0</v>
      </c>
      <c r="EO135" s="113"/>
      <c r="EP135" s="175"/>
      <c r="EQ135" s="112"/>
      <c r="ER135" s="154" t="s">
        <v>10</v>
      </c>
      <c r="ES135" s="142"/>
      <c r="ET135" s="156">
        <f t="shared" ref="ET135:ET155" si="10">F135+R135+AD135+AP135+BB135+BN135+BZ135+CL135+CX135+DJ135+DV135+EH135</f>
        <v>460</v>
      </c>
      <c r="EU135" s="157"/>
      <c r="EW135" s="122"/>
      <c r="EX135" s="238" t="s">
        <v>11</v>
      </c>
      <c r="EY135" s="229">
        <f>K135+W135+AI135+AU135+BG135+BS135+CE135+CQ135+DC135+DO135+EA135+EM135</f>
        <v>2015</v>
      </c>
    </row>
    <row r="136" spans="1:155" ht="17.100000000000001" customHeight="1" thickBot="1" x14ac:dyDescent="0.25">
      <c r="A136" s="125"/>
      <c r="B136" s="176"/>
      <c r="C136" s="176"/>
      <c r="D136" s="177" t="s">
        <v>12</v>
      </c>
      <c r="E136" s="178"/>
      <c r="F136" s="192">
        <v>0</v>
      </c>
      <c r="G136" s="193"/>
      <c r="I136" s="151"/>
      <c r="J136" s="144"/>
      <c r="K136" s="180"/>
      <c r="M136" s="125"/>
      <c r="N136" s="176"/>
      <c r="O136" s="176"/>
      <c r="P136" s="177" t="s">
        <v>12</v>
      </c>
      <c r="Q136" s="178"/>
      <c r="R136" s="192">
        <v>0</v>
      </c>
      <c r="S136" s="193"/>
      <c r="U136" s="151"/>
      <c r="V136" s="144"/>
      <c r="W136" s="180"/>
      <c r="Y136" s="125"/>
      <c r="Z136" s="176"/>
      <c r="AA136" s="176"/>
      <c r="AB136" s="177" t="s">
        <v>12</v>
      </c>
      <c r="AC136" s="178"/>
      <c r="AD136" s="192">
        <v>0</v>
      </c>
      <c r="AE136" s="193"/>
      <c r="AG136" s="151"/>
      <c r="AH136" s="144"/>
      <c r="AI136" s="180"/>
      <c r="AK136" s="125"/>
      <c r="AL136" s="176"/>
      <c r="AM136" s="176"/>
      <c r="AN136" s="177" t="s">
        <v>12</v>
      </c>
      <c r="AO136" s="178"/>
      <c r="AP136" s="192">
        <v>0</v>
      </c>
      <c r="AQ136" s="193"/>
      <c r="AS136" s="151"/>
      <c r="AT136" s="144"/>
      <c r="AU136" s="180"/>
      <c r="AW136" s="125"/>
      <c r="AX136" s="176"/>
      <c r="AY136" s="176"/>
      <c r="AZ136" s="177" t="s">
        <v>12</v>
      </c>
      <c r="BA136" s="178"/>
      <c r="BB136" s="192">
        <v>0</v>
      </c>
      <c r="BC136" s="193"/>
      <c r="BE136" s="151"/>
      <c r="BF136" s="144"/>
      <c r="BG136" s="180"/>
      <c r="BI136" s="125"/>
      <c r="BJ136" s="176"/>
      <c r="BK136" s="176"/>
      <c r="BL136" s="177" t="s">
        <v>12</v>
      </c>
      <c r="BM136" s="178"/>
      <c r="BN136" s="192">
        <v>0</v>
      </c>
      <c r="BO136" s="193"/>
      <c r="BQ136" s="151"/>
      <c r="BR136" s="144"/>
      <c r="BS136" s="180"/>
      <c r="BU136" s="125"/>
      <c r="BV136" s="176"/>
      <c r="BW136" s="176"/>
      <c r="BX136" s="177" t="s">
        <v>12</v>
      </c>
      <c r="BY136" s="178"/>
      <c r="BZ136" s="192">
        <v>0</v>
      </c>
      <c r="CA136" s="193"/>
      <c r="CC136" s="151"/>
      <c r="CD136" s="144"/>
      <c r="CE136" s="180"/>
      <c r="CG136" s="125"/>
      <c r="CH136" s="176"/>
      <c r="CI136" s="176"/>
      <c r="CJ136" s="177" t="s">
        <v>12</v>
      </c>
      <c r="CK136" s="178"/>
      <c r="CL136" s="177">
        <v>0</v>
      </c>
      <c r="CM136" s="178"/>
      <c r="CO136" s="151"/>
      <c r="CP136" s="144"/>
      <c r="CQ136" s="180"/>
      <c r="CS136" s="125"/>
      <c r="CT136" s="176"/>
      <c r="CU136" s="176"/>
      <c r="CV136" s="177" t="s">
        <v>12</v>
      </c>
      <c r="CW136" s="178"/>
      <c r="CX136" s="177">
        <v>0</v>
      </c>
      <c r="CY136" s="178"/>
      <c r="DA136" s="151"/>
      <c r="DB136" s="144"/>
      <c r="DC136" s="180"/>
      <c r="DD136" s="2"/>
      <c r="DE136" s="125"/>
      <c r="DF136" s="176"/>
      <c r="DG136" s="176"/>
      <c r="DH136" s="177" t="s">
        <v>12</v>
      </c>
      <c r="DI136" s="178"/>
      <c r="DJ136" s="192">
        <v>0</v>
      </c>
      <c r="DK136" s="193"/>
      <c r="DM136" s="151"/>
      <c r="DN136" s="144"/>
      <c r="DO136" s="180"/>
      <c r="DP136" s="2"/>
      <c r="DQ136" s="125"/>
      <c r="DR136" s="176"/>
      <c r="DS136" s="176"/>
      <c r="DT136" s="177" t="s">
        <v>12</v>
      </c>
      <c r="DU136" s="178"/>
      <c r="DV136" s="177">
        <v>0</v>
      </c>
      <c r="DW136" s="178"/>
      <c r="DY136" s="151"/>
      <c r="DZ136" s="144"/>
      <c r="EA136" s="180"/>
      <c r="EC136" s="125"/>
      <c r="ED136" s="176"/>
      <c r="EE136" s="176"/>
      <c r="EF136" s="177" t="s">
        <v>12</v>
      </c>
      <c r="EG136" s="178"/>
      <c r="EH136" s="177">
        <v>0</v>
      </c>
      <c r="EI136" s="178"/>
      <c r="EK136" s="151"/>
      <c r="EL136" s="144"/>
      <c r="EM136" s="180"/>
      <c r="EO136" s="125"/>
      <c r="EP136" s="176"/>
      <c r="EQ136" s="126"/>
      <c r="ER136" s="177" t="s">
        <v>12</v>
      </c>
      <c r="ES136" s="178"/>
      <c r="ET136" s="156">
        <f t="shared" si="10"/>
        <v>0</v>
      </c>
      <c r="EU136" s="157"/>
      <c r="EW136" s="123"/>
      <c r="EX136" s="237"/>
      <c r="EY136" s="237"/>
    </row>
    <row r="137" spans="1:155" ht="17.100000000000001" customHeight="1" thickTop="1" thickBot="1" x14ac:dyDescent="0.25">
      <c r="A137" s="158" t="s">
        <v>13</v>
      </c>
      <c r="B137" s="111" t="s">
        <v>14</v>
      </c>
      <c r="C137" s="174"/>
      <c r="D137" s="155" t="s">
        <v>29</v>
      </c>
      <c r="E137" s="141"/>
      <c r="F137" s="190">
        <v>163</v>
      </c>
      <c r="G137" s="191"/>
      <c r="I137" s="102" t="s">
        <v>15</v>
      </c>
      <c r="J137" s="143" t="s">
        <v>7</v>
      </c>
      <c r="K137" s="165">
        <v>188</v>
      </c>
      <c r="M137" s="158" t="s">
        <v>13</v>
      </c>
      <c r="N137" s="111" t="s">
        <v>14</v>
      </c>
      <c r="O137" s="174"/>
      <c r="P137" s="155" t="s">
        <v>29</v>
      </c>
      <c r="Q137" s="141"/>
      <c r="R137" s="190">
        <v>140</v>
      </c>
      <c r="S137" s="191"/>
      <c r="U137" s="102" t="s">
        <v>15</v>
      </c>
      <c r="V137" s="143" t="s">
        <v>7</v>
      </c>
      <c r="W137" s="165">
        <v>144</v>
      </c>
      <c r="Y137" s="158" t="s">
        <v>13</v>
      </c>
      <c r="Z137" s="111" t="s">
        <v>14</v>
      </c>
      <c r="AA137" s="174"/>
      <c r="AB137" s="155" t="s">
        <v>29</v>
      </c>
      <c r="AC137" s="141"/>
      <c r="AD137" s="190">
        <v>12</v>
      </c>
      <c r="AE137" s="191"/>
      <c r="AG137" s="102" t="s">
        <v>15</v>
      </c>
      <c r="AH137" s="143" t="s">
        <v>7</v>
      </c>
      <c r="AI137" s="165">
        <v>70</v>
      </c>
      <c r="AK137" s="158" t="s">
        <v>13</v>
      </c>
      <c r="AL137" s="111" t="s">
        <v>14</v>
      </c>
      <c r="AM137" s="174"/>
      <c r="AN137" s="155" t="s">
        <v>29</v>
      </c>
      <c r="AO137" s="141"/>
      <c r="AP137" s="190">
        <v>166</v>
      </c>
      <c r="AQ137" s="191"/>
      <c r="AS137" s="102" t="s">
        <v>15</v>
      </c>
      <c r="AT137" s="143" t="s">
        <v>7</v>
      </c>
      <c r="AU137" s="165">
        <v>191</v>
      </c>
      <c r="AW137" s="158" t="s">
        <v>13</v>
      </c>
      <c r="AX137" s="111" t="s">
        <v>14</v>
      </c>
      <c r="AY137" s="174"/>
      <c r="AZ137" s="155" t="s">
        <v>29</v>
      </c>
      <c r="BA137" s="141"/>
      <c r="BB137" s="190">
        <v>45</v>
      </c>
      <c r="BC137" s="191"/>
      <c r="BE137" s="102" t="s">
        <v>15</v>
      </c>
      <c r="BF137" s="143" t="s">
        <v>7</v>
      </c>
      <c r="BG137" s="165">
        <v>80</v>
      </c>
      <c r="BI137" s="158" t="s">
        <v>13</v>
      </c>
      <c r="BJ137" s="111" t="s">
        <v>14</v>
      </c>
      <c r="BK137" s="174"/>
      <c r="BL137" s="155" t="s">
        <v>29</v>
      </c>
      <c r="BM137" s="141"/>
      <c r="BN137" s="190">
        <v>30</v>
      </c>
      <c r="BO137" s="191"/>
      <c r="BQ137" s="102" t="s">
        <v>15</v>
      </c>
      <c r="BR137" s="143" t="s">
        <v>7</v>
      </c>
      <c r="BS137" s="165">
        <v>50</v>
      </c>
      <c r="BU137" s="158" t="s">
        <v>13</v>
      </c>
      <c r="BV137" s="111" t="s">
        <v>14</v>
      </c>
      <c r="BW137" s="174"/>
      <c r="BX137" s="155" t="s">
        <v>29</v>
      </c>
      <c r="BY137" s="141"/>
      <c r="BZ137" s="190">
        <v>166</v>
      </c>
      <c r="CA137" s="191"/>
      <c r="CC137" s="102" t="s">
        <v>15</v>
      </c>
      <c r="CD137" s="143" t="s">
        <v>7</v>
      </c>
      <c r="CE137" s="165">
        <v>191</v>
      </c>
      <c r="CG137" s="158" t="s">
        <v>13</v>
      </c>
      <c r="CH137" s="111" t="s">
        <v>14</v>
      </c>
      <c r="CI137" s="174"/>
      <c r="CJ137" s="155" t="s">
        <v>29</v>
      </c>
      <c r="CK137" s="141"/>
      <c r="CL137" s="155">
        <v>0</v>
      </c>
      <c r="CM137" s="141"/>
      <c r="CO137" s="102" t="s">
        <v>15</v>
      </c>
      <c r="CP137" s="143" t="s">
        <v>7</v>
      </c>
      <c r="CQ137" s="165">
        <v>0</v>
      </c>
      <c r="CS137" s="158" t="s">
        <v>13</v>
      </c>
      <c r="CT137" s="111" t="s">
        <v>14</v>
      </c>
      <c r="CU137" s="174"/>
      <c r="CV137" s="155" t="s">
        <v>29</v>
      </c>
      <c r="CW137" s="141"/>
      <c r="CX137" s="155">
        <v>0</v>
      </c>
      <c r="CY137" s="141"/>
      <c r="DA137" s="102" t="s">
        <v>15</v>
      </c>
      <c r="DB137" s="143" t="s">
        <v>7</v>
      </c>
      <c r="DC137" s="165">
        <v>0</v>
      </c>
      <c r="DD137" s="2"/>
      <c r="DE137" s="158" t="s">
        <v>13</v>
      </c>
      <c r="DF137" s="111" t="s">
        <v>14</v>
      </c>
      <c r="DG137" s="174"/>
      <c r="DH137" s="155" t="s">
        <v>29</v>
      </c>
      <c r="DI137" s="141"/>
      <c r="DJ137" s="190">
        <v>45</v>
      </c>
      <c r="DK137" s="191"/>
      <c r="DM137" s="102" t="s">
        <v>15</v>
      </c>
      <c r="DN137" s="143" t="s">
        <v>7</v>
      </c>
      <c r="DO137" s="165">
        <v>150</v>
      </c>
      <c r="DP137" s="2"/>
      <c r="DQ137" s="158" t="s">
        <v>13</v>
      </c>
      <c r="DR137" s="111" t="s">
        <v>14</v>
      </c>
      <c r="DS137" s="174"/>
      <c r="DT137" s="155" t="s">
        <v>29</v>
      </c>
      <c r="DU137" s="141"/>
      <c r="DV137" s="155">
        <v>0</v>
      </c>
      <c r="DW137" s="141"/>
      <c r="DY137" s="102" t="s">
        <v>15</v>
      </c>
      <c r="DZ137" s="143" t="s">
        <v>7</v>
      </c>
      <c r="EA137" s="165">
        <v>0</v>
      </c>
      <c r="EC137" s="158" t="s">
        <v>13</v>
      </c>
      <c r="ED137" s="111" t="s">
        <v>14</v>
      </c>
      <c r="EE137" s="174"/>
      <c r="EF137" s="155" t="s">
        <v>29</v>
      </c>
      <c r="EG137" s="141"/>
      <c r="EH137" s="155">
        <v>0</v>
      </c>
      <c r="EI137" s="141"/>
      <c r="EK137" s="102" t="s">
        <v>15</v>
      </c>
      <c r="EL137" s="143" t="s">
        <v>7</v>
      </c>
      <c r="EM137" s="165">
        <v>0</v>
      </c>
      <c r="EO137" s="232" t="s">
        <v>13</v>
      </c>
      <c r="EP137" s="111" t="s">
        <v>14</v>
      </c>
      <c r="EQ137" s="124"/>
      <c r="ER137" s="155" t="s">
        <v>29</v>
      </c>
      <c r="ES137" s="141"/>
      <c r="ET137" s="156">
        <f t="shared" si="10"/>
        <v>767</v>
      </c>
      <c r="EU137" s="157"/>
      <c r="EW137" s="121" t="s">
        <v>15</v>
      </c>
      <c r="EX137" s="229" t="s">
        <v>7</v>
      </c>
      <c r="EY137" s="229">
        <f>K137+W137+AI137+AU137+BG137+BS137+CE137+CQ137+DC137+DO137+EA137+EM137</f>
        <v>1064</v>
      </c>
    </row>
    <row r="138" spans="1:155" ht="17.100000000000001" customHeight="1" thickBot="1" x14ac:dyDescent="0.25">
      <c r="A138" s="159"/>
      <c r="B138" s="113"/>
      <c r="C138" s="175"/>
      <c r="D138" s="154" t="s">
        <v>16</v>
      </c>
      <c r="E138" s="142"/>
      <c r="F138" s="182">
        <v>46</v>
      </c>
      <c r="G138" s="183"/>
      <c r="I138" s="103"/>
      <c r="J138" s="140"/>
      <c r="K138" s="166"/>
      <c r="M138" s="159"/>
      <c r="N138" s="113"/>
      <c r="O138" s="175"/>
      <c r="P138" s="154" t="s">
        <v>16</v>
      </c>
      <c r="Q138" s="142"/>
      <c r="R138" s="182">
        <v>62</v>
      </c>
      <c r="S138" s="183"/>
      <c r="U138" s="103"/>
      <c r="V138" s="140"/>
      <c r="W138" s="166"/>
      <c r="Y138" s="159"/>
      <c r="Z138" s="113"/>
      <c r="AA138" s="175"/>
      <c r="AB138" s="154" t="s">
        <v>16</v>
      </c>
      <c r="AC138" s="142"/>
      <c r="AD138" s="182">
        <v>0</v>
      </c>
      <c r="AE138" s="183"/>
      <c r="AG138" s="103"/>
      <c r="AH138" s="140"/>
      <c r="AI138" s="166"/>
      <c r="AK138" s="159"/>
      <c r="AL138" s="113"/>
      <c r="AM138" s="175"/>
      <c r="AN138" s="154" t="s">
        <v>16</v>
      </c>
      <c r="AO138" s="142"/>
      <c r="AP138" s="182">
        <v>48</v>
      </c>
      <c r="AQ138" s="183"/>
      <c r="AS138" s="103"/>
      <c r="AT138" s="140"/>
      <c r="AU138" s="166"/>
      <c r="AW138" s="159"/>
      <c r="AX138" s="113"/>
      <c r="AY138" s="175"/>
      <c r="AZ138" s="154" t="s">
        <v>16</v>
      </c>
      <c r="BA138" s="142"/>
      <c r="BB138" s="182">
        <v>25</v>
      </c>
      <c r="BC138" s="183"/>
      <c r="BE138" s="103"/>
      <c r="BF138" s="140"/>
      <c r="BG138" s="166"/>
      <c r="BI138" s="159"/>
      <c r="BJ138" s="113"/>
      <c r="BK138" s="175"/>
      <c r="BL138" s="154" t="s">
        <v>16</v>
      </c>
      <c r="BM138" s="142"/>
      <c r="BN138" s="182">
        <v>0</v>
      </c>
      <c r="BO138" s="183"/>
      <c r="BQ138" s="103"/>
      <c r="BR138" s="140"/>
      <c r="BS138" s="166"/>
      <c r="BU138" s="159"/>
      <c r="BV138" s="113"/>
      <c r="BW138" s="175"/>
      <c r="BX138" s="154" t="s">
        <v>16</v>
      </c>
      <c r="BY138" s="142"/>
      <c r="BZ138" s="182">
        <v>48</v>
      </c>
      <c r="CA138" s="183"/>
      <c r="CC138" s="103"/>
      <c r="CD138" s="140"/>
      <c r="CE138" s="166"/>
      <c r="CG138" s="159"/>
      <c r="CH138" s="113"/>
      <c r="CI138" s="175"/>
      <c r="CJ138" s="154" t="s">
        <v>16</v>
      </c>
      <c r="CK138" s="142"/>
      <c r="CL138" s="154">
        <v>0</v>
      </c>
      <c r="CM138" s="142"/>
      <c r="CO138" s="103"/>
      <c r="CP138" s="140"/>
      <c r="CQ138" s="166"/>
      <c r="CS138" s="159"/>
      <c r="CT138" s="113"/>
      <c r="CU138" s="175"/>
      <c r="CV138" s="154" t="s">
        <v>16</v>
      </c>
      <c r="CW138" s="142"/>
      <c r="CX138" s="154">
        <v>0</v>
      </c>
      <c r="CY138" s="142"/>
      <c r="DA138" s="103"/>
      <c r="DB138" s="140"/>
      <c r="DC138" s="166"/>
      <c r="DD138" s="2"/>
      <c r="DE138" s="159"/>
      <c r="DF138" s="113"/>
      <c r="DG138" s="175"/>
      <c r="DH138" s="154" t="s">
        <v>16</v>
      </c>
      <c r="DI138" s="142"/>
      <c r="DJ138" s="182">
        <v>39</v>
      </c>
      <c r="DK138" s="183"/>
      <c r="DM138" s="103"/>
      <c r="DN138" s="140"/>
      <c r="DO138" s="166"/>
      <c r="DP138" s="2"/>
      <c r="DQ138" s="159"/>
      <c r="DR138" s="113"/>
      <c r="DS138" s="175"/>
      <c r="DT138" s="154" t="s">
        <v>16</v>
      </c>
      <c r="DU138" s="142"/>
      <c r="DV138" s="154">
        <v>0</v>
      </c>
      <c r="DW138" s="142"/>
      <c r="DY138" s="103"/>
      <c r="DZ138" s="140"/>
      <c r="EA138" s="166"/>
      <c r="EC138" s="159"/>
      <c r="ED138" s="113"/>
      <c r="EE138" s="175"/>
      <c r="EF138" s="154" t="s">
        <v>16</v>
      </c>
      <c r="EG138" s="142"/>
      <c r="EH138" s="154">
        <v>0</v>
      </c>
      <c r="EI138" s="142"/>
      <c r="EK138" s="103"/>
      <c r="EL138" s="140"/>
      <c r="EM138" s="166"/>
      <c r="EO138" s="233"/>
      <c r="EP138" s="113"/>
      <c r="EQ138" s="112"/>
      <c r="ER138" s="154" t="s">
        <v>16</v>
      </c>
      <c r="ES138" s="142"/>
      <c r="ET138" s="156">
        <f t="shared" si="10"/>
        <v>268</v>
      </c>
      <c r="EU138" s="157"/>
      <c r="EW138" s="122"/>
      <c r="EX138" s="139"/>
      <c r="EY138" s="237"/>
    </row>
    <row r="139" spans="1:155" ht="17.100000000000001" customHeight="1" thickBot="1" x14ac:dyDescent="0.25">
      <c r="A139" s="159"/>
      <c r="B139" s="125"/>
      <c r="C139" s="176"/>
      <c r="D139" s="177" t="s">
        <v>17</v>
      </c>
      <c r="E139" s="178"/>
      <c r="F139" s="192">
        <v>0</v>
      </c>
      <c r="G139" s="193"/>
      <c r="I139" s="103"/>
      <c r="J139" s="140" t="s">
        <v>11</v>
      </c>
      <c r="K139" s="166">
        <v>141</v>
      </c>
      <c r="M139" s="159"/>
      <c r="N139" s="125"/>
      <c r="O139" s="176"/>
      <c r="P139" s="177" t="s">
        <v>17</v>
      </c>
      <c r="Q139" s="178"/>
      <c r="R139" s="192">
        <v>0</v>
      </c>
      <c r="S139" s="193"/>
      <c r="U139" s="103"/>
      <c r="V139" s="140" t="s">
        <v>11</v>
      </c>
      <c r="W139" s="166">
        <v>138</v>
      </c>
      <c r="Y139" s="159"/>
      <c r="Z139" s="125"/>
      <c r="AA139" s="176"/>
      <c r="AB139" s="177" t="s">
        <v>17</v>
      </c>
      <c r="AC139" s="178"/>
      <c r="AD139" s="192">
        <v>0</v>
      </c>
      <c r="AE139" s="193"/>
      <c r="AG139" s="103"/>
      <c r="AH139" s="140" t="s">
        <v>11</v>
      </c>
      <c r="AI139" s="166">
        <v>69</v>
      </c>
      <c r="AK139" s="159"/>
      <c r="AL139" s="125"/>
      <c r="AM139" s="176"/>
      <c r="AN139" s="177" t="s">
        <v>17</v>
      </c>
      <c r="AO139" s="178"/>
      <c r="AP139" s="192">
        <v>0</v>
      </c>
      <c r="AQ139" s="193"/>
      <c r="AS139" s="103"/>
      <c r="AT139" s="140" t="s">
        <v>11</v>
      </c>
      <c r="AU139" s="166">
        <v>142</v>
      </c>
      <c r="AW139" s="159"/>
      <c r="AX139" s="125"/>
      <c r="AY139" s="176"/>
      <c r="AZ139" s="177" t="s">
        <v>17</v>
      </c>
      <c r="BA139" s="178"/>
      <c r="BB139" s="192">
        <v>0</v>
      </c>
      <c r="BC139" s="193"/>
      <c r="BE139" s="103"/>
      <c r="BF139" s="140" t="s">
        <v>11</v>
      </c>
      <c r="BG139" s="166">
        <v>68</v>
      </c>
      <c r="BI139" s="159"/>
      <c r="BJ139" s="125"/>
      <c r="BK139" s="176"/>
      <c r="BL139" s="177" t="s">
        <v>17</v>
      </c>
      <c r="BM139" s="178"/>
      <c r="BN139" s="192">
        <v>0</v>
      </c>
      <c r="BO139" s="193"/>
      <c r="BQ139" s="103"/>
      <c r="BR139" s="140" t="s">
        <v>11</v>
      </c>
      <c r="BS139" s="166">
        <v>55</v>
      </c>
      <c r="BU139" s="159"/>
      <c r="BV139" s="125"/>
      <c r="BW139" s="176"/>
      <c r="BX139" s="177" t="s">
        <v>17</v>
      </c>
      <c r="BY139" s="178"/>
      <c r="BZ139" s="192">
        <v>0</v>
      </c>
      <c r="CA139" s="193"/>
      <c r="CC139" s="103"/>
      <c r="CD139" s="140" t="s">
        <v>11</v>
      </c>
      <c r="CE139" s="166">
        <v>142</v>
      </c>
      <c r="CG139" s="159"/>
      <c r="CH139" s="125"/>
      <c r="CI139" s="176"/>
      <c r="CJ139" s="177" t="s">
        <v>17</v>
      </c>
      <c r="CK139" s="178"/>
      <c r="CL139" s="177">
        <v>0</v>
      </c>
      <c r="CM139" s="178"/>
      <c r="CO139" s="103"/>
      <c r="CP139" s="140" t="s">
        <v>11</v>
      </c>
      <c r="CQ139" s="166">
        <v>0</v>
      </c>
      <c r="CS139" s="159"/>
      <c r="CT139" s="125"/>
      <c r="CU139" s="176"/>
      <c r="CV139" s="177" t="s">
        <v>17</v>
      </c>
      <c r="CW139" s="178"/>
      <c r="CX139" s="177">
        <v>0</v>
      </c>
      <c r="CY139" s="178"/>
      <c r="DA139" s="103"/>
      <c r="DB139" s="140" t="s">
        <v>11</v>
      </c>
      <c r="DC139" s="166">
        <v>0</v>
      </c>
      <c r="DD139" s="2"/>
      <c r="DE139" s="159"/>
      <c r="DF139" s="125"/>
      <c r="DG139" s="176"/>
      <c r="DH139" s="177" t="s">
        <v>17</v>
      </c>
      <c r="DI139" s="178"/>
      <c r="DJ139" s="192">
        <v>0</v>
      </c>
      <c r="DK139" s="193"/>
      <c r="DM139" s="103"/>
      <c r="DN139" s="140" t="s">
        <v>11</v>
      </c>
      <c r="DO139" s="166">
        <v>131</v>
      </c>
      <c r="DP139" s="2"/>
      <c r="DQ139" s="159"/>
      <c r="DR139" s="125"/>
      <c r="DS139" s="176"/>
      <c r="DT139" s="177" t="s">
        <v>17</v>
      </c>
      <c r="DU139" s="178"/>
      <c r="DV139" s="177">
        <v>0</v>
      </c>
      <c r="DW139" s="178"/>
      <c r="DY139" s="103"/>
      <c r="DZ139" s="140" t="s">
        <v>11</v>
      </c>
      <c r="EA139" s="166">
        <v>0</v>
      </c>
      <c r="EC139" s="159"/>
      <c r="ED139" s="125"/>
      <c r="EE139" s="176"/>
      <c r="EF139" s="177" t="s">
        <v>17</v>
      </c>
      <c r="EG139" s="178"/>
      <c r="EH139" s="177">
        <v>0</v>
      </c>
      <c r="EI139" s="178"/>
      <c r="EK139" s="103"/>
      <c r="EL139" s="140" t="s">
        <v>11</v>
      </c>
      <c r="EM139" s="166">
        <v>0</v>
      </c>
      <c r="EO139" s="233"/>
      <c r="EP139" s="125"/>
      <c r="EQ139" s="126"/>
      <c r="ER139" s="177" t="s">
        <v>17</v>
      </c>
      <c r="ES139" s="178"/>
      <c r="ET139" s="156">
        <f t="shared" si="10"/>
        <v>0</v>
      </c>
      <c r="EU139" s="157"/>
      <c r="EW139" s="122"/>
      <c r="EX139" s="238" t="s">
        <v>11</v>
      </c>
      <c r="EY139" s="229">
        <f>K139+W139+AI139+AU139+BG139+BS139+CE139+CQ139+DC139+DO139+EA139+EM139</f>
        <v>886</v>
      </c>
    </row>
    <row r="140" spans="1:155" ht="17.100000000000001" customHeight="1" thickTop="1" thickBot="1" x14ac:dyDescent="0.25">
      <c r="A140" s="159"/>
      <c r="B140" s="111" t="s">
        <v>18</v>
      </c>
      <c r="C140" s="174"/>
      <c r="D140" s="155" t="s">
        <v>19</v>
      </c>
      <c r="E140" s="141"/>
      <c r="F140" s="190">
        <v>0</v>
      </c>
      <c r="G140" s="191"/>
      <c r="I140" s="103"/>
      <c r="J140" s="144"/>
      <c r="K140" s="180"/>
      <c r="M140" s="159"/>
      <c r="N140" s="111" t="s">
        <v>18</v>
      </c>
      <c r="O140" s="174"/>
      <c r="P140" s="155" t="s">
        <v>19</v>
      </c>
      <c r="Q140" s="141"/>
      <c r="R140" s="190">
        <v>0</v>
      </c>
      <c r="S140" s="191"/>
      <c r="U140" s="103"/>
      <c r="V140" s="144"/>
      <c r="W140" s="180"/>
      <c r="Y140" s="159"/>
      <c r="Z140" s="111" t="s">
        <v>18</v>
      </c>
      <c r="AA140" s="174"/>
      <c r="AB140" s="155" t="s">
        <v>19</v>
      </c>
      <c r="AC140" s="141"/>
      <c r="AD140" s="190">
        <v>0</v>
      </c>
      <c r="AE140" s="191"/>
      <c r="AG140" s="103"/>
      <c r="AH140" s="144"/>
      <c r="AI140" s="180"/>
      <c r="AK140" s="159"/>
      <c r="AL140" s="111" t="s">
        <v>18</v>
      </c>
      <c r="AM140" s="174"/>
      <c r="AN140" s="155" t="s">
        <v>19</v>
      </c>
      <c r="AO140" s="141"/>
      <c r="AP140" s="190">
        <v>0</v>
      </c>
      <c r="AQ140" s="191"/>
      <c r="AS140" s="103"/>
      <c r="AT140" s="144"/>
      <c r="AU140" s="180"/>
      <c r="AW140" s="159"/>
      <c r="AX140" s="111" t="s">
        <v>18</v>
      </c>
      <c r="AY140" s="174"/>
      <c r="AZ140" s="155" t="s">
        <v>19</v>
      </c>
      <c r="BA140" s="141"/>
      <c r="BB140" s="190">
        <v>0</v>
      </c>
      <c r="BC140" s="191"/>
      <c r="BE140" s="103"/>
      <c r="BF140" s="144"/>
      <c r="BG140" s="180"/>
      <c r="BI140" s="159"/>
      <c r="BJ140" s="111" t="s">
        <v>18</v>
      </c>
      <c r="BK140" s="174"/>
      <c r="BL140" s="155" t="s">
        <v>19</v>
      </c>
      <c r="BM140" s="141"/>
      <c r="BN140" s="190">
        <v>0</v>
      </c>
      <c r="BO140" s="191"/>
      <c r="BQ140" s="103"/>
      <c r="BR140" s="144"/>
      <c r="BS140" s="180"/>
      <c r="BU140" s="159"/>
      <c r="BV140" s="111" t="s">
        <v>18</v>
      </c>
      <c r="BW140" s="174"/>
      <c r="BX140" s="155" t="s">
        <v>19</v>
      </c>
      <c r="BY140" s="141"/>
      <c r="BZ140" s="190">
        <v>0</v>
      </c>
      <c r="CA140" s="191"/>
      <c r="CC140" s="103"/>
      <c r="CD140" s="144"/>
      <c r="CE140" s="180"/>
      <c r="CG140" s="159"/>
      <c r="CH140" s="111" t="s">
        <v>18</v>
      </c>
      <c r="CI140" s="174"/>
      <c r="CJ140" s="155" t="s">
        <v>19</v>
      </c>
      <c r="CK140" s="141"/>
      <c r="CL140" s="155">
        <v>0</v>
      </c>
      <c r="CM140" s="141"/>
      <c r="CO140" s="103"/>
      <c r="CP140" s="144"/>
      <c r="CQ140" s="180"/>
      <c r="CS140" s="159"/>
      <c r="CT140" s="111" t="s">
        <v>18</v>
      </c>
      <c r="CU140" s="174"/>
      <c r="CV140" s="155" t="s">
        <v>19</v>
      </c>
      <c r="CW140" s="141"/>
      <c r="CX140" s="155">
        <v>0</v>
      </c>
      <c r="CY140" s="141"/>
      <c r="DA140" s="103"/>
      <c r="DB140" s="144"/>
      <c r="DC140" s="180"/>
      <c r="DD140" s="2"/>
      <c r="DE140" s="159"/>
      <c r="DF140" s="111" t="s">
        <v>18</v>
      </c>
      <c r="DG140" s="174"/>
      <c r="DH140" s="155" t="s">
        <v>19</v>
      </c>
      <c r="DI140" s="141"/>
      <c r="DJ140" s="190">
        <v>0</v>
      </c>
      <c r="DK140" s="191"/>
      <c r="DM140" s="103"/>
      <c r="DN140" s="144"/>
      <c r="DO140" s="180"/>
      <c r="DP140" s="2"/>
      <c r="DQ140" s="159"/>
      <c r="DR140" s="111" t="s">
        <v>18</v>
      </c>
      <c r="DS140" s="174"/>
      <c r="DT140" s="155" t="s">
        <v>19</v>
      </c>
      <c r="DU140" s="141"/>
      <c r="DV140" s="155">
        <v>0</v>
      </c>
      <c r="DW140" s="141"/>
      <c r="DY140" s="103"/>
      <c r="DZ140" s="144"/>
      <c r="EA140" s="180"/>
      <c r="EC140" s="159"/>
      <c r="ED140" s="111" t="s">
        <v>18</v>
      </c>
      <c r="EE140" s="174"/>
      <c r="EF140" s="155" t="s">
        <v>19</v>
      </c>
      <c r="EG140" s="141"/>
      <c r="EH140" s="155">
        <v>0</v>
      </c>
      <c r="EI140" s="141"/>
      <c r="EK140" s="103"/>
      <c r="EL140" s="144"/>
      <c r="EM140" s="180"/>
      <c r="EO140" s="233"/>
      <c r="EP140" s="111" t="s">
        <v>18</v>
      </c>
      <c r="EQ140" s="124"/>
      <c r="ER140" s="155" t="s">
        <v>19</v>
      </c>
      <c r="ES140" s="141"/>
      <c r="ET140" s="156">
        <f t="shared" si="10"/>
        <v>0</v>
      </c>
      <c r="EU140" s="157"/>
      <c r="EW140" s="123"/>
      <c r="EX140" s="237"/>
      <c r="EY140" s="139"/>
    </row>
    <row r="141" spans="1:155" ht="17.100000000000001" customHeight="1" thickBot="1" x14ac:dyDescent="0.25">
      <c r="A141" s="159"/>
      <c r="B141" s="125"/>
      <c r="C141" s="176"/>
      <c r="D141" s="177" t="s">
        <v>20</v>
      </c>
      <c r="E141" s="178"/>
      <c r="F141" s="192">
        <v>0</v>
      </c>
      <c r="G141" s="193"/>
      <c r="I141" s="167" t="s">
        <v>21</v>
      </c>
      <c r="J141" s="168"/>
      <c r="K141" s="172">
        <f>SUM(K133:K140)</f>
        <v>811</v>
      </c>
      <c r="M141" s="159"/>
      <c r="N141" s="125"/>
      <c r="O141" s="176"/>
      <c r="P141" s="177" t="s">
        <v>20</v>
      </c>
      <c r="Q141" s="178"/>
      <c r="R141" s="192">
        <v>0</v>
      </c>
      <c r="S141" s="193"/>
      <c r="U141" s="167" t="s">
        <v>21</v>
      </c>
      <c r="V141" s="168"/>
      <c r="W141" s="172">
        <f>SUM(W133:W140)</f>
        <v>858</v>
      </c>
      <c r="Y141" s="159"/>
      <c r="Z141" s="125"/>
      <c r="AA141" s="176"/>
      <c r="AB141" s="177" t="s">
        <v>20</v>
      </c>
      <c r="AC141" s="178"/>
      <c r="AD141" s="192">
        <v>0</v>
      </c>
      <c r="AE141" s="193"/>
      <c r="AG141" s="167" t="s">
        <v>21</v>
      </c>
      <c r="AH141" s="168"/>
      <c r="AI141" s="172">
        <f>SUM(AI133:AI140)</f>
        <v>578</v>
      </c>
      <c r="AK141" s="159"/>
      <c r="AL141" s="125"/>
      <c r="AM141" s="176"/>
      <c r="AN141" s="177" t="s">
        <v>20</v>
      </c>
      <c r="AO141" s="178"/>
      <c r="AP141" s="192">
        <v>0</v>
      </c>
      <c r="AQ141" s="193"/>
      <c r="AS141" s="167" t="s">
        <v>21</v>
      </c>
      <c r="AT141" s="168"/>
      <c r="AU141" s="172">
        <f>SUM(AU133:AU140)</f>
        <v>826</v>
      </c>
      <c r="AW141" s="159"/>
      <c r="AX141" s="125"/>
      <c r="AY141" s="176"/>
      <c r="AZ141" s="177" t="s">
        <v>20</v>
      </c>
      <c r="BA141" s="178"/>
      <c r="BB141" s="192">
        <v>0</v>
      </c>
      <c r="BC141" s="193"/>
      <c r="BE141" s="167" t="s">
        <v>21</v>
      </c>
      <c r="BF141" s="168"/>
      <c r="BG141" s="172">
        <f>SUM(BG133:BG140)</f>
        <v>446</v>
      </c>
      <c r="BI141" s="159"/>
      <c r="BJ141" s="125"/>
      <c r="BK141" s="176"/>
      <c r="BL141" s="177" t="s">
        <v>20</v>
      </c>
      <c r="BM141" s="178"/>
      <c r="BN141" s="192">
        <v>0</v>
      </c>
      <c r="BO141" s="193"/>
      <c r="BQ141" s="167" t="s">
        <v>21</v>
      </c>
      <c r="BR141" s="168"/>
      <c r="BS141" s="172">
        <f>SUM(BS133:BS140)</f>
        <v>357</v>
      </c>
      <c r="BU141" s="159"/>
      <c r="BV141" s="125"/>
      <c r="BW141" s="176"/>
      <c r="BX141" s="177" t="s">
        <v>20</v>
      </c>
      <c r="BY141" s="178"/>
      <c r="BZ141" s="192">
        <v>0</v>
      </c>
      <c r="CA141" s="193"/>
      <c r="CC141" s="167" t="s">
        <v>21</v>
      </c>
      <c r="CD141" s="168"/>
      <c r="CE141" s="172">
        <f>SUM(CE133:CE140)</f>
        <v>826</v>
      </c>
      <c r="CG141" s="159"/>
      <c r="CH141" s="125"/>
      <c r="CI141" s="176"/>
      <c r="CJ141" s="177" t="s">
        <v>20</v>
      </c>
      <c r="CK141" s="178"/>
      <c r="CL141" s="177">
        <v>0</v>
      </c>
      <c r="CM141" s="178"/>
      <c r="CO141" s="167" t="s">
        <v>21</v>
      </c>
      <c r="CP141" s="168"/>
      <c r="CQ141" s="172">
        <f>SUM(CQ133:CQ140)</f>
        <v>0</v>
      </c>
      <c r="CS141" s="159"/>
      <c r="CT141" s="125"/>
      <c r="CU141" s="176"/>
      <c r="CV141" s="177" t="s">
        <v>20</v>
      </c>
      <c r="CW141" s="178"/>
      <c r="CX141" s="177">
        <v>0</v>
      </c>
      <c r="CY141" s="178"/>
      <c r="DA141" s="167" t="s">
        <v>21</v>
      </c>
      <c r="DB141" s="168"/>
      <c r="DC141" s="172">
        <f>SUM(DC133:DC140)</f>
        <v>0</v>
      </c>
      <c r="DD141" s="2"/>
      <c r="DE141" s="159"/>
      <c r="DF141" s="125"/>
      <c r="DG141" s="176"/>
      <c r="DH141" s="177" t="s">
        <v>20</v>
      </c>
      <c r="DI141" s="178"/>
      <c r="DJ141" s="192">
        <v>0</v>
      </c>
      <c r="DK141" s="193"/>
      <c r="DM141" s="167" t="s">
        <v>21</v>
      </c>
      <c r="DN141" s="168"/>
      <c r="DO141" s="172">
        <f>SUM(DO133:DO140)</f>
        <v>745</v>
      </c>
      <c r="DP141" s="2"/>
      <c r="DQ141" s="159"/>
      <c r="DR141" s="125"/>
      <c r="DS141" s="176"/>
      <c r="DT141" s="177" t="s">
        <v>20</v>
      </c>
      <c r="DU141" s="178"/>
      <c r="DV141" s="177">
        <v>0</v>
      </c>
      <c r="DW141" s="178"/>
      <c r="DY141" s="167" t="s">
        <v>21</v>
      </c>
      <c r="DZ141" s="168"/>
      <c r="EA141" s="172">
        <f>SUM(EA133:EA140)</f>
        <v>0</v>
      </c>
      <c r="EC141" s="159"/>
      <c r="ED141" s="125"/>
      <c r="EE141" s="176"/>
      <c r="EF141" s="177" t="s">
        <v>20</v>
      </c>
      <c r="EG141" s="178"/>
      <c r="EH141" s="177">
        <v>0</v>
      </c>
      <c r="EI141" s="178"/>
      <c r="EK141" s="167" t="s">
        <v>21</v>
      </c>
      <c r="EL141" s="168"/>
      <c r="EM141" s="172">
        <f>SUM(EM133:EM140)</f>
        <v>0</v>
      </c>
      <c r="EO141" s="233"/>
      <c r="EP141" s="125"/>
      <c r="EQ141" s="126"/>
      <c r="ER141" s="177" t="s">
        <v>20</v>
      </c>
      <c r="ES141" s="178"/>
      <c r="ET141" s="156">
        <f t="shared" si="10"/>
        <v>0</v>
      </c>
      <c r="EU141" s="157"/>
      <c r="EW141" s="167" t="s">
        <v>21</v>
      </c>
      <c r="EX141" s="239"/>
      <c r="EY141" s="240">
        <f>SUM(EY133:EY140)</f>
        <v>5447</v>
      </c>
    </row>
    <row r="142" spans="1:155" ht="17.100000000000001" customHeight="1" thickTop="1" thickBot="1" x14ac:dyDescent="0.25">
      <c r="A142" s="159"/>
      <c r="B142" s="111" t="s">
        <v>22</v>
      </c>
      <c r="C142" s="174"/>
      <c r="D142" s="155" t="s">
        <v>23</v>
      </c>
      <c r="E142" s="141"/>
      <c r="F142" s="190">
        <v>189</v>
      </c>
      <c r="G142" s="191"/>
      <c r="I142" s="169"/>
      <c r="J142" s="168"/>
      <c r="K142" s="172"/>
      <c r="M142" s="159"/>
      <c r="N142" s="111" t="s">
        <v>22</v>
      </c>
      <c r="O142" s="174"/>
      <c r="P142" s="155" t="s">
        <v>23</v>
      </c>
      <c r="Q142" s="141"/>
      <c r="R142" s="190">
        <v>142</v>
      </c>
      <c r="S142" s="191"/>
      <c r="U142" s="169"/>
      <c r="V142" s="168"/>
      <c r="W142" s="172"/>
      <c r="Y142" s="159"/>
      <c r="Z142" s="111" t="s">
        <v>22</v>
      </c>
      <c r="AA142" s="174"/>
      <c r="AB142" s="155" t="s">
        <v>23</v>
      </c>
      <c r="AC142" s="141"/>
      <c r="AD142" s="190">
        <v>49</v>
      </c>
      <c r="AE142" s="191"/>
      <c r="AG142" s="169"/>
      <c r="AH142" s="168"/>
      <c r="AI142" s="172"/>
      <c r="AK142" s="159"/>
      <c r="AL142" s="111" t="s">
        <v>22</v>
      </c>
      <c r="AM142" s="174"/>
      <c r="AN142" s="155" t="s">
        <v>23</v>
      </c>
      <c r="AO142" s="141"/>
      <c r="AP142" s="190">
        <v>191</v>
      </c>
      <c r="AQ142" s="191"/>
      <c r="AS142" s="169"/>
      <c r="AT142" s="168"/>
      <c r="AU142" s="172"/>
      <c r="AW142" s="159"/>
      <c r="AX142" s="111" t="s">
        <v>22</v>
      </c>
      <c r="AY142" s="174"/>
      <c r="AZ142" s="155" t="s">
        <v>23</v>
      </c>
      <c r="BA142" s="141"/>
      <c r="BB142" s="190">
        <v>33</v>
      </c>
      <c r="BC142" s="191"/>
      <c r="BE142" s="169"/>
      <c r="BF142" s="168"/>
      <c r="BG142" s="172"/>
      <c r="BI142" s="159"/>
      <c r="BJ142" s="111" t="s">
        <v>22</v>
      </c>
      <c r="BK142" s="174"/>
      <c r="BL142" s="155" t="s">
        <v>23</v>
      </c>
      <c r="BM142" s="141"/>
      <c r="BN142" s="190">
        <v>0</v>
      </c>
      <c r="BO142" s="191"/>
      <c r="BQ142" s="169"/>
      <c r="BR142" s="168"/>
      <c r="BS142" s="172"/>
      <c r="BU142" s="159"/>
      <c r="BV142" s="111" t="s">
        <v>22</v>
      </c>
      <c r="BW142" s="174"/>
      <c r="BX142" s="155" t="s">
        <v>23</v>
      </c>
      <c r="BY142" s="141"/>
      <c r="BZ142" s="190">
        <v>191</v>
      </c>
      <c r="CA142" s="191"/>
      <c r="CC142" s="169"/>
      <c r="CD142" s="168"/>
      <c r="CE142" s="172"/>
      <c r="CG142" s="159"/>
      <c r="CH142" s="111" t="s">
        <v>22</v>
      </c>
      <c r="CI142" s="174"/>
      <c r="CJ142" s="155" t="s">
        <v>23</v>
      </c>
      <c r="CK142" s="141"/>
      <c r="CL142" s="155">
        <v>0</v>
      </c>
      <c r="CM142" s="141"/>
      <c r="CO142" s="169"/>
      <c r="CP142" s="168"/>
      <c r="CQ142" s="172"/>
      <c r="CS142" s="159"/>
      <c r="CT142" s="111" t="s">
        <v>22</v>
      </c>
      <c r="CU142" s="174"/>
      <c r="CV142" s="155" t="s">
        <v>23</v>
      </c>
      <c r="CW142" s="141"/>
      <c r="CX142" s="155">
        <v>0</v>
      </c>
      <c r="CY142" s="141"/>
      <c r="DA142" s="169"/>
      <c r="DB142" s="168"/>
      <c r="DC142" s="172"/>
      <c r="DD142" s="2"/>
      <c r="DE142" s="159"/>
      <c r="DF142" s="111" t="s">
        <v>22</v>
      </c>
      <c r="DG142" s="174"/>
      <c r="DH142" s="155" t="s">
        <v>23</v>
      </c>
      <c r="DI142" s="141"/>
      <c r="DJ142" s="190">
        <v>69</v>
      </c>
      <c r="DK142" s="191"/>
      <c r="DM142" s="169"/>
      <c r="DN142" s="168"/>
      <c r="DO142" s="172"/>
      <c r="DP142" s="2"/>
      <c r="DQ142" s="159"/>
      <c r="DR142" s="111" t="s">
        <v>22</v>
      </c>
      <c r="DS142" s="174"/>
      <c r="DT142" s="155" t="s">
        <v>23</v>
      </c>
      <c r="DU142" s="141"/>
      <c r="DV142" s="155">
        <v>0</v>
      </c>
      <c r="DW142" s="141"/>
      <c r="DY142" s="169"/>
      <c r="DZ142" s="168"/>
      <c r="EA142" s="172"/>
      <c r="EC142" s="159"/>
      <c r="ED142" s="111" t="s">
        <v>22</v>
      </c>
      <c r="EE142" s="174"/>
      <c r="EF142" s="155" t="s">
        <v>23</v>
      </c>
      <c r="EG142" s="141"/>
      <c r="EH142" s="155">
        <v>0</v>
      </c>
      <c r="EI142" s="141"/>
      <c r="EK142" s="169"/>
      <c r="EL142" s="168"/>
      <c r="EM142" s="172"/>
      <c r="EO142" s="233"/>
      <c r="EP142" s="111" t="s">
        <v>22</v>
      </c>
      <c r="EQ142" s="124"/>
      <c r="ER142" s="155" t="s">
        <v>23</v>
      </c>
      <c r="ES142" s="141"/>
      <c r="ET142" s="156">
        <f t="shared" si="10"/>
        <v>864</v>
      </c>
      <c r="EU142" s="157"/>
      <c r="EW142" s="169"/>
      <c r="EX142" s="168"/>
      <c r="EY142" s="172"/>
    </row>
    <row r="143" spans="1:155" ht="17.100000000000001" customHeight="1" thickBot="1" x14ac:dyDescent="0.25">
      <c r="A143" s="159"/>
      <c r="B143" s="113"/>
      <c r="C143" s="175"/>
      <c r="D143" s="154" t="s">
        <v>24</v>
      </c>
      <c r="E143" s="142"/>
      <c r="F143" s="182">
        <v>112</v>
      </c>
      <c r="G143" s="183"/>
      <c r="I143" s="170"/>
      <c r="J143" s="171"/>
      <c r="K143" s="173"/>
      <c r="M143" s="159"/>
      <c r="N143" s="113"/>
      <c r="O143" s="175"/>
      <c r="P143" s="154" t="s">
        <v>24</v>
      </c>
      <c r="Q143" s="142"/>
      <c r="R143" s="182">
        <v>102</v>
      </c>
      <c r="S143" s="183"/>
      <c r="U143" s="170"/>
      <c r="V143" s="171"/>
      <c r="W143" s="173"/>
      <c r="Y143" s="159"/>
      <c r="Z143" s="113"/>
      <c r="AA143" s="175"/>
      <c r="AB143" s="154" t="s">
        <v>24</v>
      </c>
      <c r="AC143" s="142"/>
      <c r="AD143" s="182">
        <v>85</v>
      </c>
      <c r="AE143" s="183"/>
      <c r="AG143" s="170"/>
      <c r="AH143" s="171"/>
      <c r="AI143" s="173"/>
      <c r="AK143" s="159"/>
      <c r="AL143" s="113"/>
      <c r="AM143" s="175"/>
      <c r="AN143" s="154" t="s">
        <v>24</v>
      </c>
      <c r="AO143" s="142"/>
      <c r="AP143" s="182">
        <v>111</v>
      </c>
      <c r="AQ143" s="183"/>
      <c r="AS143" s="170"/>
      <c r="AT143" s="171"/>
      <c r="AU143" s="173"/>
      <c r="AW143" s="159"/>
      <c r="AX143" s="113"/>
      <c r="AY143" s="175"/>
      <c r="AZ143" s="154" t="s">
        <v>24</v>
      </c>
      <c r="BA143" s="142"/>
      <c r="BB143" s="182">
        <v>0</v>
      </c>
      <c r="BC143" s="183"/>
      <c r="BE143" s="170"/>
      <c r="BF143" s="171"/>
      <c r="BG143" s="173"/>
      <c r="BI143" s="159"/>
      <c r="BJ143" s="113"/>
      <c r="BK143" s="175"/>
      <c r="BL143" s="154" t="s">
        <v>24</v>
      </c>
      <c r="BM143" s="142"/>
      <c r="BN143" s="182">
        <v>0</v>
      </c>
      <c r="BO143" s="183"/>
      <c r="BQ143" s="170"/>
      <c r="BR143" s="171"/>
      <c r="BS143" s="173"/>
      <c r="BU143" s="159"/>
      <c r="BV143" s="113"/>
      <c r="BW143" s="175"/>
      <c r="BX143" s="154" t="s">
        <v>24</v>
      </c>
      <c r="BY143" s="142"/>
      <c r="BZ143" s="182">
        <v>111</v>
      </c>
      <c r="CA143" s="183"/>
      <c r="CC143" s="170"/>
      <c r="CD143" s="171"/>
      <c r="CE143" s="173"/>
      <c r="CG143" s="159"/>
      <c r="CH143" s="113"/>
      <c r="CI143" s="175"/>
      <c r="CJ143" s="154" t="s">
        <v>24</v>
      </c>
      <c r="CK143" s="142"/>
      <c r="CL143" s="154">
        <v>0</v>
      </c>
      <c r="CM143" s="142"/>
      <c r="CO143" s="170"/>
      <c r="CP143" s="171"/>
      <c r="CQ143" s="173"/>
      <c r="CS143" s="159"/>
      <c r="CT143" s="113"/>
      <c r="CU143" s="175"/>
      <c r="CV143" s="154" t="s">
        <v>24</v>
      </c>
      <c r="CW143" s="142"/>
      <c r="CX143" s="154">
        <v>0</v>
      </c>
      <c r="CY143" s="142"/>
      <c r="DA143" s="170"/>
      <c r="DB143" s="171"/>
      <c r="DC143" s="173"/>
      <c r="DD143" s="2"/>
      <c r="DE143" s="159"/>
      <c r="DF143" s="113"/>
      <c r="DG143" s="175"/>
      <c r="DH143" s="154" t="s">
        <v>24</v>
      </c>
      <c r="DI143" s="142"/>
      <c r="DJ143" s="182">
        <v>73</v>
      </c>
      <c r="DK143" s="183"/>
      <c r="DM143" s="170"/>
      <c r="DN143" s="171"/>
      <c r="DO143" s="173"/>
      <c r="DP143" s="2"/>
      <c r="DQ143" s="159"/>
      <c r="DR143" s="113"/>
      <c r="DS143" s="175"/>
      <c r="DT143" s="154" t="s">
        <v>24</v>
      </c>
      <c r="DU143" s="142"/>
      <c r="DV143" s="154">
        <v>0</v>
      </c>
      <c r="DW143" s="142"/>
      <c r="DY143" s="170"/>
      <c r="DZ143" s="171"/>
      <c r="EA143" s="173"/>
      <c r="EC143" s="159"/>
      <c r="ED143" s="113"/>
      <c r="EE143" s="175"/>
      <c r="EF143" s="154" t="s">
        <v>24</v>
      </c>
      <c r="EG143" s="142"/>
      <c r="EH143" s="154">
        <v>0</v>
      </c>
      <c r="EI143" s="142"/>
      <c r="EK143" s="170"/>
      <c r="EL143" s="171"/>
      <c r="EM143" s="173"/>
      <c r="EO143" s="233"/>
      <c r="EP143" s="113"/>
      <c r="EQ143" s="112"/>
      <c r="ER143" s="154" t="s">
        <v>24</v>
      </c>
      <c r="ES143" s="142"/>
      <c r="ET143" s="156">
        <f t="shared" si="10"/>
        <v>594</v>
      </c>
      <c r="EU143" s="157"/>
      <c r="EW143" s="170"/>
      <c r="EX143" s="171"/>
      <c r="EY143" s="173"/>
    </row>
    <row r="144" spans="1:155" ht="17.100000000000001" customHeight="1" thickBot="1" x14ac:dyDescent="0.25">
      <c r="A144" s="159"/>
      <c r="B144" s="113"/>
      <c r="C144" s="175"/>
      <c r="D144" s="154" t="s">
        <v>25</v>
      </c>
      <c r="E144" s="142"/>
      <c r="F144" s="182">
        <v>145</v>
      </c>
      <c r="G144" s="183"/>
      <c r="I144" s="111" t="s">
        <v>26</v>
      </c>
      <c r="J144" s="124"/>
      <c r="K144" s="162">
        <v>811</v>
      </c>
      <c r="M144" s="159"/>
      <c r="N144" s="113"/>
      <c r="O144" s="175"/>
      <c r="P144" s="154" t="s">
        <v>25</v>
      </c>
      <c r="Q144" s="142"/>
      <c r="R144" s="182">
        <v>132</v>
      </c>
      <c r="S144" s="183"/>
      <c r="U144" s="111" t="s">
        <v>26</v>
      </c>
      <c r="V144" s="124"/>
      <c r="W144" s="162">
        <v>858</v>
      </c>
      <c r="Y144" s="159"/>
      <c r="Z144" s="113"/>
      <c r="AA144" s="175"/>
      <c r="AB144" s="154" t="s">
        <v>25</v>
      </c>
      <c r="AC144" s="142"/>
      <c r="AD144" s="182">
        <v>110</v>
      </c>
      <c r="AE144" s="183"/>
      <c r="AG144" s="111" t="s">
        <v>26</v>
      </c>
      <c r="AH144" s="124"/>
      <c r="AI144" s="162">
        <v>578</v>
      </c>
      <c r="AK144" s="159"/>
      <c r="AL144" s="113"/>
      <c r="AM144" s="175"/>
      <c r="AN144" s="154" t="s">
        <v>25</v>
      </c>
      <c r="AO144" s="142"/>
      <c r="AP144" s="182">
        <v>145</v>
      </c>
      <c r="AQ144" s="183"/>
      <c r="AS144" s="111" t="s">
        <v>26</v>
      </c>
      <c r="AT144" s="124"/>
      <c r="AU144" s="162">
        <v>826</v>
      </c>
      <c r="AW144" s="159"/>
      <c r="AX144" s="113"/>
      <c r="AY144" s="175"/>
      <c r="AZ144" s="154" t="s">
        <v>25</v>
      </c>
      <c r="BA144" s="142"/>
      <c r="BB144" s="182">
        <v>59</v>
      </c>
      <c r="BC144" s="183"/>
      <c r="BE144" s="111" t="s">
        <v>26</v>
      </c>
      <c r="BF144" s="124"/>
      <c r="BG144" s="162">
        <v>446</v>
      </c>
      <c r="BI144" s="159"/>
      <c r="BJ144" s="113"/>
      <c r="BK144" s="175"/>
      <c r="BL144" s="154" t="s">
        <v>25</v>
      </c>
      <c r="BM144" s="142"/>
      <c r="BN144" s="182">
        <v>0</v>
      </c>
      <c r="BO144" s="183"/>
      <c r="BQ144" s="111" t="s">
        <v>26</v>
      </c>
      <c r="BR144" s="124"/>
      <c r="BS144" s="162">
        <v>357</v>
      </c>
      <c r="BU144" s="159"/>
      <c r="BV144" s="113"/>
      <c r="BW144" s="175"/>
      <c r="BX144" s="154" t="s">
        <v>25</v>
      </c>
      <c r="BY144" s="142"/>
      <c r="BZ144" s="182">
        <v>145</v>
      </c>
      <c r="CA144" s="183"/>
      <c r="CC144" s="111" t="s">
        <v>26</v>
      </c>
      <c r="CD144" s="124"/>
      <c r="CE144" s="162">
        <v>826</v>
      </c>
      <c r="CG144" s="159"/>
      <c r="CH144" s="113"/>
      <c r="CI144" s="175"/>
      <c r="CJ144" s="154" t="s">
        <v>25</v>
      </c>
      <c r="CK144" s="142"/>
      <c r="CL144" s="154">
        <v>0</v>
      </c>
      <c r="CM144" s="142"/>
      <c r="CO144" s="111" t="s">
        <v>26</v>
      </c>
      <c r="CP144" s="124"/>
      <c r="CQ144" s="162">
        <v>0</v>
      </c>
      <c r="CS144" s="159"/>
      <c r="CT144" s="113"/>
      <c r="CU144" s="175"/>
      <c r="CV144" s="154" t="s">
        <v>25</v>
      </c>
      <c r="CW144" s="142"/>
      <c r="CX144" s="154">
        <v>0</v>
      </c>
      <c r="CY144" s="142"/>
      <c r="DA144" s="111" t="s">
        <v>26</v>
      </c>
      <c r="DB144" s="124"/>
      <c r="DC144" s="162">
        <v>0</v>
      </c>
      <c r="DD144" s="2"/>
      <c r="DE144" s="159"/>
      <c r="DF144" s="113"/>
      <c r="DG144" s="175"/>
      <c r="DH144" s="154" t="s">
        <v>25</v>
      </c>
      <c r="DI144" s="142"/>
      <c r="DJ144" s="182">
        <v>0</v>
      </c>
      <c r="DK144" s="183"/>
      <c r="DM144" s="111" t="s">
        <v>26</v>
      </c>
      <c r="DN144" s="124"/>
      <c r="DO144" s="162">
        <v>745</v>
      </c>
      <c r="DP144" s="2"/>
      <c r="DQ144" s="159"/>
      <c r="DR144" s="113"/>
      <c r="DS144" s="175"/>
      <c r="DT144" s="154" t="s">
        <v>25</v>
      </c>
      <c r="DU144" s="142"/>
      <c r="DV144" s="154">
        <v>0</v>
      </c>
      <c r="DW144" s="142"/>
      <c r="DY144" s="111" t="s">
        <v>26</v>
      </c>
      <c r="DZ144" s="124"/>
      <c r="EA144" s="162">
        <v>0</v>
      </c>
      <c r="EC144" s="159"/>
      <c r="ED144" s="113"/>
      <c r="EE144" s="175"/>
      <c r="EF144" s="154" t="s">
        <v>25</v>
      </c>
      <c r="EG144" s="142"/>
      <c r="EH144" s="154">
        <v>0</v>
      </c>
      <c r="EI144" s="142"/>
      <c r="EK144" s="111" t="s">
        <v>26</v>
      </c>
      <c r="EL144" s="124"/>
      <c r="EM144" s="162">
        <v>0</v>
      </c>
      <c r="EO144" s="233"/>
      <c r="EP144" s="113"/>
      <c r="EQ144" s="112"/>
      <c r="ER144" s="154" t="s">
        <v>25</v>
      </c>
      <c r="ES144" s="142"/>
      <c r="ET144" s="156">
        <f t="shared" si="10"/>
        <v>736</v>
      </c>
      <c r="EU144" s="157"/>
      <c r="EW144" s="111" t="s">
        <v>26</v>
      </c>
      <c r="EX144" s="124"/>
      <c r="EY144" s="162">
        <f>K144+W144+AI144+AU144+BG144+BS144+CE144+CQ144+DC144+DO144+EA144+EM144</f>
        <v>5447</v>
      </c>
    </row>
    <row r="145" spans="1:155" ht="17.100000000000001" customHeight="1" thickBot="1" x14ac:dyDescent="0.25">
      <c r="A145" s="159"/>
      <c r="B145" s="125"/>
      <c r="C145" s="176"/>
      <c r="D145" s="177" t="s">
        <v>27</v>
      </c>
      <c r="E145" s="178"/>
      <c r="F145" s="192">
        <v>0</v>
      </c>
      <c r="G145" s="193"/>
      <c r="I145" s="113"/>
      <c r="J145" s="112"/>
      <c r="K145" s="163"/>
      <c r="M145" s="159"/>
      <c r="N145" s="125"/>
      <c r="O145" s="176"/>
      <c r="P145" s="177" t="s">
        <v>27</v>
      </c>
      <c r="Q145" s="178"/>
      <c r="R145" s="192">
        <v>0</v>
      </c>
      <c r="S145" s="193"/>
      <c r="U145" s="113"/>
      <c r="V145" s="112"/>
      <c r="W145" s="163"/>
      <c r="Y145" s="159"/>
      <c r="Z145" s="125"/>
      <c r="AA145" s="176"/>
      <c r="AB145" s="177" t="s">
        <v>27</v>
      </c>
      <c r="AC145" s="178"/>
      <c r="AD145" s="192">
        <v>0</v>
      </c>
      <c r="AE145" s="193"/>
      <c r="AG145" s="113"/>
      <c r="AH145" s="112"/>
      <c r="AI145" s="163"/>
      <c r="AK145" s="159"/>
      <c r="AL145" s="125"/>
      <c r="AM145" s="176"/>
      <c r="AN145" s="177" t="s">
        <v>27</v>
      </c>
      <c r="AO145" s="178"/>
      <c r="AP145" s="192">
        <v>0</v>
      </c>
      <c r="AQ145" s="193"/>
      <c r="AS145" s="113"/>
      <c r="AT145" s="112"/>
      <c r="AU145" s="163"/>
      <c r="AW145" s="159"/>
      <c r="AX145" s="125"/>
      <c r="AY145" s="176"/>
      <c r="AZ145" s="177" t="s">
        <v>27</v>
      </c>
      <c r="BA145" s="178"/>
      <c r="BB145" s="192">
        <v>93</v>
      </c>
      <c r="BC145" s="193"/>
      <c r="BE145" s="113"/>
      <c r="BF145" s="112"/>
      <c r="BG145" s="163"/>
      <c r="BI145" s="159"/>
      <c r="BJ145" s="125"/>
      <c r="BK145" s="176"/>
      <c r="BL145" s="177" t="s">
        <v>27</v>
      </c>
      <c r="BM145" s="178"/>
      <c r="BN145" s="192">
        <v>0</v>
      </c>
      <c r="BO145" s="193"/>
      <c r="BQ145" s="113"/>
      <c r="BR145" s="112"/>
      <c r="BS145" s="163"/>
      <c r="BU145" s="159"/>
      <c r="BV145" s="125"/>
      <c r="BW145" s="176"/>
      <c r="BX145" s="177" t="s">
        <v>27</v>
      </c>
      <c r="BY145" s="178"/>
      <c r="BZ145" s="192">
        <v>0</v>
      </c>
      <c r="CA145" s="193"/>
      <c r="CC145" s="113"/>
      <c r="CD145" s="112"/>
      <c r="CE145" s="163"/>
      <c r="CG145" s="159"/>
      <c r="CH145" s="125"/>
      <c r="CI145" s="176"/>
      <c r="CJ145" s="177" t="s">
        <v>27</v>
      </c>
      <c r="CK145" s="178"/>
      <c r="CL145" s="177">
        <v>0</v>
      </c>
      <c r="CM145" s="178"/>
      <c r="CO145" s="113"/>
      <c r="CP145" s="112"/>
      <c r="CQ145" s="163"/>
      <c r="CS145" s="159"/>
      <c r="CT145" s="125"/>
      <c r="CU145" s="176"/>
      <c r="CV145" s="177" t="s">
        <v>27</v>
      </c>
      <c r="CW145" s="178"/>
      <c r="CX145" s="177">
        <v>0</v>
      </c>
      <c r="CY145" s="178"/>
      <c r="DA145" s="113"/>
      <c r="DB145" s="112"/>
      <c r="DC145" s="163"/>
      <c r="DD145" s="2"/>
      <c r="DE145" s="159"/>
      <c r="DF145" s="125"/>
      <c r="DG145" s="176"/>
      <c r="DH145" s="177" t="s">
        <v>27</v>
      </c>
      <c r="DI145" s="178"/>
      <c r="DJ145" s="192">
        <v>0</v>
      </c>
      <c r="DK145" s="193"/>
      <c r="DM145" s="113"/>
      <c r="DN145" s="112"/>
      <c r="DO145" s="163"/>
      <c r="DP145" s="2"/>
      <c r="DQ145" s="159"/>
      <c r="DR145" s="125"/>
      <c r="DS145" s="176"/>
      <c r="DT145" s="177" t="s">
        <v>27</v>
      </c>
      <c r="DU145" s="178"/>
      <c r="DV145" s="177">
        <v>0</v>
      </c>
      <c r="DW145" s="178"/>
      <c r="DY145" s="113"/>
      <c r="DZ145" s="112"/>
      <c r="EA145" s="163"/>
      <c r="EC145" s="159"/>
      <c r="ED145" s="125"/>
      <c r="EE145" s="176"/>
      <c r="EF145" s="177" t="s">
        <v>27</v>
      </c>
      <c r="EG145" s="178"/>
      <c r="EH145" s="177">
        <v>0</v>
      </c>
      <c r="EI145" s="178"/>
      <c r="EK145" s="113"/>
      <c r="EL145" s="112"/>
      <c r="EM145" s="163"/>
      <c r="EO145" s="233"/>
      <c r="EP145" s="125"/>
      <c r="EQ145" s="126"/>
      <c r="ER145" s="177" t="s">
        <v>27</v>
      </c>
      <c r="ES145" s="178"/>
      <c r="ET145" s="156">
        <f t="shared" si="10"/>
        <v>93</v>
      </c>
      <c r="EU145" s="157"/>
      <c r="EW145" s="113"/>
      <c r="EX145" s="112"/>
      <c r="EY145" s="163"/>
    </row>
    <row r="146" spans="1:155" ht="17.100000000000001" customHeight="1" thickTop="1" thickBot="1" x14ac:dyDescent="0.25">
      <c r="A146" s="159"/>
      <c r="B146" s="111" t="s">
        <v>28</v>
      </c>
      <c r="C146" s="174"/>
      <c r="D146" s="155" t="s">
        <v>29</v>
      </c>
      <c r="E146" s="141"/>
      <c r="F146" s="190">
        <v>0</v>
      </c>
      <c r="G146" s="191"/>
      <c r="I146" s="125"/>
      <c r="J146" s="126"/>
      <c r="K146" s="164"/>
      <c r="M146" s="159"/>
      <c r="N146" s="111" t="s">
        <v>28</v>
      </c>
      <c r="O146" s="174"/>
      <c r="P146" s="155" t="s">
        <v>29</v>
      </c>
      <c r="Q146" s="141"/>
      <c r="R146" s="190">
        <v>0</v>
      </c>
      <c r="S146" s="191"/>
      <c r="U146" s="125"/>
      <c r="V146" s="126"/>
      <c r="W146" s="164"/>
      <c r="Y146" s="159"/>
      <c r="Z146" s="111" t="s">
        <v>28</v>
      </c>
      <c r="AA146" s="174"/>
      <c r="AB146" s="155" t="s">
        <v>29</v>
      </c>
      <c r="AC146" s="141"/>
      <c r="AD146" s="190">
        <v>32</v>
      </c>
      <c r="AE146" s="191"/>
      <c r="AG146" s="125"/>
      <c r="AH146" s="126"/>
      <c r="AI146" s="164"/>
      <c r="AK146" s="159"/>
      <c r="AL146" s="111" t="s">
        <v>28</v>
      </c>
      <c r="AM146" s="174"/>
      <c r="AN146" s="155" t="s">
        <v>29</v>
      </c>
      <c r="AO146" s="141"/>
      <c r="AP146" s="190">
        <v>0</v>
      </c>
      <c r="AQ146" s="191"/>
      <c r="AS146" s="125"/>
      <c r="AT146" s="126"/>
      <c r="AU146" s="164"/>
      <c r="AW146" s="159"/>
      <c r="AX146" s="111" t="s">
        <v>28</v>
      </c>
      <c r="AY146" s="174"/>
      <c r="AZ146" s="155" t="s">
        <v>29</v>
      </c>
      <c r="BA146" s="141"/>
      <c r="BB146" s="190">
        <v>27</v>
      </c>
      <c r="BC146" s="191"/>
      <c r="BE146" s="125"/>
      <c r="BF146" s="126"/>
      <c r="BG146" s="164"/>
      <c r="BI146" s="159"/>
      <c r="BJ146" s="111" t="s">
        <v>28</v>
      </c>
      <c r="BK146" s="174"/>
      <c r="BL146" s="155" t="s">
        <v>29</v>
      </c>
      <c r="BM146" s="141"/>
      <c r="BN146" s="190">
        <v>0</v>
      </c>
      <c r="BO146" s="191"/>
      <c r="BQ146" s="125"/>
      <c r="BR146" s="126"/>
      <c r="BS146" s="164"/>
      <c r="BU146" s="159"/>
      <c r="BV146" s="111" t="s">
        <v>28</v>
      </c>
      <c r="BW146" s="174"/>
      <c r="BX146" s="155" t="s">
        <v>29</v>
      </c>
      <c r="BY146" s="141"/>
      <c r="BZ146" s="190">
        <v>0</v>
      </c>
      <c r="CA146" s="191"/>
      <c r="CC146" s="125"/>
      <c r="CD146" s="126"/>
      <c r="CE146" s="164"/>
      <c r="CG146" s="159"/>
      <c r="CH146" s="111" t="s">
        <v>28</v>
      </c>
      <c r="CI146" s="174"/>
      <c r="CJ146" s="155" t="s">
        <v>29</v>
      </c>
      <c r="CK146" s="141"/>
      <c r="CL146" s="155">
        <v>0</v>
      </c>
      <c r="CM146" s="141"/>
      <c r="CO146" s="125"/>
      <c r="CP146" s="126"/>
      <c r="CQ146" s="164"/>
      <c r="CS146" s="159"/>
      <c r="CT146" s="111" t="s">
        <v>28</v>
      </c>
      <c r="CU146" s="174"/>
      <c r="CV146" s="155" t="s">
        <v>29</v>
      </c>
      <c r="CW146" s="141"/>
      <c r="CX146" s="155">
        <v>0</v>
      </c>
      <c r="CY146" s="141"/>
      <c r="DA146" s="125"/>
      <c r="DB146" s="126"/>
      <c r="DC146" s="164"/>
      <c r="DD146" s="2"/>
      <c r="DE146" s="159"/>
      <c r="DF146" s="111" t="s">
        <v>28</v>
      </c>
      <c r="DG146" s="174"/>
      <c r="DH146" s="155" t="s">
        <v>29</v>
      </c>
      <c r="DI146" s="141"/>
      <c r="DJ146" s="190">
        <v>0</v>
      </c>
      <c r="DK146" s="191"/>
      <c r="DM146" s="125"/>
      <c r="DN146" s="126"/>
      <c r="DO146" s="164"/>
      <c r="DP146" s="2"/>
      <c r="DQ146" s="159"/>
      <c r="DR146" s="111" t="s">
        <v>28</v>
      </c>
      <c r="DS146" s="174"/>
      <c r="DT146" s="155" t="s">
        <v>29</v>
      </c>
      <c r="DU146" s="141"/>
      <c r="DV146" s="155">
        <v>0</v>
      </c>
      <c r="DW146" s="141"/>
      <c r="DY146" s="125"/>
      <c r="DZ146" s="126"/>
      <c r="EA146" s="164"/>
      <c r="EC146" s="159"/>
      <c r="ED146" s="111" t="s">
        <v>28</v>
      </c>
      <c r="EE146" s="174"/>
      <c r="EF146" s="155" t="s">
        <v>29</v>
      </c>
      <c r="EG146" s="141"/>
      <c r="EH146" s="155">
        <v>0</v>
      </c>
      <c r="EI146" s="141"/>
      <c r="EK146" s="125"/>
      <c r="EL146" s="126"/>
      <c r="EM146" s="164"/>
      <c r="EO146" s="233"/>
      <c r="EP146" s="111" t="s">
        <v>28</v>
      </c>
      <c r="EQ146" s="124"/>
      <c r="ER146" s="155" t="s">
        <v>29</v>
      </c>
      <c r="ES146" s="141"/>
      <c r="ET146" s="156">
        <f t="shared" si="10"/>
        <v>59</v>
      </c>
      <c r="EU146" s="157"/>
      <c r="EW146" s="125"/>
      <c r="EX146" s="126"/>
      <c r="EY146" s="164"/>
    </row>
    <row r="147" spans="1:155" ht="17.100000000000001" customHeight="1" thickBot="1" x14ac:dyDescent="0.25">
      <c r="A147" s="159"/>
      <c r="B147" s="113"/>
      <c r="C147" s="175"/>
      <c r="D147" s="154" t="s">
        <v>30</v>
      </c>
      <c r="E147" s="142"/>
      <c r="F147" s="182">
        <v>166</v>
      </c>
      <c r="G147" s="183"/>
      <c r="I147" s="111" t="s">
        <v>31</v>
      </c>
      <c r="J147" s="124"/>
      <c r="K147" s="162">
        <v>0</v>
      </c>
      <c r="M147" s="159"/>
      <c r="N147" s="113"/>
      <c r="O147" s="175"/>
      <c r="P147" s="154" t="s">
        <v>30</v>
      </c>
      <c r="Q147" s="142"/>
      <c r="R147" s="182">
        <v>147</v>
      </c>
      <c r="S147" s="183"/>
      <c r="U147" s="111" t="s">
        <v>31</v>
      </c>
      <c r="V147" s="124"/>
      <c r="W147" s="162">
        <v>0</v>
      </c>
      <c r="Y147" s="159"/>
      <c r="Z147" s="113"/>
      <c r="AA147" s="175"/>
      <c r="AB147" s="154" t="s">
        <v>30</v>
      </c>
      <c r="AC147" s="142"/>
      <c r="AD147" s="182">
        <v>51</v>
      </c>
      <c r="AE147" s="183"/>
      <c r="AG147" s="111" t="s">
        <v>31</v>
      </c>
      <c r="AH147" s="124"/>
      <c r="AI147" s="162">
        <v>0</v>
      </c>
      <c r="AK147" s="159"/>
      <c r="AL147" s="113"/>
      <c r="AM147" s="175"/>
      <c r="AN147" s="154" t="s">
        <v>30</v>
      </c>
      <c r="AO147" s="142"/>
      <c r="AP147" s="182">
        <v>159</v>
      </c>
      <c r="AQ147" s="183"/>
      <c r="AS147" s="111" t="s">
        <v>31</v>
      </c>
      <c r="AT147" s="124"/>
      <c r="AU147" s="162">
        <v>0</v>
      </c>
      <c r="AW147" s="159"/>
      <c r="AX147" s="113"/>
      <c r="AY147" s="175"/>
      <c r="AZ147" s="154" t="s">
        <v>30</v>
      </c>
      <c r="BA147" s="142"/>
      <c r="BB147" s="182">
        <v>39</v>
      </c>
      <c r="BC147" s="183"/>
      <c r="BE147" s="111" t="s">
        <v>31</v>
      </c>
      <c r="BF147" s="124"/>
      <c r="BG147" s="162">
        <v>0</v>
      </c>
      <c r="BI147" s="159"/>
      <c r="BJ147" s="113"/>
      <c r="BK147" s="175"/>
      <c r="BL147" s="154" t="s">
        <v>30</v>
      </c>
      <c r="BM147" s="142"/>
      <c r="BN147" s="182">
        <v>0</v>
      </c>
      <c r="BO147" s="183"/>
      <c r="BQ147" s="111" t="s">
        <v>31</v>
      </c>
      <c r="BR147" s="124"/>
      <c r="BS147" s="162">
        <v>0</v>
      </c>
      <c r="BU147" s="159"/>
      <c r="BV147" s="113"/>
      <c r="BW147" s="175"/>
      <c r="BX147" s="154" t="s">
        <v>30</v>
      </c>
      <c r="BY147" s="142"/>
      <c r="BZ147" s="182">
        <v>159</v>
      </c>
      <c r="CA147" s="183"/>
      <c r="CC147" s="111" t="s">
        <v>31</v>
      </c>
      <c r="CD147" s="124"/>
      <c r="CE147" s="162">
        <v>0</v>
      </c>
      <c r="CG147" s="159"/>
      <c r="CH147" s="113"/>
      <c r="CI147" s="175"/>
      <c r="CJ147" s="154" t="s">
        <v>30</v>
      </c>
      <c r="CK147" s="142"/>
      <c r="CL147" s="154">
        <v>0</v>
      </c>
      <c r="CM147" s="142"/>
      <c r="CO147" s="111" t="s">
        <v>31</v>
      </c>
      <c r="CP147" s="124"/>
      <c r="CQ147" s="162">
        <v>0</v>
      </c>
      <c r="CS147" s="159"/>
      <c r="CT147" s="113"/>
      <c r="CU147" s="175"/>
      <c r="CV147" s="154" t="s">
        <v>30</v>
      </c>
      <c r="CW147" s="142"/>
      <c r="CX147" s="154">
        <v>0</v>
      </c>
      <c r="CY147" s="142"/>
      <c r="DA147" s="111" t="s">
        <v>31</v>
      </c>
      <c r="DB147" s="124"/>
      <c r="DC147" s="162">
        <v>0</v>
      </c>
      <c r="DD147" s="2"/>
      <c r="DE147" s="159"/>
      <c r="DF147" s="113"/>
      <c r="DG147" s="175"/>
      <c r="DH147" s="154" t="s">
        <v>30</v>
      </c>
      <c r="DI147" s="142"/>
      <c r="DJ147" s="182">
        <v>59</v>
      </c>
      <c r="DK147" s="183"/>
      <c r="DM147" s="111" t="s">
        <v>31</v>
      </c>
      <c r="DN147" s="124"/>
      <c r="DO147" s="162">
        <v>0</v>
      </c>
      <c r="DP147" s="2"/>
      <c r="DQ147" s="159"/>
      <c r="DR147" s="113"/>
      <c r="DS147" s="175"/>
      <c r="DT147" s="154" t="s">
        <v>30</v>
      </c>
      <c r="DU147" s="142"/>
      <c r="DV147" s="154">
        <v>0</v>
      </c>
      <c r="DW147" s="142"/>
      <c r="DY147" s="111" t="s">
        <v>31</v>
      </c>
      <c r="DZ147" s="124"/>
      <c r="EA147" s="162">
        <v>0</v>
      </c>
      <c r="EC147" s="159"/>
      <c r="ED147" s="113"/>
      <c r="EE147" s="175"/>
      <c r="EF147" s="154" t="s">
        <v>30</v>
      </c>
      <c r="EG147" s="142"/>
      <c r="EH147" s="154">
        <v>0</v>
      </c>
      <c r="EI147" s="142"/>
      <c r="EK147" s="111" t="s">
        <v>31</v>
      </c>
      <c r="EL147" s="124"/>
      <c r="EM147" s="162">
        <v>0</v>
      </c>
      <c r="EO147" s="233"/>
      <c r="EP147" s="113"/>
      <c r="EQ147" s="112"/>
      <c r="ER147" s="154" t="s">
        <v>30</v>
      </c>
      <c r="ES147" s="142"/>
      <c r="ET147" s="156">
        <f t="shared" si="10"/>
        <v>780</v>
      </c>
      <c r="EU147" s="157"/>
      <c r="EW147" s="111" t="s">
        <v>31</v>
      </c>
      <c r="EX147" s="124"/>
      <c r="EY147" s="162">
        <f>K147+W147+AI147+AU147+BG147+BS147+CE147+CQ147+DC147+DO147+EA147+EM147</f>
        <v>0</v>
      </c>
    </row>
    <row r="148" spans="1:155" ht="17.100000000000001" customHeight="1" thickBot="1" x14ac:dyDescent="0.25">
      <c r="A148" s="159"/>
      <c r="B148" s="125"/>
      <c r="C148" s="176"/>
      <c r="D148" s="177" t="s">
        <v>32</v>
      </c>
      <c r="E148" s="178"/>
      <c r="F148" s="192">
        <v>51</v>
      </c>
      <c r="G148" s="193"/>
      <c r="I148" s="113"/>
      <c r="J148" s="112"/>
      <c r="K148" s="163"/>
      <c r="M148" s="159"/>
      <c r="N148" s="125"/>
      <c r="O148" s="176"/>
      <c r="P148" s="177" t="s">
        <v>32</v>
      </c>
      <c r="Q148" s="178"/>
      <c r="R148" s="192">
        <v>42</v>
      </c>
      <c r="S148" s="193"/>
      <c r="U148" s="113"/>
      <c r="V148" s="112"/>
      <c r="W148" s="163"/>
      <c r="Y148" s="159"/>
      <c r="Z148" s="125"/>
      <c r="AA148" s="176"/>
      <c r="AB148" s="177" t="s">
        <v>32</v>
      </c>
      <c r="AC148" s="178"/>
      <c r="AD148" s="192">
        <v>0</v>
      </c>
      <c r="AE148" s="193"/>
      <c r="AG148" s="113"/>
      <c r="AH148" s="112"/>
      <c r="AI148" s="163"/>
      <c r="AK148" s="159"/>
      <c r="AL148" s="125"/>
      <c r="AM148" s="176"/>
      <c r="AN148" s="177" t="s">
        <v>32</v>
      </c>
      <c r="AO148" s="178"/>
      <c r="AP148" s="192">
        <v>52</v>
      </c>
      <c r="AQ148" s="193"/>
      <c r="AS148" s="113"/>
      <c r="AT148" s="112"/>
      <c r="AU148" s="163"/>
      <c r="AW148" s="159"/>
      <c r="AX148" s="125"/>
      <c r="AY148" s="176"/>
      <c r="AZ148" s="177" t="s">
        <v>32</v>
      </c>
      <c r="BA148" s="178"/>
      <c r="BB148" s="192">
        <v>0</v>
      </c>
      <c r="BC148" s="193"/>
      <c r="BE148" s="113"/>
      <c r="BF148" s="112"/>
      <c r="BG148" s="163"/>
      <c r="BI148" s="159"/>
      <c r="BJ148" s="125"/>
      <c r="BK148" s="176"/>
      <c r="BL148" s="177" t="s">
        <v>32</v>
      </c>
      <c r="BM148" s="178"/>
      <c r="BN148" s="192">
        <v>0</v>
      </c>
      <c r="BO148" s="193"/>
      <c r="BQ148" s="113"/>
      <c r="BR148" s="112"/>
      <c r="BS148" s="163"/>
      <c r="BU148" s="159"/>
      <c r="BV148" s="125"/>
      <c r="BW148" s="176"/>
      <c r="BX148" s="177" t="s">
        <v>32</v>
      </c>
      <c r="BY148" s="178"/>
      <c r="BZ148" s="192">
        <v>52</v>
      </c>
      <c r="CA148" s="193"/>
      <c r="CC148" s="113"/>
      <c r="CD148" s="112"/>
      <c r="CE148" s="163"/>
      <c r="CG148" s="159"/>
      <c r="CH148" s="125"/>
      <c r="CI148" s="176"/>
      <c r="CJ148" s="177" t="s">
        <v>32</v>
      </c>
      <c r="CK148" s="178"/>
      <c r="CL148" s="177">
        <v>0</v>
      </c>
      <c r="CM148" s="178"/>
      <c r="CO148" s="113"/>
      <c r="CP148" s="112"/>
      <c r="CQ148" s="163"/>
      <c r="CS148" s="159"/>
      <c r="CT148" s="125"/>
      <c r="CU148" s="176"/>
      <c r="CV148" s="177" t="s">
        <v>32</v>
      </c>
      <c r="CW148" s="178"/>
      <c r="CX148" s="177">
        <v>0</v>
      </c>
      <c r="CY148" s="178"/>
      <c r="DA148" s="113"/>
      <c r="DB148" s="112"/>
      <c r="DC148" s="163"/>
      <c r="DD148" s="2"/>
      <c r="DE148" s="159"/>
      <c r="DF148" s="125"/>
      <c r="DG148" s="176"/>
      <c r="DH148" s="177" t="s">
        <v>32</v>
      </c>
      <c r="DI148" s="178"/>
      <c r="DJ148" s="192">
        <v>13</v>
      </c>
      <c r="DK148" s="193"/>
      <c r="DM148" s="113"/>
      <c r="DN148" s="112"/>
      <c r="DO148" s="163"/>
      <c r="DP148" s="2"/>
      <c r="DQ148" s="159"/>
      <c r="DR148" s="125"/>
      <c r="DS148" s="176"/>
      <c r="DT148" s="177" t="s">
        <v>32</v>
      </c>
      <c r="DU148" s="178"/>
      <c r="DV148" s="177">
        <v>0</v>
      </c>
      <c r="DW148" s="178"/>
      <c r="DY148" s="113"/>
      <c r="DZ148" s="112"/>
      <c r="EA148" s="163"/>
      <c r="EC148" s="159"/>
      <c r="ED148" s="125"/>
      <c r="EE148" s="176"/>
      <c r="EF148" s="177" t="s">
        <v>32</v>
      </c>
      <c r="EG148" s="178"/>
      <c r="EH148" s="177">
        <v>0</v>
      </c>
      <c r="EI148" s="178"/>
      <c r="EK148" s="113"/>
      <c r="EL148" s="112"/>
      <c r="EM148" s="163"/>
      <c r="EO148" s="233"/>
      <c r="EP148" s="125"/>
      <c r="EQ148" s="126"/>
      <c r="ER148" s="177" t="s">
        <v>32</v>
      </c>
      <c r="ES148" s="178"/>
      <c r="ET148" s="156">
        <f t="shared" si="10"/>
        <v>210</v>
      </c>
      <c r="EU148" s="157"/>
      <c r="EW148" s="113"/>
      <c r="EX148" s="112"/>
      <c r="EY148" s="163"/>
    </row>
    <row r="149" spans="1:155" ht="17.100000000000001" customHeight="1" thickTop="1" thickBot="1" x14ac:dyDescent="0.25">
      <c r="A149" s="159"/>
      <c r="B149" s="111" t="s">
        <v>33</v>
      </c>
      <c r="C149" s="174"/>
      <c r="D149" s="155" t="s">
        <v>34</v>
      </c>
      <c r="E149" s="141"/>
      <c r="F149" s="190">
        <v>0</v>
      </c>
      <c r="G149" s="191"/>
      <c r="I149" s="125"/>
      <c r="J149" s="126"/>
      <c r="K149" s="164"/>
      <c r="M149" s="159"/>
      <c r="N149" s="111" t="s">
        <v>33</v>
      </c>
      <c r="O149" s="174"/>
      <c r="P149" s="155" t="s">
        <v>34</v>
      </c>
      <c r="Q149" s="141"/>
      <c r="R149" s="190">
        <v>0</v>
      </c>
      <c r="S149" s="191"/>
      <c r="U149" s="125"/>
      <c r="V149" s="126"/>
      <c r="W149" s="164"/>
      <c r="Y149" s="159"/>
      <c r="Z149" s="111" t="s">
        <v>33</v>
      </c>
      <c r="AA149" s="174"/>
      <c r="AB149" s="155" t="s">
        <v>34</v>
      </c>
      <c r="AC149" s="141"/>
      <c r="AD149" s="190">
        <v>100</v>
      </c>
      <c r="AE149" s="191"/>
      <c r="AG149" s="125"/>
      <c r="AH149" s="126"/>
      <c r="AI149" s="164"/>
      <c r="AK149" s="159"/>
      <c r="AL149" s="111" t="s">
        <v>33</v>
      </c>
      <c r="AM149" s="174"/>
      <c r="AN149" s="155" t="s">
        <v>34</v>
      </c>
      <c r="AO149" s="141"/>
      <c r="AP149" s="190">
        <v>0</v>
      </c>
      <c r="AQ149" s="191"/>
      <c r="AS149" s="125"/>
      <c r="AT149" s="126"/>
      <c r="AU149" s="164"/>
      <c r="AW149" s="159"/>
      <c r="AX149" s="111" t="s">
        <v>33</v>
      </c>
      <c r="AY149" s="174"/>
      <c r="AZ149" s="155" t="s">
        <v>34</v>
      </c>
      <c r="BA149" s="141"/>
      <c r="BB149" s="190">
        <v>59</v>
      </c>
      <c r="BC149" s="191"/>
      <c r="BE149" s="125"/>
      <c r="BF149" s="126"/>
      <c r="BG149" s="164"/>
      <c r="BI149" s="159"/>
      <c r="BJ149" s="111" t="s">
        <v>33</v>
      </c>
      <c r="BK149" s="174"/>
      <c r="BL149" s="155" t="s">
        <v>34</v>
      </c>
      <c r="BM149" s="141"/>
      <c r="BN149" s="190">
        <v>0</v>
      </c>
      <c r="BO149" s="191"/>
      <c r="BQ149" s="125"/>
      <c r="BR149" s="126"/>
      <c r="BS149" s="164"/>
      <c r="BU149" s="159"/>
      <c r="BV149" s="111" t="s">
        <v>33</v>
      </c>
      <c r="BW149" s="174"/>
      <c r="BX149" s="155" t="s">
        <v>34</v>
      </c>
      <c r="BY149" s="141"/>
      <c r="BZ149" s="190">
        <v>0</v>
      </c>
      <c r="CA149" s="191"/>
      <c r="CC149" s="125"/>
      <c r="CD149" s="126"/>
      <c r="CE149" s="164"/>
      <c r="CG149" s="159"/>
      <c r="CH149" s="111" t="s">
        <v>33</v>
      </c>
      <c r="CI149" s="174"/>
      <c r="CJ149" s="155" t="s">
        <v>34</v>
      </c>
      <c r="CK149" s="141"/>
      <c r="CL149" s="155">
        <v>0</v>
      </c>
      <c r="CM149" s="141"/>
      <c r="CO149" s="125"/>
      <c r="CP149" s="126"/>
      <c r="CQ149" s="164"/>
      <c r="CS149" s="159"/>
      <c r="CT149" s="111" t="s">
        <v>33</v>
      </c>
      <c r="CU149" s="174"/>
      <c r="CV149" s="155" t="s">
        <v>34</v>
      </c>
      <c r="CW149" s="141"/>
      <c r="CX149" s="155">
        <v>0</v>
      </c>
      <c r="CY149" s="141"/>
      <c r="DA149" s="125"/>
      <c r="DB149" s="126"/>
      <c r="DC149" s="164"/>
      <c r="DD149" s="2"/>
      <c r="DE149" s="159"/>
      <c r="DF149" s="111" t="s">
        <v>33</v>
      </c>
      <c r="DG149" s="174"/>
      <c r="DH149" s="155" t="s">
        <v>34</v>
      </c>
      <c r="DI149" s="141"/>
      <c r="DJ149" s="190">
        <v>0</v>
      </c>
      <c r="DK149" s="191"/>
      <c r="DM149" s="125"/>
      <c r="DN149" s="126"/>
      <c r="DO149" s="164"/>
      <c r="DP149" s="2"/>
      <c r="DQ149" s="159"/>
      <c r="DR149" s="111" t="s">
        <v>33</v>
      </c>
      <c r="DS149" s="174"/>
      <c r="DT149" s="155" t="s">
        <v>34</v>
      </c>
      <c r="DU149" s="141"/>
      <c r="DV149" s="155">
        <v>0</v>
      </c>
      <c r="DW149" s="141"/>
      <c r="DY149" s="125"/>
      <c r="DZ149" s="126"/>
      <c r="EA149" s="164"/>
      <c r="EC149" s="159"/>
      <c r="ED149" s="111" t="s">
        <v>33</v>
      </c>
      <c r="EE149" s="174"/>
      <c r="EF149" s="155" t="s">
        <v>34</v>
      </c>
      <c r="EG149" s="141"/>
      <c r="EH149" s="155">
        <v>0</v>
      </c>
      <c r="EI149" s="141"/>
      <c r="EK149" s="125"/>
      <c r="EL149" s="126"/>
      <c r="EM149" s="164"/>
      <c r="EO149" s="233"/>
      <c r="EP149" s="111" t="s">
        <v>33</v>
      </c>
      <c r="EQ149" s="124"/>
      <c r="ER149" s="155" t="s">
        <v>34</v>
      </c>
      <c r="ES149" s="141"/>
      <c r="ET149" s="156">
        <f t="shared" si="10"/>
        <v>159</v>
      </c>
      <c r="EU149" s="157"/>
      <c r="EW149" s="125"/>
      <c r="EX149" s="126"/>
      <c r="EY149" s="164"/>
    </row>
    <row r="150" spans="1:155" ht="17.100000000000001" customHeight="1" thickBot="1" x14ac:dyDescent="0.25">
      <c r="A150" s="159"/>
      <c r="B150" s="125"/>
      <c r="C150" s="176"/>
      <c r="D150" s="177" t="s">
        <v>35</v>
      </c>
      <c r="E150" s="178"/>
      <c r="F150" s="192">
        <v>0</v>
      </c>
      <c r="G150" s="193"/>
      <c r="I150" s="7"/>
      <c r="J150" s="8"/>
      <c r="K150" s="9">
        <f>SUM(K144:K149)</f>
        <v>811</v>
      </c>
      <c r="M150" s="159"/>
      <c r="N150" s="125"/>
      <c r="O150" s="176"/>
      <c r="P150" s="177" t="s">
        <v>35</v>
      </c>
      <c r="Q150" s="178"/>
      <c r="R150" s="192">
        <v>0</v>
      </c>
      <c r="S150" s="193"/>
      <c r="U150" s="7"/>
      <c r="V150" s="8"/>
      <c r="W150" s="9">
        <v>524</v>
      </c>
      <c r="Y150" s="159"/>
      <c r="Z150" s="125"/>
      <c r="AA150" s="176"/>
      <c r="AB150" s="177" t="s">
        <v>35</v>
      </c>
      <c r="AC150" s="178"/>
      <c r="AD150" s="192">
        <v>0</v>
      </c>
      <c r="AE150" s="193"/>
      <c r="AG150" s="7"/>
      <c r="AH150" s="8"/>
      <c r="AI150" s="9">
        <f>SUM(AI144:AI149)</f>
        <v>578</v>
      </c>
      <c r="AK150" s="159"/>
      <c r="AL150" s="125"/>
      <c r="AM150" s="176"/>
      <c r="AN150" s="177" t="s">
        <v>35</v>
      </c>
      <c r="AO150" s="178"/>
      <c r="AP150" s="192">
        <v>0</v>
      </c>
      <c r="AQ150" s="193"/>
      <c r="AS150" s="7"/>
      <c r="AT150" s="8"/>
      <c r="AU150" s="9">
        <f>SUM(AU144:AU149)</f>
        <v>826</v>
      </c>
      <c r="AW150" s="159"/>
      <c r="AX150" s="125"/>
      <c r="AY150" s="176"/>
      <c r="AZ150" s="177" t="s">
        <v>35</v>
      </c>
      <c r="BA150" s="178"/>
      <c r="BB150" s="192">
        <v>0</v>
      </c>
      <c r="BC150" s="193"/>
      <c r="BE150" s="7"/>
      <c r="BF150" s="8"/>
      <c r="BG150" s="9">
        <f>SUM(BG144:BG149)</f>
        <v>446</v>
      </c>
      <c r="BI150" s="159"/>
      <c r="BJ150" s="125"/>
      <c r="BK150" s="176"/>
      <c r="BL150" s="177" t="s">
        <v>35</v>
      </c>
      <c r="BM150" s="178"/>
      <c r="BN150" s="192">
        <v>0</v>
      </c>
      <c r="BO150" s="193"/>
      <c r="BQ150" s="7"/>
      <c r="BR150" s="8"/>
      <c r="BS150" s="9">
        <f>SUM(BS144:BS149)</f>
        <v>357</v>
      </c>
      <c r="BU150" s="159"/>
      <c r="BV150" s="125"/>
      <c r="BW150" s="176"/>
      <c r="BX150" s="177" t="s">
        <v>35</v>
      </c>
      <c r="BY150" s="178"/>
      <c r="BZ150" s="192">
        <v>0</v>
      </c>
      <c r="CA150" s="193"/>
      <c r="CC150" s="7"/>
      <c r="CD150" s="8"/>
      <c r="CE150" s="9">
        <f>SUM(CE144:CE149)</f>
        <v>826</v>
      </c>
      <c r="CG150" s="159"/>
      <c r="CH150" s="125"/>
      <c r="CI150" s="176"/>
      <c r="CJ150" s="177" t="s">
        <v>35</v>
      </c>
      <c r="CK150" s="178"/>
      <c r="CL150" s="177">
        <v>0</v>
      </c>
      <c r="CM150" s="178"/>
      <c r="CO150" s="7"/>
      <c r="CP150" s="8"/>
      <c r="CQ150" s="9">
        <f>SUM(CQ144:CQ149)</f>
        <v>0</v>
      </c>
      <c r="CS150" s="159"/>
      <c r="CT150" s="125"/>
      <c r="CU150" s="176"/>
      <c r="CV150" s="177" t="s">
        <v>35</v>
      </c>
      <c r="CW150" s="178"/>
      <c r="CX150" s="177">
        <v>0</v>
      </c>
      <c r="CY150" s="178"/>
      <c r="DA150" s="7"/>
      <c r="DB150" s="8"/>
      <c r="DC150" s="9">
        <f>SUM(DC144:DC149)</f>
        <v>0</v>
      </c>
      <c r="DD150" s="2"/>
      <c r="DE150" s="159"/>
      <c r="DF150" s="125"/>
      <c r="DG150" s="176"/>
      <c r="DH150" s="177" t="s">
        <v>35</v>
      </c>
      <c r="DI150" s="178"/>
      <c r="DJ150" s="192">
        <v>0</v>
      </c>
      <c r="DK150" s="193"/>
      <c r="DM150" s="7"/>
      <c r="DN150" s="8"/>
      <c r="DO150" s="9">
        <f>SUM(DO144:DO149)</f>
        <v>745</v>
      </c>
      <c r="DP150" s="2"/>
      <c r="DQ150" s="159"/>
      <c r="DR150" s="125"/>
      <c r="DS150" s="176"/>
      <c r="DT150" s="177" t="s">
        <v>35</v>
      </c>
      <c r="DU150" s="178"/>
      <c r="DV150" s="177">
        <v>0</v>
      </c>
      <c r="DW150" s="178"/>
      <c r="DY150" s="7"/>
      <c r="DZ150" s="8"/>
      <c r="EA150" s="9">
        <f>SUM(EA144:EA149)</f>
        <v>0</v>
      </c>
      <c r="EC150" s="159"/>
      <c r="ED150" s="125"/>
      <c r="EE150" s="176"/>
      <c r="EF150" s="177" t="s">
        <v>35</v>
      </c>
      <c r="EG150" s="178"/>
      <c r="EH150" s="177">
        <v>0</v>
      </c>
      <c r="EI150" s="178"/>
      <c r="EK150" s="7"/>
      <c r="EL150" s="8"/>
      <c r="EM150" s="9">
        <f>SUM(EM144:EM149)</f>
        <v>0</v>
      </c>
      <c r="EO150" s="233"/>
      <c r="EP150" s="125"/>
      <c r="EQ150" s="126"/>
      <c r="ER150" s="177" t="s">
        <v>35</v>
      </c>
      <c r="ES150" s="178"/>
      <c r="ET150" s="156">
        <f t="shared" si="10"/>
        <v>0</v>
      </c>
      <c r="EU150" s="157"/>
      <c r="EW150" s="7"/>
      <c r="EX150" s="8"/>
      <c r="EY150" s="9">
        <f>SUM(EY144:EY149)</f>
        <v>5447</v>
      </c>
    </row>
    <row r="151" spans="1:155" ht="17.100000000000001" customHeight="1" thickTop="1" thickBot="1" x14ac:dyDescent="0.25">
      <c r="A151" s="160"/>
      <c r="B151" s="102" t="s">
        <v>36</v>
      </c>
      <c r="C151" s="148"/>
      <c r="D151" s="148"/>
      <c r="E151" s="128"/>
      <c r="F151" s="184">
        <v>0</v>
      </c>
      <c r="G151" s="185"/>
      <c r="I151" s="111" t="s">
        <v>37</v>
      </c>
      <c r="J151" s="124"/>
      <c r="K151" s="162">
        <v>0</v>
      </c>
      <c r="M151" s="160"/>
      <c r="N151" s="102" t="s">
        <v>36</v>
      </c>
      <c r="O151" s="148"/>
      <c r="P151" s="148"/>
      <c r="Q151" s="128"/>
      <c r="R151" s="184">
        <v>0</v>
      </c>
      <c r="S151" s="185"/>
      <c r="U151" s="111" t="s">
        <v>37</v>
      </c>
      <c r="V151" s="124"/>
      <c r="W151" s="162">
        <v>334</v>
      </c>
      <c r="Y151" s="160"/>
      <c r="Z151" s="102" t="s">
        <v>36</v>
      </c>
      <c r="AA151" s="148"/>
      <c r="AB151" s="148"/>
      <c r="AC151" s="128"/>
      <c r="AD151" s="184">
        <v>0</v>
      </c>
      <c r="AE151" s="185"/>
      <c r="AG151" s="111" t="s">
        <v>37</v>
      </c>
      <c r="AH151" s="124"/>
      <c r="AI151" s="162">
        <v>0</v>
      </c>
      <c r="AK151" s="160"/>
      <c r="AL151" s="102" t="s">
        <v>36</v>
      </c>
      <c r="AM151" s="148"/>
      <c r="AN151" s="148"/>
      <c r="AO151" s="128"/>
      <c r="AP151" s="184">
        <v>0</v>
      </c>
      <c r="AQ151" s="185"/>
      <c r="AS151" s="111" t="s">
        <v>37</v>
      </c>
      <c r="AT151" s="124"/>
      <c r="AU151" s="162">
        <v>0</v>
      </c>
      <c r="AW151" s="160"/>
      <c r="AX151" s="102" t="s">
        <v>36</v>
      </c>
      <c r="AY151" s="148"/>
      <c r="AZ151" s="148"/>
      <c r="BA151" s="128"/>
      <c r="BB151" s="184">
        <v>0</v>
      </c>
      <c r="BC151" s="185"/>
      <c r="BE151" s="111" t="s">
        <v>37</v>
      </c>
      <c r="BF151" s="124"/>
      <c r="BG151" s="162">
        <v>206</v>
      </c>
      <c r="BI151" s="160"/>
      <c r="BJ151" s="102" t="s">
        <v>36</v>
      </c>
      <c r="BK151" s="148"/>
      <c r="BL151" s="148"/>
      <c r="BM151" s="128"/>
      <c r="BN151" s="184">
        <v>0</v>
      </c>
      <c r="BO151" s="185"/>
      <c r="BQ151" s="111" t="s">
        <v>37</v>
      </c>
      <c r="BR151" s="124"/>
      <c r="BS151" s="162">
        <v>0</v>
      </c>
      <c r="BU151" s="160"/>
      <c r="BV151" s="102" t="s">
        <v>36</v>
      </c>
      <c r="BW151" s="148"/>
      <c r="BX151" s="148"/>
      <c r="BY151" s="128"/>
      <c r="BZ151" s="184">
        <v>0</v>
      </c>
      <c r="CA151" s="185"/>
      <c r="CC151" s="111" t="s">
        <v>37</v>
      </c>
      <c r="CD151" s="124"/>
      <c r="CE151" s="162">
        <v>0</v>
      </c>
      <c r="CG151" s="160"/>
      <c r="CH151" s="102" t="s">
        <v>36</v>
      </c>
      <c r="CI151" s="148"/>
      <c r="CJ151" s="148"/>
      <c r="CK151" s="128"/>
      <c r="CL151" s="156">
        <v>0</v>
      </c>
      <c r="CM151" s="157"/>
      <c r="CO151" s="111" t="s">
        <v>37</v>
      </c>
      <c r="CP151" s="124"/>
      <c r="CQ151" s="162">
        <v>0</v>
      </c>
      <c r="CS151" s="160"/>
      <c r="CT151" s="102" t="s">
        <v>36</v>
      </c>
      <c r="CU151" s="148"/>
      <c r="CV151" s="148"/>
      <c r="CW151" s="128"/>
      <c r="CX151" s="156">
        <v>0</v>
      </c>
      <c r="CY151" s="157"/>
      <c r="DA151" s="111" t="s">
        <v>37</v>
      </c>
      <c r="DB151" s="124"/>
      <c r="DC151" s="162">
        <v>0</v>
      </c>
      <c r="DD151" s="2"/>
      <c r="DE151" s="160"/>
      <c r="DF151" s="102" t="s">
        <v>36</v>
      </c>
      <c r="DG151" s="148"/>
      <c r="DH151" s="148"/>
      <c r="DI151" s="128"/>
      <c r="DJ151" s="184">
        <v>0</v>
      </c>
      <c r="DK151" s="185"/>
      <c r="DM151" s="111" t="s">
        <v>37</v>
      </c>
      <c r="DN151" s="124"/>
      <c r="DO151" s="162">
        <v>0</v>
      </c>
      <c r="DP151" s="2"/>
      <c r="DQ151" s="160"/>
      <c r="DR151" s="102" t="s">
        <v>36</v>
      </c>
      <c r="DS151" s="148"/>
      <c r="DT151" s="148"/>
      <c r="DU151" s="128"/>
      <c r="DV151" s="156">
        <v>0</v>
      </c>
      <c r="DW151" s="157"/>
      <c r="DY151" s="111" t="s">
        <v>37</v>
      </c>
      <c r="DZ151" s="124"/>
      <c r="EA151" s="162">
        <v>0</v>
      </c>
      <c r="EC151" s="160"/>
      <c r="ED151" s="102" t="s">
        <v>36</v>
      </c>
      <c r="EE151" s="148"/>
      <c r="EF151" s="148"/>
      <c r="EG151" s="128"/>
      <c r="EH151" s="156">
        <v>0</v>
      </c>
      <c r="EI151" s="157"/>
      <c r="EK151" s="111" t="s">
        <v>37</v>
      </c>
      <c r="EL151" s="124"/>
      <c r="EM151" s="162">
        <v>0</v>
      </c>
      <c r="EO151" s="234"/>
      <c r="EP151" s="156" t="s">
        <v>36</v>
      </c>
      <c r="EQ151" s="187"/>
      <c r="ER151" s="187"/>
      <c r="ES151" s="157"/>
      <c r="ET151" s="156">
        <f t="shared" si="10"/>
        <v>0</v>
      </c>
      <c r="EU151" s="157"/>
      <c r="EW151" s="111" t="s">
        <v>37</v>
      </c>
      <c r="EX151" s="124"/>
      <c r="EY151" s="162">
        <f>K151+W151+AI151+AU151+BG151+BS151+CE151+CQ151+DC151+DO151+EA151+EM151</f>
        <v>540</v>
      </c>
    </row>
    <row r="152" spans="1:155" ht="17.100000000000001" customHeight="1" thickTop="1" thickBot="1" x14ac:dyDescent="0.25">
      <c r="A152" s="111" t="s">
        <v>38</v>
      </c>
      <c r="B152" s="174"/>
      <c r="C152" s="124"/>
      <c r="D152" s="155" t="s">
        <v>39</v>
      </c>
      <c r="E152" s="161"/>
      <c r="F152" s="190">
        <v>811</v>
      </c>
      <c r="G152" s="191"/>
      <c r="I152" s="113"/>
      <c r="J152" s="112"/>
      <c r="K152" s="163"/>
      <c r="M152" s="111" t="s">
        <v>38</v>
      </c>
      <c r="N152" s="174"/>
      <c r="O152" s="124"/>
      <c r="P152" s="155" t="s">
        <v>39</v>
      </c>
      <c r="Q152" s="161"/>
      <c r="R152" s="190">
        <v>858</v>
      </c>
      <c r="S152" s="191"/>
      <c r="U152" s="113"/>
      <c r="V152" s="112"/>
      <c r="W152" s="163"/>
      <c r="Y152" s="111" t="s">
        <v>38</v>
      </c>
      <c r="Z152" s="174"/>
      <c r="AA152" s="124"/>
      <c r="AB152" s="155" t="s">
        <v>39</v>
      </c>
      <c r="AC152" s="161"/>
      <c r="AD152" s="190">
        <v>578</v>
      </c>
      <c r="AE152" s="191"/>
      <c r="AG152" s="113"/>
      <c r="AH152" s="112"/>
      <c r="AI152" s="163"/>
      <c r="AK152" s="111" t="s">
        <v>38</v>
      </c>
      <c r="AL152" s="174"/>
      <c r="AM152" s="124"/>
      <c r="AN152" s="155" t="s">
        <v>39</v>
      </c>
      <c r="AO152" s="161"/>
      <c r="AP152" s="190">
        <v>826</v>
      </c>
      <c r="AQ152" s="191"/>
      <c r="AS152" s="113"/>
      <c r="AT152" s="112"/>
      <c r="AU152" s="163"/>
      <c r="AW152" s="111" t="s">
        <v>38</v>
      </c>
      <c r="AX152" s="174"/>
      <c r="AY152" s="124"/>
      <c r="AZ152" s="155" t="s">
        <v>39</v>
      </c>
      <c r="BA152" s="161"/>
      <c r="BB152" s="190">
        <v>446</v>
      </c>
      <c r="BC152" s="191"/>
      <c r="BE152" s="113"/>
      <c r="BF152" s="112"/>
      <c r="BG152" s="163"/>
      <c r="BI152" s="111" t="s">
        <v>38</v>
      </c>
      <c r="BJ152" s="174"/>
      <c r="BK152" s="124"/>
      <c r="BL152" s="155" t="s">
        <v>39</v>
      </c>
      <c r="BM152" s="161"/>
      <c r="BN152" s="190">
        <v>357</v>
      </c>
      <c r="BO152" s="191"/>
      <c r="BQ152" s="113"/>
      <c r="BR152" s="112"/>
      <c r="BS152" s="163"/>
      <c r="BU152" s="111" t="s">
        <v>38</v>
      </c>
      <c r="BV152" s="174"/>
      <c r="BW152" s="124"/>
      <c r="BX152" s="155" t="s">
        <v>39</v>
      </c>
      <c r="BY152" s="161"/>
      <c r="BZ152" s="190">
        <v>826</v>
      </c>
      <c r="CA152" s="191"/>
      <c r="CC152" s="113"/>
      <c r="CD152" s="112"/>
      <c r="CE152" s="163"/>
      <c r="CG152" s="111" t="s">
        <v>38</v>
      </c>
      <c r="CH152" s="174"/>
      <c r="CI152" s="124"/>
      <c r="CJ152" s="155" t="s">
        <v>39</v>
      </c>
      <c r="CK152" s="161"/>
      <c r="CL152" s="155">
        <v>0</v>
      </c>
      <c r="CM152" s="141"/>
      <c r="CO152" s="113"/>
      <c r="CP152" s="112"/>
      <c r="CQ152" s="163"/>
      <c r="CS152" s="111" t="s">
        <v>38</v>
      </c>
      <c r="CT152" s="174"/>
      <c r="CU152" s="124"/>
      <c r="CV152" s="155" t="s">
        <v>39</v>
      </c>
      <c r="CW152" s="161"/>
      <c r="CX152" s="155">
        <v>0</v>
      </c>
      <c r="CY152" s="141"/>
      <c r="DA152" s="113"/>
      <c r="DB152" s="112"/>
      <c r="DC152" s="163"/>
      <c r="DD152" s="2"/>
      <c r="DE152" s="111" t="s">
        <v>38</v>
      </c>
      <c r="DF152" s="174"/>
      <c r="DG152" s="124"/>
      <c r="DH152" s="155" t="s">
        <v>39</v>
      </c>
      <c r="DI152" s="161"/>
      <c r="DJ152" s="190">
        <v>745</v>
      </c>
      <c r="DK152" s="191"/>
      <c r="DM152" s="113"/>
      <c r="DN152" s="112"/>
      <c r="DO152" s="163"/>
      <c r="DP152" s="2"/>
      <c r="DQ152" s="111" t="s">
        <v>38</v>
      </c>
      <c r="DR152" s="174"/>
      <c r="DS152" s="124"/>
      <c r="DT152" s="155" t="s">
        <v>39</v>
      </c>
      <c r="DU152" s="161"/>
      <c r="DV152" s="155">
        <v>0</v>
      </c>
      <c r="DW152" s="141"/>
      <c r="DY152" s="113"/>
      <c r="DZ152" s="112"/>
      <c r="EA152" s="163"/>
      <c r="EC152" s="111" t="s">
        <v>38</v>
      </c>
      <c r="ED152" s="174"/>
      <c r="EE152" s="124"/>
      <c r="EF152" s="155" t="s">
        <v>39</v>
      </c>
      <c r="EG152" s="161"/>
      <c r="EH152" s="155">
        <v>0</v>
      </c>
      <c r="EI152" s="141"/>
      <c r="EK152" s="113"/>
      <c r="EL152" s="112"/>
      <c r="EM152" s="163"/>
      <c r="EO152" s="111" t="s">
        <v>38</v>
      </c>
      <c r="EP152" s="174"/>
      <c r="EQ152" s="124"/>
      <c r="ER152" s="155" t="s">
        <v>39</v>
      </c>
      <c r="ES152" s="141"/>
      <c r="ET152" s="156">
        <f t="shared" si="10"/>
        <v>5447</v>
      </c>
      <c r="EU152" s="157"/>
      <c r="EW152" s="113"/>
      <c r="EX152" s="112"/>
      <c r="EY152" s="163"/>
    </row>
    <row r="153" spans="1:155" ht="17.100000000000001" customHeight="1" thickBot="1" x14ac:dyDescent="0.25">
      <c r="A153" s="113"/>
      <c r="B153" s="175"/>
      <c r="C153" s="112"/>
      <c r="D153" s="154" t="s">
        <v>40</v>
      </c>
      <c r="E153" s="181"/>
      <c r="F153" s="182">
        <v>0</v>
      </c>
      <c r="G153" s="183"/>
      <c r="I153" s="125"/>
      <c r="J153" s="126"/>
      <c r="K153" s="164"/>
      <c r="M153" s="113"/>
      <c r="N153" s="175"/>
      <c r="O153" s="112"/>
      <c r="P153" s="154" t="s">
        <v>40</v>
      </c>
      <c r="Q153" s="181"/>
      <c r="R153" s="182">
        <v>0</v>
      </c>
      <c r="S153" s="183"/>
      <c r="U153" s="125"/>
      <c r="V153" s="126"/>
      <c r="W153" s="164"/>
      <c r="Y153" s="113"/>
      <c r="Z153" s="175"/>
      <c r="AA153" s="112"/>
      <c r="AB153" s="154" t="s">
        <v>40</v>
      </c>
      <c r="AC153" s="181"/>
      <c r="AD153" s="182">
        <v>0</v>
      </c>
      <c r="AE153" s="183"/>
      <c r="AG153" s="125"/>
      <c r="AH153" s="126"/>
      <c r="AI153" s="164"/>
      <c r="AK153" s="113"/>
      <c r="AL153" s="175"/>
      <c r="AM153" s="112"/>
      <c r="AN153" s="154" t="s">
        <v>40</v>
      </c>
      <c r="AO153" s="181"/>
      <c r="AP153" s="182">
        <v>0</v>
      </c>
      <c r="AQ153" s="183"/>
      <c r="AS153" s="125"/>
      <c r="AT153" s="126"/>
      <c r="AU153" s="164"/>
      <c r="AW153" s="113"/>
      <c r="AX153" s="175"/>
      <c r="AY153" s="112"/>
      <c r="AZ153" s="154" t="s">
        <v>40</v>
      </c>
      <c r="BA153" s="181"/>
      <c r="BB153" s="182">
        <v>0</v>
      </c>
      <c r="BC153" s="183"/>
      <c r="BE153" s="125"/>
      <c r="BF153" s="126"/>
      <c r="BG153" s="164"/>
      <c r="BI153" s="113"/>
      <c r="BJ153" s="175"/>
      <c r="BK153" s="112"/>
      <c r="BL153" s="154" t="s">
        <v>40</v>
      </c>
      <c r="BM153" s="181"/>
      <c r="BN153" s="182">
        <v>0</v>
      </c>
      <c r="BO153" s="183"/>
      <c r="BQ153" s="125"/>
      <c r="BR153" s="126"/>
      <c r="BS153" s="164"/>
      <c r="BU153" s="113"/>
      <c r="BV153" s="175"/>
      <c r="BW153" s="112"/>
      <c r="BX153" s="154" t="s">
        <v>40</v>
      </c>
      <c r="BY153" s="181"/>
      <c r="BZ153" s="182">
        <v>0</v>
      </c>
      <c r="CA153" s="183"/>
      <c r="CC153" s="125"/>
      <c r="CD153" s="126"/>
      <c r="CE153" s="164"/>
      <c r="CG153" s="113"/>
      <c r="CH153" s="175"/>
      <c r="CI153" s="112"/>
      <c r="CJ153" s="154" t="s">
        <v>40</v>
      </c>
      <c r="CK153" s="181"/>
      <c r="CL153" s="154">
        <v>0</v>
      </c>
      <c r="CM153" s="142"/>
      <c r="CO153" s="125"/>
      <c r="CP153" s="126"/>
      <c r="CQ153" s="164"/>
      <c r="CS153" s="113"/>
      <c r="CT153" s="175"/>
      <c r="CU153" s="112"/>
      <c r="CV153" s="154" t="s">
        <v>40</v>
      </c>
      <c r="CW153" s="181"/>
      <c r="CX153" s="154">
        <v>0</v>
      </c>
      <c r="CY153" s="142"/>
      <c r="DA153" s="125"/>
      <c r="DB153" s="126"/>
      <c r="DC153" s="164"/>
      <c r="DD153" s="2"/>
      <c r="DE153" s="113"/>
      <c r="DF153" s="175"/>
      <c r="DG153" s="112"/>
      <c r="DH153" s="154" t="s">
        <v>40</v>
      </c>
      <c r="DI153" s="181"/>
      <c r="DJ153" s="182">
        <v>0</v>
      </c>
      <c r="DK153" s="183"/>
      <c r="DM153" s="125"/>
      <c r="DN153" s="126"/>
      <c r="DO153" s="164"/>
      <c r="DP153" s="2"/>
      <c r="DQ153" s="113"/>
      <c r="DR153" s="175"/>
      <c r="DS153" s="112"/>
      <c r="DT153" s="154" t="s">
        <v>40</v>
      </c>
      <c r="DU153" s="181"/>
      <c r="DV153" s="154">
        <v>0</v>
      </c>
      <c r="DW153" s="142"/>
      <c r="DY153" s="125"/>
      <c r="DZ153" s="126"/>
      <c r="EA153" s="164"/>
      <c r="EC153" s="113"/>
      <c r="ED153" s="175"/>
      <c r="EE153" s="112"/>
      <c r="EF153" s="154" t="s">
        <v>40</v>
      </c>
      <c r="EG153" s="181"/>
      <c r="EH153" s="154">
        <v>0</v>
      </c>
      <c r="EI153" s="142"/>
      <c r="EK153" s="125"/>
      <c r="EL153" s="126"/>
      <c r="EM153" s="164"/>
      <c r="EO153" s="113"/>
      <c r="EP153" s="175"/>
      <c r="EQ153" s="112"/>
      <c r="ER153" s="154" t="s">
        <v>40</v>
      </c>
      <c r="ES153" s="142"/>
      <c r="ET153" s="156">
        <f t="shared" si="10"/>
        <v>0</v>
      </c>
      <c r="EU153" s="157"/>
      <c r="EW153" s="125"/>
      <c r="EX153" s="126"/>
      <c r="EY153" s="164"/>
    </row>
    <row r="154" spans="1:155" ht="17.100000000000001" customHeight="1" thickBot="1" x14ac:dyDescent="0.25">
      <c r="A154" s="113"/>
      <c r="B154" s="175"/>
      <c r="C154" s="112"/>
      <c r="D154" s="154" t="s">
        <v>41</v>
      </c>
      <c r="E154" s="181"/>
      <c r="F154" s="182">
        <v>0</v>
      </c>
      <c r="G154" s="183"/>
      <c r="I154" s="111" t="s">
        <v>20</v>
      </c>
      <c r="J154" s="124"/>
      <c r="K154" s="162">
        <v>811</v>
      </c>
      <c r="M154" s="113"/>
      <c r="N154" s="175"/>
      <c r="O154" s="112"/>
      <c r="P154" s="154" t="s">
        <v>41</v>
      </c>
      <c r="Q154" s="181"/>
      <c r="R154" s="182">
        <v>0</v>
      </c>
      <c r="S154" s="183"/>
      <c r="U154" s="111" t="s">
        <v>20</v>
      </c>
      <c r="V154" s="124"/>
      <c r="W154" s="162">
        <v>0</v>
      </c>
      <c r="Y154" s="113"/>
      <c r="Z154" s="175"/>
      <c r="AA154" s="112"/>
      <c r="AB154" s="154" t="s">
        <v>41</v>
      </c>
      <c r="AC154" s="181"/>
      <c r="AD154" s="182">
        <v>0</v>
      </c>
      <c r="AE154" s="183"/>
      <c r="AG154" s="111" t="s">
        <v>20</v>
      </c>
      <c r="AH154" s="124"/>
      <c r="AI154" s="162">
        <v>0</v>
      </c>
      <c r="AK154" s="113"/>
      <c r="AL154" s="175"/>
      <c r="AM154" s="112"/>
      <c r="AN154" s="154" t="s">
        <v>41</v>
      </c>
      <c r="AO154" s="181"/>
      <c r="AP154" s="182">
        <v>0</v>
      </c>
      <c r="AQ154" s="183"/>
      <c r="AS154" s="111" t="s">
        <v>20</v>
      </c>
      <c r="AT154" s="124"/>
      <c r="AU154" s="162">
        <v>0</v>
      </c>
      <c r="AW154" s="113"/>
      <c r="AX154" s="175"/>
      <c r="AY154" s="112"/>
      <c r="AZ154" s="154" t="s">
        <v>41</v>
      </c>
      <c r="BA154" s="181"/>
      <c r="BB154" s="182">
        <v>0</v>
      </c>
      <c r="BC154" s="183"/>
      <c r="BE154" s="111" t="s">
        <v>20</v>
      </c>
      <c r="BF154" s="124"/>
      <c r="BG154" s="162">
        <v>240</v>
      </c>
      <c r="BI154" s="113"/>
      <c r="BJ154" s="175"/>
      <c r="BK154" s="112"/>
      <c r="BL154" s="154" t="s">
        <v>41</v>
      </c>
      <c r="BM154" s="181"/>
      <c r="BN154" s="182">
        <v>0</v>
      </c>
      <c r="BO154" s="183"/>
      <c r="BQ154" s="111" t="s">
        <v>20</v>
      </c>
      <c r="BR154" s="124"/>
      <c r="BS154" s="162">
        <v>0</v>
      </c>
      <c r="BU154" s="113"/>
      <c r="BV154" s="175"/>
      <c r="BW154" s="112"/>
      <c r="BX154" s="154" t="s">
        <v>41</v>
      </c>
      <c r="BY154" s="181"/>
      <c r="BZ154" s="182">
        <v>0</v>
      </c>
      <c r="CA154" s="183"/>
      <c r="CC154" s="111" t="s">
        <v>20</v>
      </c>
      <c r="CD154" s="124"/>
      <c r="CE154" s="162">
        <v>0</v>
      </c>
      <c r="CG154" s="113"/>
      <c r="CH154" s="175"/>
      <c r="CI154" s="112"/>
      <c r="CJ154" s="154" t="s">
        <v>41</v>
      </c>
      <c r="CK154" s="181"/>
      <c r="CL154" s="154">
        <v>0</v>
      </c>
      <c r="CM154" s="142"/>
      <c r="CO154" s="111" t="s">
        <v>20</v>
      </c>
      <c r="CP154" s="124"/>
      <c r="CQ154" s="162">
        <v>0</v>
      </c>
      <c r="CS154" s="113"/>
      <c r="CT154" s="175"/>
      <c r="CU154" s="112"/>
      <c r="CV154" s="154" t="s">
        <v>41</v>
      </c>
      <c r="CW154" s="181"/>
      <c r="CX154" s="154">
        <v>0</v>
      </c>
      <c r="CY154" s="142"/>
      <c r="DA154" s="111" t="s">
        <v>20</v>
      </c>
      <c r="DB154" s="124"/>
      <c r="DC154" s="162">
        <v>0</v>
      </c>
      <c r="DD154" s="2"/>
      <c r="DE154" s="113"/>
      <c r="DF154" s="175"/>
      <c r="DG154" s="112"/>
      <c r="DH154" s="154" t="s">
        <v>41</v>
      </c>
      <c r="DI154" s="181"/>
      <c r="DJ154" s="182">
        <v>0</v>
      </c>
      <c r="DK154" s="183"/>
      <c r="DM154" s="111" t="s">
        <v>20</v>
      </c>
      <c r="DN154" s="124"/>
      <c r="DO154" s="162">
        <v>0</v>
      </c>
      <c r="DP154" s="2"/>
      <c r="DQ154" s="113"/>
      <c r="DR154" s="175"/>
      <c r="DS154" s="112"/>
      <c r="DT154" s="154" t="s">
        <v>41</v>
      </c>
      <c r="DU154" s="181"/>
      <c r="DV154" s="154">
        <v>0</v>
      </c>
      <c r="DW154" s="142"/>
      <c r="DY154" s="111" t="s">
        <v>20</v>
      </c>
      <c r="DZ154" s="124"/>
      <c r="EA154" s="162">
        <v>0</v>
      </c>
      <c r="EC154" s="113"/>
      <c r="ED154" s="175"/>
      <c r="EE154" s="112"/>
      <c r="EF154" s="154" t="s">
        <v>41</v>
      </c>
      <c r="EG154" s="181"/>
      <c r="EH154" s="154">
        <v>0</v>
      </c>
      <c r="EI154" s="142"/>
      <c r="EK154" s="111" t="s">
        <v>20</v>
      </c>
      <c r="EL154" s="124"/>
      <c r="EM154" s="162">
        <v>0</v>
      </c>
      <c r="EO154" s="113"/>
      <c r="EP154" s="175"/>
      <c r="EQ154" s="112"/>
      <c r="ER154" s="154" t="s">
        <v>41</v>
      </c>
      <c r="ES154" s="142"/>
      <c r="ET154" s="156">
        <f t="shared" si="10"/>
        <v>0</v>
      </c>
      <c r="EU154" s="157"/>
      <c r="EW154" s="111" t="s">
        <v>20</v>
      </c>
      <c r="EX154" s="124"/>
      <c r="EY154" s="162">
        <f>K154+W154+AI154+AU154+BG154+BS154+CE154+CQ154+DC154+DO154+EA154+EM154</f>
        <v>1051</v>
      </c>
    </row>
    <row r="155" spans="1:155" ht="17.100000000000001" customHeight="1" thickBot="1" x14ac:dyDescent="0.25">
      <c r="A155" s="125"/>
      <c r="B155" s="175"/>
      <c r="C155" s="112"/>
      <c r="D155" s="188" t="s">
        <v>42</v>
      </c>
      <c r="E155" s="189"/>
      <c r="F155" s="192">
        <v>0</v>
      </c>
      <c r="G155" s="193"/>
      <c r="I155" s="113"/>
      <c r="J155" s="112"/>
      <c r="K155" s="163"/>
      <c r="M155" s="125"/>
      <c r="N155" s="175"/>
      <c r="O155" s="112"/>
      <c r="P155" s="188" t="s">
        <v>42</v>
      </c>
      <c r="Q155" s="189"/>
      <c r="R155" s="192">
        <v>0</v>
      </c>
      <c r="S155" s="193"/>
      <c r="U155" s="113"/>
      <c r="V155" s="112"/>
      <c r="W155" s="163"/>
      <c r="Y155" s="125"/>
      <c r="Z155" s="175"/>
      <c r="AA155" s="112"/>
      <c r="AB155" s="188" t="s">
        <v>42</v>
      </c>
      <c r="AC155" s="189"/>
      <c r="AD155" s="192">
        <v>0</v>
      </c>
      <c r="AE155" s="193"/>
      <c r="AG155" s="113"/>
      <c r="AH155" s="112"/>
      <c r="AI155" s="163"/>
      <c r="AK155" s="125"/>
      <c r="AL155" s="175"/>
      <c r="AM155" s="112"/>
      <c r="AN155" s="188" t="s">
        <v>42</v>
      </c>
      <c r="AO155" s="189"/>
      <c r="AP155" s="192">
        <v>0</v>
      </c>
      <c r="AQ155" s="193"/>
      <c r="AS155" s="113"/>
      <c r="AT155" s="112"/>
      <c r="AU155" s="163"/>
      <c r="AW155" s="125"/>
      <c r="AX155" s="175"/>
      <c r="AY155" s="112"/>
      <c r="AZ155" s="188" t="s">
        <v>42</v>
      </c>
      <c r="BA155" s="189"/>
      <c r="BB155" s="192">
        <v>0</v>
      </c>
      <c r="BC155" s="193"/>
      <c r="BE155" s="113"/>
      <c r="BF155" s="112"/>
      <c r="BG155" s="163"/>
      <c r="BI155" s="125"/>
      <c r="BJ155" s="175"/>
      <c r="BK155" s="112"/>
      <c r="BL155" s="188" t="s">
        <v>42</v>
      </c>
      <c r="BM155" s="189"/>
      <c r="BN155" s="192">
        <v>0</v>
      </c>
      <c r="BO155" s="193"/>
      <c r="BQ155" s="113"/>
      <c r="BR155" s="112"/>
      <c r="BS155" s="163"/>
      <c r="BU155" s="125"/>
      <c r="BV155" s="175"/>
      <c r="BW155" s="112"/>
      <c r="BX155" s="188" t="s">
        <v>42</v>
      </c>
      <c r="BY155" s="189"/>
      <c r="BZ155" s="192">
        <v>0</v>
      </c>
      <c r="CA155" s="193"/>
      <c r="CC155" s="113"/>
      <c r="CD155" s="112"/>
      <c r="CE155" s="163"/>
      <c r="CG155" s="125"/>
      <c r="CH155" s="175"/>
      <c r="CI155" s="112"/>
      <c r="CJ155" s="188" t="s">
        <v>42</v>
      </c>
      <c r="CK155" s="189"/>
      <c r="CL155" s="188">
        <v>0</v>
      </c>
      <c r="CM155" s="194"/>
      <c r="CO155" s="113"/>
      <c r="CP155" s="112"/>
      <c r="CQ155" s="163"/>
      <c r="CS155" s="125"/>
      <c r="CT155" s="175"/>
      <c r="CU155" s="112"/>
      <c r="CV155" s="188" t="s">
        <v>42</v>
      </c>
      <c r="CW155" s="189"/>
      <c r="CX155" s="188">
        <v>0</v>
      </c>
      <c r="CY155" s="194"/>
      <c r="DA155" s="113"/>
      <c r="DB155" s="112"/>
      <c r="DC155" s="163"/>
      <c r="DD155" s="2"/>
      <c r="DE155" s="125"/>
      <c r="DF155" s="175"/>
      <c r="DG155" s="112"/>
      <c r="DH155" s="188" t="s">
        <v>42</v>
      </c>
      <c r="DI155" s="189"/>
      <c r="DJ155" s="192">
        <v>0</v>
      </c>
      <c r="DK155" s="193"/>
      <c r="DM155" s="113"/>
      <c r="DN155" s="112"/>
      <c r="DO155" s="163"/>
      <c r="DP155" s="2"/>
      <c r="DQ155" s="125"/>
      <c r="DR155" s="175"/>
      <c r="DS155" s="112"/>
      <c r="DT155" s="188" t="s">
        <v>42</v>
      </c>
      <c r="DU155" s="189"/>
      <c r="DV155" s="188">
        <v>0</v>
      </c>
      <c r="DW155" s="194"/>
      <c r="DY155" s="113"/>
      <c r="DZ155" s="112"/>
      <c r="EA155" s="163"/>
      <c r="EC155" s="125"/>
      <c r="ED155" s="175"/>
      <c r="EE155" s="112"/>
      <c r="EF155" s="188" t="s">
        <v>42</v>
      </c>
      <c r="EG155" s="189"/>
      <c r="EH155" s="188">
        <v>0</v>
      </c>
      <c r="EI155" s="194"/>
      <c r="EK155" s="113"/>
      <c r="EL155" s="112"/>
      <c r="EM155" s="163"/>
      <c r="EO155" s="125"/>
      <c r="EP155" s="176"/>
      <c r="EQ155" s="126"/>
      <c r="ER155" s="177" t="s">
        <v>42</v>
      </c>
      <c r="ES155" s="178"/>
      <c r="ET155" s="156">
        <f t="shared" si="10"/>
        <v>0</v>
      </c>
      <c r="EU155" s="157"/>
      <c r="EW155" s="113"/>
      <c r="EX155" s="112"/>
      <c r="EY155" s="163"/>
    </row>
    <row r="156" spans="1:155" ht="17.100000000000001" customHeight="1" thickBot="1" x14ac:dyDescent="0.25">
      <c r="A156" s="111" t="s">
        <v>43</v>
      </c>
      <c r="B156" s="61">
        <f>1</f>
        <v>1</v>
      </c>
      <c r="C156" s="62">
        <v>2</v>
      </c>
      <c r="D156" s="62">
        <v>3</v>
      </c>
      <c r="E156" s="62">
        <v>4</v>
      </c>
      <c r="F156" s="62">
        <v>5</v>
      </c>
      <c r="G156" s="80">
        <v>6</v>
      </c>
      <c r="I156" s="125"/>
      <c r="J156" s="126"/>
      <c r="K156" s="164"/>
      <c r="M156" s="111" t="s">
        <v>43</v>
      </c>
      <c r="N156" s="61">
        <f>1</f>
        <v>1</v>
      </c>
      <c r="O156" s="62">
        <v>2</v>
      </c>
      <c r="P156" s="62">
        <v>3</v>
      </c>
      <c r="Q156" s="62">
        <v>4</v>
      </c>
      <c r="R156" s="62">
        <v>5</v>
      </c>
      <c r="S156" s="80">
        <v>6</v>
      </c>
      <c r="U156" s="125"/>
      <c r="V156" s="126"/>
      <c r="W156" s="164"/>
      <c r="Y156" s="111" t="s">
        <v>43</v>
      </c>
      <c r="Z156" s="61">
        <f>1</f>
        <v>1</v>
      </c>
      <c r="AA156" s="62">
        <v>2</v>
      </c>
      <c r="AB156" s="62">
        <v>3</v>
      </c>
      <c r="AC156" s="62">
        <v>4</v>
      </c>
      <c r="AD156" s="62">
        <v>5</v>
      </c>
      <c r="AE156" s="80">
        <v>6</v>
      </c>
      <c r="AG156" s="125"/>
      <c r="AH156" s="126"/>
      <c r="AI156" s="164"/>
      <c r="AK156" s="111" t="s">
        <v>43</v>
      </c>
      <c r="AL156" s="61">
        <f>1</f>
        <v>1</v>
      </c>
      <c r="AM156" s="62">
        <v>2</v>
      </c>
      <c r="AN156" s="62">
        <v>3</v>
      </c>
      <c r="AO156" s="62">
        <v>4</v>
      </c>
      <c r="AP156" s="62">
        <v>5</v>
      </c>
      <c r="AQ156" s="80">
        <v>6</v>
      </c>
      <c r="AS156" s="125"/>
      <c r="AT156" s="126"/>
      <c r="AU156" s="164"/>
      <c r="AW156" s="111" t="s">
        <v>43</v>
      </c>
      <c r="AX156" s="61">
        <f>1</f>
        <v>1</v>
      </c>
      <c r="AY156" s="62">
        <v>2</v>
      </c>
      <c r="AZ156" s="62">
        <v>3</v>
      </c>
      <c r="BA156" s="62">
        <v>4</v>
      </c>
      <c r="BB156" s="62">
        <v>5</v>
      </c>
      <c r="BC156" s="80">
        <v>6</v>
      </c>
      <c r="BE156" s="125"/>
      <c r="BF156" s="126"/>
      <c r="BG156" s="164"/>
      <c r="BI156" s="111" t="s">
        <v>43</v>
      </c>
      <c r="BJ156" s="61">
        <f>1</f>
        <v>1</v>
      </c>
      <c r="BK156" s="62">
        <v>2</v>
      </c>
      <c r="BL156" s="62">
        <v>3</v>
      </c>
      <c r="BM156" s="62">
        <v>4</v>
      </c>
      <c r="BN156" s="62">
        <v>5</v>
      </c>
      <c r="BO156" s="80">
        <v>6</v>
      </c>
      <c r="BQ156" s="125"/>
      <c r="BR156" s="126"/>
      <c r="BS156" s="164"/>
      <c r="BU156" s="111" t="s">
        <v>43</v>
      </c>
      <c r="BV156" s="61">
        <f>1</f>
        <v>1</v>
      </c>
      <c r="BW156" s="62">
        <v>2</v>
      </c>
      <c r="BX156" s="62">
        <v>3</v>
      </c>
      <c r="BY156" s="62">
        <v>4</v>
      </c>
      <c r="BZ156" s="62">
        <v>5</v>
      </c>
      <c r="CA156" s="80">
        <v>6</v>
      </c>
      <c r="CC156" s="125"/>
      <c r="CD156" s="126"/>
      <c r="CE156" s="164"/>
      <c r="CG156" s="111" t="s">
        <v>43</v>
      </c>
      <c r="CH156" s="61">
        <f>1</f>
        <v>1</v>
      </c>
      <c r="CI156" s="62">
        <v>2</v>
      </c>
      <c r="CJ156" s="62">
        <v>3</v>
      </c>
      <c r="CK156" s="62">
        <v>4</v>
      </c>
      <c r="CL156" s="62">
        <v>5</v>
      </c>
      <c r="CM156" s="80">
        <v>6</v>
      </c>
      <c r="CO156" s="125"/>
      <c r="CP156" s="126"/>
      <c r="CQ156" s="164"/>
      <c r="CS156" s="111" t="s">
        <v>43</v>
      </c>
      <c r="CT156" s="61">
        <f>1</f>
        <v>1</v>
      </c>
      <c r="CU156" s="62">
        <v>2</v>
      </c>
      <c r="CV156" s="62">
        <v>3</v>
      </c>
      <c r="CW156" s="62">
        <v>4</v>
      </c>
      <c r="CX156" s="62">
        <v>5</v>
      </c>
      <c r="CY156" s="80">
        <v>6</v>
      </c>
      <c r="DA156" s="125"/>
      <c r="DB156" s="126"/>
      <c r="DC156" s="164"/>
      <c r="DD156" s="2"/>
      <c r="DE156" s="111" t="s">
        <v>43</v>
      </c>
      <c r="DF156" s="61">
        <f>1</f>
        <v>1</v>
      </c>
      <c r="DG156" s="62">
        <v>2</v>
      </c>
      <c r="DH156" s="62">
        <v>3</v>
      </c>
      <c r="DI156" s="62">
        <v>4</v>
      </c>
      <c r="DJ156" s="62">
        <v>5</v>
      </c>
      <c r="DK156" s="80">
        <v>6</v>
      </c>
      <c r="DM156" s="125"/>
      <c r="DN156" s="126"/>
      <c r="DO156" s="164"/>
      <c r="DP156" s="2"/>
      <c r="DQ156" s="111" t="s">
        <v>43</v>
      </c>
      <c r="DR156" s="61">
        <f>1</f>
        <v>1</v>
      </c>
      <c r="DS156" s="62">
        <v>2</v>
      </c>
      <c r="DT156" s="62">
        <v>3</v>
      </c>
      <c r="DU156" s="62">
        <v>4</v>
      </c>
      <c r="DV156" s="62">
        <v>5</v>
      </c>
      <c r="DW156" s="80">
        <v>6</v>
      </c>
      <c r="DY156" s="125"/>
      <c r="DZ156" s="126"/>
      <c r="EA156" s="164"/>
      <c r="EC156" s="111" t="s">
        <v>43</v>
      </c>
      <c r="ED156" s="61">
        <f>1</f>
        <v>1</v>
      </c>
      <c r="EE156" s="62">
        <v>2</v>
      </c>
      <c r="EF156" s="62">
        <v>3</v>
      </c>
      <c r="EG156" s="62">
        <v>4</v>
      </c>
      <c r="EH156" s="62">
        <v>5</v>
      </c>
      <c r="EI156" s="80">
        <v>6</v>
      </c>
      <c r="EK156" s="125"/>
      <c r="EL156" s="126"/>
      <c r="EM156" s="164"/>
      <c r="EO156" s="229" t="s">
        <v>43</v>
      </c>
      <c r="EP156" s="61">
        <f>1</f>
        <v>1</v>
      </c>
      <c r="EQ156" s="62">
        <v>2</v>
      </c>
      <c r="ER156" s="62">
        <v>3</v>
      </c>
      <c r="ES156" s="62">
        <v>4</v>
      </c>
      <c r="ET156" s="62">
        <v>5</v>
      </c>
      <c r="EU156" s="80">
        <v>6</v>
      </c>
      <c r="EW156" s="125"/>
      <c r="EX156" s="126"/>
      <c r="EY156" s="164"/>
    </row>
    <row r="157" spans="1:155" ht="17.100000000000001" customHeight="1" thickBot="1" x14ac:dyDescent="0.25">
      <c r="A157" s="125"/>
      <c r="B157" s="10">
        <v>12</v>
      </c>
      <c r="C157" s="11">
        <v>16</v>
      </c>
      <c r="D157" s="11">
        <v>14</v>
      </c>
      <c r="E157" s="11">
        <v>0</v>
      </c>
      <c r="F157" s="11">
        <v>0</v>
      </c>
      <c r="G157" s="12">
        <v>0</v>
      </c>
      <c r="H157" s="13"/>
      <c r="I157" s="14"/>
      <c r="J157" s="14"/>
      <c r="K157" s="9">
        <f>SUM(K151:K156)</f>
        <v>811</v>
      </c>
      <c r="M157" s="125"/>
      <c r="N157" s="10">
        <v>14</v>
      </c>
      <c r="O157" s="11">
        <v>18</v>
      </c>
      <c r="P157" s="11">
        <v>12</v>
      </c>
      <c r="Q157" s="11">
        <v>0</v>
      </c>
      <c r="R157" s="11">
        <v>0</v>
      </c>
      <c r="S157" s="12">
        <v>0</v>
      </c>
      <c r="T157" s="13"/>
      <c r="U157" s="14"/>
      <c r="V157" s="14"/>
      <c r="W157" s="9">
        <f>SUM(W151:W156)</f>
        <v>334</v>
      </c>
      <c r="Y157" s="125"/>
      <c r="Z157" s="10">
        <v>0</v>
      </c>
      <c r="AA157" s="11">
        <v>0</v>
      </c>
      <c r="AB157" s="11">
        <v>0</v>
      </c>
      <c r="AC157" s="11">
        <v>0</v>
      </c>
      <c r="AD157" s="11">
        <v>0</v>
      </c>
      <c r="AE157" s="12">
        <v>0</v>
      </c>
      <c r="AF157" s="13"/>
      <c r="AG157" s="14"/>
      <c r="AH157" s="14"/>
      <c r="AI157" s="9">
        <f>SUM(AI151:AI156)</f>
        <v>0</v>
      </c>
      <c r="AK157" s="125"/>
      <c r="AL157" s="10">
        <v>13</v>
      </c>
      <c r="AM157" s="11">
        <v>17</v>
      </c>
      <c r="AN157" s="11">
        <v>14</v>
      </c>
      <c r="AO157" s="11">
        <v>0</v>
      </c>
      <c r="AP157" s="11">
        <v>0</v>
      </c>
      <c r="AQ157" s="12">
        <v>0</v>
      </c>
      <c r="AR157" s="13"/>
      <c r="AS157" s="14"/>
      <c r="AT157" s="14"/>
      <c r="AU157" s="9">
        <f>SUM(AU151:AU156)</f>
        <v>0</v>
      </c>
      <c r="AW157" s="125"/>
      <c r="AX157" s="10">
        <v>61</v>
      </c>
      <c r="AY157" s="11">
        <v>39</v>
      </c>
      <c r="AZ157" s="11">
        <v>0</v>
      </c>
      <c r="BA157" s="11">
        <v>0</v>
      </c>
      <c r="BB157" s="11">
        <v>0</v>
      </c>
      <c r="BC157" s="12">
        <v>0</v>
      </c>
      <c r="BD157" s="13"/>
      <c r="BE157" s="14"/>
      <c r="BF157" s="14"/>
      <c r="BG157" s="9">
        <f>SUM(BG151:BG156)</f>
        <v>446</v>
      </c>
      <c r="BI157" s="125"/>
      <c r="BJ157" s="10">
        <v>0</v>
      </c>
      <c r="BK157" s="11">
        <v>0</v>
      </c>
      <c r="BL157" s="11">
        <v>0</v>
      </c>
      <c r="BM157" s="11">
        <v>0</v>
      </c>
      <c r="BN157" s="11">
        <v>0</v>
      </c>
      <c r="BO157" s="12">
        <v>0</v>
      </c>
      <c r="BP157" s="13"/>
      <c r="BQ157" s="14"/>
      <c r="BR157" s="14"/>
      <c r="BS157" s="9">
        <f>SUM(BS151:BS156)</f>
        <v>0</v>
      </c>
      <c r="BU157" s="125"/>
      <c r="BV157" s="10">
        <v>13</v>
      </c>
      <c r="BW157" s="11">
        <v>17</v>
      </c>
      <c r="BX157" s="11">
        <v>14</v>
      </c>
      <c r="BY157" s="11">
        <v>0</v>
      </c>
      <c r="BZ157" s="11">
        <v>0</v>
      </c>
      <c r="CA157" s="12">
        <v>0</v>
      </c>
      <c r="CB157" s="13"/>
      <c r="CC157" s="14"/>
      <c r="CD157" s="14"/>
      <c r="CE157" s="9">
        <f>SUM(CE151:CE156)</f>
        <v>0</v>
      </c>
      <c r="CG157" s="125"/>
      <c r="CH157" s="10">
        <v>0</v>
      </c>
      <c r="CI157" s="11">
        <v>0</v>
      </c>
      <c r="CJ157" s="11">
        <v>0</v>
      </c>
      <c r="CK157" s="11">
        <v>0</v>
      </c>
      <c r="CL157" s="11">
        <v>0</v>
      </c>
      <c r="CM157" s="12">
        <v>0</v>
      </c>
      <c r="CN157" s="13"/>
      <c r="CO157" s="14"/>
      <c r="CP157" s="14"/>
      <c r="CQ157" s="9">
        <f>SUM(CQ151:CQ156)</f>
        <v>0</v>
      </c>
      <c r="CS157" s="125"/>
      <c r="CT157" s="10">
        <v>0</v>
      </c>
      <c r="CU157" s="11">
        <v>0</v>
      </c>
      <c r="CV157" s="11">
        <v>0</v>
      </c>
      <c r="CW157" s="11">
        <v>0</v>
      </c>
      <c r="CX157" s="11">
        <v>0</v>
      </c>
      <c r="CY157" s="12">
        <v>0</v>
      </c>
      <c r="CZ157" s="13"/>
      <c r="DA157" s="14"/>
      <c r="DB157" s="14"/>
      <c r="DC157" s="9">
        <f>SUM(DC151:DC156)</f>
        <v>0</v>
      </c>
      <c r="DD157" s="2"/>
      <c r="DE157" s="125"/>
      <c r="DF157" s="10">
        <v>0</v>
      </c>
      <c r="DG157" s="11">
        <v>0</v>
      </c>
      <c r="DH157" s="11">
        <v>0</v>
      </c>
      <c r="DI157" s="11">
        <v>0</v>
      </c>
      <c r="DJ157" s="11">
        <v>0</v>
      </c>
      <c r="DK157" s="12">
        <v>0</v>
      </c>
      <c r="DL157" s="13"/>
      <c r="DM157" s="14"/>
      <c r="DN157" s="14"/>
      <c r="DO157" s="9">
        <f>SUM(DO151:DO156)</f>
        <v>0</v>
      </c>
      <c r="DP157" s="2"/>
      <c r="DQ157" s="125"/>
      <c r="DR157" s="10">
        <v>0</v>
      </c>
      <c r="DS157" s="11">
        <v>0</v>
      </c>
      <c r="DT157" s="11">
        <v>0</v>
      </c>
      <c r="DU157" s="11">
        <v>0</v>
      </c>
      <c r="DV157" s="11">
        <v>0</v>
      </c>
      <c r="DW157" s="12">
        <v>0</v>
      </c>
      <c r="DX157" s="13"/>
      <c r="DY157" s="14"/>
      <c r="DZ157" s="14"/>
      <c r="EA157" s="9">
        <f>SUM(EA151:EA156)</f>
        <v>0</v>
      </c>
      <c r="EC157" s="125"/>
      <c r="ED157" s="10">
        <v>0</v>
      </c>
      <c r="EE157" s="11">
        <v>0</v>
      </c>
      <c r="EF157" s="11">
        <v>0</v>
      </c>
      <c r="EG157" s="11">
        <v>0</v>
      </c>
      <c r="EH157" s="11">
        <v>0</v>
      </c>
      <c r="EI157" s="12">
        <v>0</v>
      </c>
      <c r="EJ157" s="13"/>
      <c r="EK157" s="14"/>
      <c r="EL157" s="14"/>
      <c r="EM157" s="9">
        <f>SUM(EM151:EM156)</f>
        <v>0</v>
      </c>
      <c r="EO157" s="237"/>
      <c r="EP157" s="10">
        <f t="shared" ref="EP157:EU157" si="11">B157+N157+Z157+AL157+AX157+BJ157+BV157+CH157+CT157+DF157+DR157+ED157</f>
        <v>113</v>
      </c>
      <c r="EQ157" s="10">
        <f t="shared" si="11"/>
        <v>107</v>
      </c>
      <c r="ER157" s="10">
        <f t="shared" si="11"/>
        <v>54</v>
      </c>
      <c r="ES157" s="10">
        <f t="shared" si="11"/>
        <v>0</v>
      </c>
      <c r="ET157" s="10">
        <f t="shared" si="11"/>
        <v>0</v>
      </c>
      <c r="EU157" s="10">
        <f t="shared" si="11"/>
        <v>0</v>
      </c>
      <c r="EV157" s="13"/>
      <c r="EW157" s="14"/>
      <c r="EX157" s="14"/>
      <c r="EY157" s="9">
        <f>SUM(EY151:EY156)</f>
        <v>1591</v>
      </c>
    </row>
    <row r="158" spans="1:155" ht="18" customHeight="1" thickBot="1" x14ac:dyDescent="0.25">
      <c r="A158" s="59" t="s">
        <v>3</v>
      </c>
      <c r="B158" s="59"/>
      <c r="C158" s="179" t="s">
        <v>61</v>
      </c>
      <c r="D158" s="179"/>
      <c r="E158" s="179"/>
      <c r="G158" s="64"/>
      <c r="H158" s="186"/>
      <c r="I158" s="186"/>
      <c r="J158" s="15"/>
      <c r="M158" s="59" t="s">
        <v>3</v>
      </c>
      <c r="N158" s="59"/>
      <c r="O158" s="179" t="s">
        <v>61</v>
      </c>
      <c r="P158" s="179"/>
      <c r="Q158" s="179"/>
      <c r="S158" s="64"/>
      <c r="T158" s="186"/>
      <c r="U158" s="186"/>
      <c r="V158" s="15"/>
      <c r="Y158" s="59" t="s">
        <v>3</v>
      </c>
      <c r="Z158" s="59"/>
      <c r="AA158" s="179" t="s">
        <v>61</v>
      </c>
      <c r="AB158" s="179"/>
      <c r="AC158" s="179"/>
      <c r="AE158" s="64"/>
      <c r="AF158" s="186"/>
      <c r="AG158" s="186"/>
      <c r="AH158" s="15"/>
      <c r="AK158" s="59" t="s">
        <v>3</v>
      </c>
      <c r="AL158" s="59"/>
      <c r="AM158" s="179" t="s">
        <v>61</v>
      </c>
      <c r="AN158" s="179"/>
      <c r="AO158" s="179"/>
      <c r="AQ158" s="64"/>
      <c r="AR158" s="186"/>
      <c r="AS158" s="186"/>
      <c r="AT158" s="15"/>
      <c r="AW158" s="59" t="s">
        <v>3</v>
      </c>
      <c r="AX158" s="59"/>
      <c r="AY158" s="179" t="s">
        <v>61</v>
      </c>
      <c r="AZ158" s="179"/>
      <c r="BA158" s="179"/>
      <c r="BC158" s="64"/>
      <c r="BD158" s="186"/>
      <c r="BE158" s="186"/>
      <c r="BF158" s="15"/>
      <c r="BI158" s="59" t="s">
        <v>3</v>
      </c>
      <c r="BJ158" s="59"/>
      <c r="BK158" s="179" t="s">
        <v>61</v>
      </c>
      <c r="BL158" s="179"/>
      <c r="BM158" s="179"/>
      <c r="BO158" s="64"/>
      <c r="BP158" s="186"/>
      <c r="BQ158" s="186"/>
      <c r="BR158" s="15"/>
      <c r="BU158" s="59" t="s">
        <v>3</v>
      </c>
      <c r="BV158" s="59"/>
      <c r="BW158" s="179" t="s">
        <v>61</v>
      </c>
      <c r="BX158" s="179"/>
      <c r="BY158" s="179"/>
      <c r="CA158" s="64"/>
      <c r="CB158" s="186"/>
      <c r="CC158" s="186"/>
      <c r="CD158" s="15"/>
      <c r="CG158" s="59" t="s">
        <v>3</v>
      </c>
      <c r="CH158" s="59"/>
      <c r="CI158" s="179" t="s">
        <v>61</v>
      </c>
      <c r="CJ158" s="179"/>
      <c r="CK158" s="179"/>
      <c r="CM158" s="64"/>
      <c r="CN158" s="186"/>
      <c r="CO158" s="186"/>
      <c r="CP158" s="15"/>
      <c r="CS158" s="59" t="s">
        <v>3</v>
      </c>
      <c r="CT158" s="59"/>
      <c r="CU158" s="179" t="s">
        <v>61</v>
      </c>
      <c r="CV158" s="179"/>
      <c r="CW158" s="179"/>
      <c r="CY158" s="64"/>
      <c r="CZ158" s="186"/>
      <c r="DA158" s="186"/>
      <c r="DB158" s="15"/>
      <c r="DD158" s="2"/>
      <c r="DE158" s="59" t="s">
        <v>3</v>
      </c>
      <c r="DF158" s="59"/>
      <c r="DG158" s="179" t="s">
        <v>61</v>
      </c>
      <c r="DH158" s="179"/>
      <c r="DI158" s="179"/>
      <c r="DK158" s="64"/>
      <c r="DL158" s="186"/>
      <c r="DM158" s="186"/>
      <c r="DN158" s="15"/>
      <c r="DP158" s="2"/>
      <c r="DQ158" s="59" t="s">
        <v>3</v>
      </c>
      <c r="DR158" s="59"/>
      <c r="DS158" s="179" t="s">
        <v>61</v>
      </c>
      <c r="DT158" s="179"/>
      <c r="DU158" s="179"/>
      <c r="DW158" s="64"/>
      <c r="DX158" s="186"/>
      <c r="DY158" s="186"/>
      <c r="DZ158" s="15"/>
      <c r="EC158" s="59" t="s">
        <v>3</v>
      </c>
      <c r="ED158" s="59"/>
      <c r="EE158" s="179" t="s">
        <v>61</v>
      </c>
      <c r="EF158" s="179"/>
      <c r="EG158" s="179"/>
      <c r="EI158" s="64"/>
      <c r="EJ158" s="186"/>
      <c r="EK158" s="186"/>
      <c r="EL158" s="15"/>
      <c r="EO158" s="59" t="s">
        <v>3</v>
      </c>
      <c r="EP158" s="59"/>
      <c r="EQ158" s="230" t="str">
        <f>EE158</f>
        <v>الرغامة</v>
      </c>
      <c r="ER158" s="230"/>
      <c r="ES158" s="230"/>
      <c r="EU158" s="64"/>
      <c r="EV158" s="148"/>
      <c r="EW158" s="148"/>
      <c r="EX158" s="15"/>
    </row>
    <row r="159" spans="1:155" ht="17.100000000000001" customHeight="1" thickBot="1" x14ac:dyDescent="0.25">
      <c r="A159" s="156" t="s">
        <v>4</v>
      </c>
      <c r="B159" s="187"/>
      <c r="C159" s="187"/>
      <c r="D159" s="187"/>
      <c r="E159" s="157"/>
      <c r="F159" s="156" t="s">
        <v>5</v>
      </c>
      <c r="G159" s="157"/>
      <c r="I159" s="102" t="s">
        <v>6</v>
      </c>
      <c r="J159" s="143" t="s">
        <v>7</v>
      </c>
      <c r="K159" s="165">
        <v>129</v>
      </c>
      <c r="M159" s="156" t="s">
        <v>4</v>
      </c>
      <c r="N159" s="187"/>
      <c r="O159" s="187"/>
      <c r="P159" s="187"/>
      <c r="Q159" s="157"/>
      <c r="R159" s="156" t="s">
        <v>5</v>
      </c>
      <c r="S159" s="157"/>
      <c r="U159" s="102" t="s">
        <v>6</v>
      </c>
      <c r="V159" s="143" t="s">
        <v>7</v>
      </c>
      <c r="W159" s="165">
        <v>131</v>
      </c>
      <c r="Y159" s="156" t="s">
        <v>4</v>
      </c>
      <c r="Z159" s="187"/>
      <c r="AA159" s="187"/>
      <c r="AB159" s="187"/>
      <c r="AC159" s="157"/>
      <c r="AD159" s="156" t="s">
        <v>5</v>
      </c>
      <c r="AE159" s="157"/>
      <c r="AG159" s="102" t="s">
        <v>6</v>
      </c>
      <c r="AH159" s="143" t="s">
        <v>7</v>
      </c>
      <c r="AI159" s="165">
        <v>128</v>
      </c>
      <c r="AK159" s="156" t="s">
        <v>4</v>
      </c>
      <c r="AL159" s="187"/>
      <c r="AM159" s="187"/>
      <c r="AN159" s="187"/>
      <c r="AO159" s="157"/>
      <c r="AP159" s="156" t="s">
        <v>5</v>
      </c>
      <c r="AQ159" s="157"/>
      <c r="AS159" s="102" t="s">
        <v>6</v>
      </c>
      <c r="AT159" s="143" t="s">
        <v>7</v>
      </c>
      <c r="AU159" s="165">
        <v>115</v>
      </c>
      <c r="AW159" s="156" t="s">
        <v>4</v>
      </c>
      <c r="AX159" s="187"/>
      <c r="AY159" s="187"/>
      <c r="AZ159" s="187"/>
      <c r="BA159" s="157"/>
      <c r="BB159" s="156" t="s">
        <v>5</v>
      </c>
      <c r="BC159" s="157"/>
      <c r="BE159" s="102" t="s">
        <v>6</v>
      </c>
      <c r="BF159" s="143" t="s">
        <v>7</v>
      </c>
      <c r="BG159" s="165">
        <v>138</v>
      </c>
      <c r="BI159" s="156" t="s">
        <v>4</v>
      </c>
      <c r="BJ159" s="187"/>
      <c r="BK159" s="187"/>
      <c r="BL159" s="187"/>
      <c r="BM159" s="157"/>
      <c r="BN159" s="156" t="s">
        <v>5</v>
      </c>
      <c r="BO159" s="157"/>
      <c r="BQ159" s="102" t="s">
        <v>6</v>
      </c>
      <c r="BR159" s="143" t="s">
        <v>7</v>
      </c>
      <c r="BS159" s="165">
        <v>101</v>
      </c>
      <c r="BU159" s="156" t="s">
        <v>4</v>
      </c>
      <c r="BV159" s="187"/>
      <c r="BW159" s="187"/>
      <c r="BX159" s="187"/>
      <c r="BY159" s="157"/>
      <c r="BZ159" s="156" t="s">
        <v>5</v>
      </c>
      <c r="CA159" s="157"/>
      <c r="CC159" s="102" t="s">
        <v>6</v>
      </c>
      <c r="CD159" s="143" t="s">
        <v>7</v>
      </c>
      <c r="CE159" s="165">
        <v>115</v>
      </c>
      <c r="CG159" s="156" t="s">
        <v>4</v>
      </c>
      <c r="CH159" s="187"/>
      <c r="CI159" s="187"/>
      <c r="CJ159" s="187"/>
      <c r="CK159" s="157"/>
      <c r="CL159" s="156" t="s">
        <v>5</v>
      </c>
      <c r="CM159" s="157"/>
      <c r="CO159" s="102" t="s">
        <v>6</v>
      </c>
      <c r="CP159" s="143" t="s">
        <v>7</v>
      </c>
      <c r="CQ159" s="165">
        <v>0</v>
      </c>
      <c r="CS159" s="156" t="s">
        <v>4</v>
      </c>
      <c r="CT159" s="187"/>
      <c r="CU159" s="187"/>
      <c r="CV159" s="187"/>
      <c r="CW159" s="157"/>
      <c r="CX159" s="156" t="s">
        <v>5</v>
      </c>
      <c r="CY159" s="157"/>
      <c r="DA159" s="102" t="s">
        <v>6</v>
      </c>
      <c r="DB159" s="143" t="s">
        <v>7</v>
      </c>
      <c r="DC159" s="165">
        <v>0</v>
      </c>
      <c r="DD159" s="2"/>
      <c r="DE159" s="156" t="s">
        <v>4</v>
      </c>
      <c r="DF159" s="187"/>
      <c r="DG159" s="187"/>
      <c r="DH159" s="187"/>
      <c r="DI159" s="157"/>
      <c r="DJ159" s="156" t="s">
        <v>5</v>
      </c>
      <c r="DK159" s="157"/>
      <c r="DM159" s="102" t="s">
        <v>6</v>
      </c>
      <c r="DN159" s="143" t="s">
        <v>7</v>
      </c>
      <c r="DO159" s="165">
        <v>134</v>
      </c>
      <c r="DP159" s="2"/>
      <c r="DQ159" s="156" t="s">
        <v>4</v>
      </c>
      <c r="DR159" s="187"/>
      <c r="DS159" s="187"/>
      <c r="DT159" s="187"/>
      <c r="DU159" s="157"/>
      <c r="DV159" s="156" t="s">
        <v>5</v>
      </c>
      <c r="DW159" s="157"/>
      <c r="DY159" s="102" t="s">
        <v>6</v>
      </c>
      <c r="DZ159" s="143" t="s">
        <v>7</v>
      </c>
      <c r="EA159" s="165">
        <v>0</v>
      </c>
      <c r="EC159" s="156" t="s">
        <v>4</v>
      </c>
      <c r="ED159" s="187"/>
      <c r="EE159" s="187"/>
      <c r="EF159" s="187"/>
      <c r="EG159" s="157"/>
      <c r="EH159" s="156" t="s">
        <v>5</v>
      </c>
      <c r="EI159" s="157"/>
      <c r="EK159" s="102" t="s">
        <v>6</v>
      </c>
      <c r="EL159" s="143" t="s">
        <v>7</v>
      </c>
      <c r="EM159" s="165">
        <v>0</v>
      </c>
      <c r="EO159" s="156" t="s">
        <v>4</v>
      </c>
      <c r="EP159" s="187"/>
      <c r="EQ159" s="187"/>
      <c r="ER159" s="187"/>
      <c r="ES159" s="157"/>
      <c r="ET159" s="156" t="s">
        <v>5</v>
      </c>
      <c r="EU159" s="157"/>
      <c r="EW159" s="121" t="s">
        <v>6</v>
      </c>
      <c r="EX159" s="229" t="s">
        <v>7</v>
      </c>
      <c r="EY159" s="229">
        <f>K159+W159+AI159+AU159+BG159+BS159+CE159+CQ159+DC159+DO159+EA159+EM159</f>
        <v>991</v>
      </c>
    </row>
    <row r="160" spans="1:155" ht="17.100000000000001" customHeight="1" thickTop="1" thickBot="1" x14ac:dyDescent="0.25">
      <c r="A160" s="111" t="s">
        <v>8</v>
      </c>
      <c r="B160" s="174"/>
      <c r="C160" s="174"/>
      <c r="D160" s="155" t="s">
        <v>9</v>
      </c>
      <c r="E160" s="141"/>
      <c r="F160" s="190">
        <v>17</v>
      </c>
      <c r="G160" s="191"/>
      <c r="I160" s="103"/>
      <c r="J160" s="140"/>
      <c r="K160" s="166"/>
      <c r="M160" s="111" t="s">
        <v>8</v>
      </c>
      <c r="N160" s="174"/>
      <c r="O160" s="174"/>
      <c r="P160" s="155" t="s">
        <v>9</v>
      </c>
      <c r="Q160" s="141"/>
      <c r="R160" s="190">
        <v>44</v>
      </c>
      <c r="S160" s="191"/>
      <c r="U160" s="103"/>
      <c r="V160" s="140"/>
      <c r="W160" s="166"/>
      <c r="Y160" s="111" t="s">
        <v>8</v>
      </c>
      <c r="Z160" s="174"/>
      <c r="AA160" s="174"/>
      <c r="AB160" s="155" t="s">
        <v>9</v>
      </c>
      <c r="AC160" s="141"/>
      <c r="AD160" s="190">
        <v>0</v>
      </c>
      <c r="AE160" s="191"/>
      <c r="AG160" s="103"/>
      <c r="AH160" s="140"/>
      <c r="AI160" s="166"/>
      <c r="AK160" s="111" t="s">
        <v>8</v>
      </c>
      <c r="AL160" s="174"/>
      <c r="AM160" s="174"/>
      <c r="AN160" s="155" t="s">
        <v>9</v>
      </c>
      <c r="AO160" s="141"/>
      <c r="AP160" s="190">
        <v>31</v>
      </c>
      <c r="AQ160" s="191"/>
      <c r="AS160" s="103"/>
      <c r="AT160" s="140"/>
      <c r="AU160" s="166"/>
      <c r="AW160" s="111" t="s">
        <v>8</v>
      </c>
      <c r="AX160" s="174"/>
      <c r="AY160" s="174"/>
      <c r="AZ160" s="155" t="s">
        <v>9</v>
      </c>
      <c r="BA160" s="141"/>
      <c r="BB160" s="155">
        <v>36</v>
      </c>
      <c r="BC160" s="141"/>
      <c r="BE160" s="103"/>
      <c r="BF160" s="140"/>
      <c r="BG160" s="166"/>
      <c r="BI160" s="111" t="s">
        <v>8</v>
      </c>
      <c r="BJ160" s="174"/>
      <c r="BK160" s="174"/>
      <c r="BL160" s="155" t="s">
        <v>9</v>
      </c>
      <c r="BM160" s="141"/>
      <c r="BN160" s="190">
        <v>28</v>
      </c>
      <c r="BO160" s="191"/>
      <c r="BQ160" s="103"/>
      <c r="BR160" s="140"/>
      <c r="BS160" s="166"/>
      <c r="BU160" s="111" t="s">
        <v>8</v>
      </c>
      <c r="BV160" s="174"/>
      <c r="BW160" s="174"/>
      <c r="BX160" s="155" t="s">
        <v>9</v>
      </c>
      <c r="BY160" s="141"/>
      <c r="BZ160" s="190">
        <v>31</v>
      </c>
      <c r="CA160" s="191"/>
      <c r="CC160" s="103"/>
      <c r="CD160" s="140"/>
      <c r="CE160" s="166"/>
      <c r="CG160" s="111" t="s">
        <v>8</v>
      </c>
      <c r="CH160" s="174"/>
      <c r="CI160" s="174"/>
      <c r="CJ160" s="155" t="s">
        <v>9</v>
      </c>
      <c r="CK160" s="141"/>
      <c r="CL160" s="155">
        <v>0</v>
      </c>
      <c r="CM160" s="141"/>
      <c r="CO160" s="103"/>
      <c r="CP160" s="140"/>
      <c r="CQ160" s="166"/>
      <c r="CS160" s="111" t="s">
        <v>8</v>
      </c>
      <c r="CT160" s="174"/>
      <c r="CU160" s="174"/>
      <c r="CV160" s="155" t="s">
        <v>9</v>
      </c>
      <c r="CW160" s="141"/>
      <c r="CX160" s="155">
        <v>0</v>
      </c>
      <c r="CY160" s="141"/>
      <c r="DA160" s="103"/>
      <c r="DB160" s="140"/>
      <c r="DC160" s="166"/>
      <c r="DD160" s="2"/>
      <c r="DE160" s="111" t="s">
        <v>8</v>
      </c>
      <c r="DF160" s="174"/>
      <c r="DG160" s="174"/>
      <c r="DH160" s="155" t="s">
        <v>9</v>
      </c>
      <c r="DI160" s="141"/>
      <c r="DJ160" s="190">
        <v>0</v>
      </c>
      <c r="DK160" s="191"/>
      <c r="DM160" s="103"/>
      <c r="DN160" s="140"/>
      <c r="DO160" s="166"/>
      <c r="DP160" s="2"/>
      <c r="DQ160" s="111" t="s">
        <v>8</v>
      </c>
      <c r="DR160" s="174"/>
      <c r="DS160" s="174"/>
      <c r="DT160" s="155" t="s">
        <v>9</v>
      </c>
      <c r="DU160" s="141"/>
      <c r="DV160" s="155">
        <v>0</v>
      </c>
      <c r="DW160" s="141"/>
      <c r="DY160" s="103"/>
      <c r="DZ160" s="140"/>
      <c r="EA160" s="166"/>
      <c r="EC160" s="111" t="s">
        <v>8</v>
      </c>
      <c r="ED160" s="174"/>
      <c r="EE160" s="174"/>
      <c r="EF160" s="155" t="s">
        <v>9</v>
      </c>
      <c r="EG160" s="141"/>
      <c r="EH160" s="155">
        <v>0</v>
      </c>
      <c r="EI160" s="141"/>
      <c r="EK160" s="103"/>
      <c r="EL160" s="140"/>
      <c r="EM160" s="166"/>
      <c r="EO160" s="111" t="s">
        <v>8</v>
      </c>
      <c r="EP160" s="174"/>
      <c r="EQ160" s="124"/>
      <c r="ER160" s="155" t="s">
        <v>9</v>
      </c>
      <c r="ES160" s="141"/>
      <c r="ET160" s="156">
        <f>F160+R160+AD160+AP160+BB160+BN160+BZ160+CL160+CX160+DJ160+DV160+EH160</f>
        <v>187</v>
      </c>
      <c r="EU160" s="157"/>
      <c r="EW160" s="122"/>
      <c r="EX160" s="139"/>
      <c r="EY160" s="237"/>
    </row>
    <row r="161" spans="1:155" ht="17.100000000000001" customHeight="1" thickBot="1" x14ac:dyDescent="0.25">
      <c r="A161" s="113"/>
      <c r="B161" s="175"/>
      <c r="C161" s="175"/>
      <c r="D161" s="154" t="s">
        <v>10</v>
      </c>
      <c r="E161" s="142"/>
      <c r="F161" s="182">
        <v>0</v>
      </c>
      <c r="G161" s="183"/>
      <c r="I161" s="103"/>
      <c r="J161" s="140" t="s">
        <v>11</v>
      </c>
      <c r="K161" s="166">
        <v>146</v>
      </c>
      <c r="M161" s="113"/>
      <c r="N161" s="175"/>
      <c r="O161" s="175"/>
      <c r="P161" s="154" t="s">
        <v>10</v>
      </c>
      <c r="Q161" s="142"/>
      <c r="R161" s="182">
        <v>0</v>
      </c>
      <c r="S161" s="183"/>
      <c r="U161" s="103"/>
      <c r="V161" s="140" t="s">
        <v>11</v>
      </c>
      <c r="W161" s="166">
        <v>196</v>
      </c>
      <c r="Y161" s="113"/>
      <c r="Z161" s="175"/>
      <c r="AA161" s="175"/>
      <c r="AB161" s="154" t="s">
        <v>10</v>
      </c>
      <c r="AC161" s="142"/>
      <c r="AD161" s="182">
        <v>104</v>
      </c>
      <c r="AE161" s="183"/>
      <c r="AG161" s="103"/>
      <c r="AH161" s="140" t="s">
        <v>11</v>
      </c>
      <c r="AI161" s="166">
        <v>189</v>
      </c>
      <c r="AK161" s="113"/>
      <c r="AL161" s="175"/>
      <c r="AM161" s="175"/>
      <c r="AN161" s="154" t="s">
        <v>10</v>
      </c>
      <c r="AO161" s="142"/>
      <c r="AP161" s="182">
        <v>0</v>
      </c>
      <c r="AQ161" s="183"/>
      <c r="AS161" s="103"/>
      <c r="AT161" s="140" t="s">
        <v>11</v>
      </c>
      <c r="AU161" s="166">
        <v>172</v>
      </c>
      <c r="AW161" s="113"/>
      <c r="AX161" s="175"/>
      <c r="AY161" s="175"/>
      <c r="AZ161" s="154" t="s">
        <v>10</v>
      </c>
      <c r="BA161" s="142"/>
      <c r="BB161" s="154">
        <v>0</v>
      </c>
      <c r="BC161" s="142"/>
      <c r="BE161" s="103"/>
      <c r="BF161" s="140" t="s">
        <v>11</v>
      </c>
      <c r="BG161" s="166">
        <v>193</v>
      </c>
      <c r="BI161" s="113"/>
      <c r="BJ161" s="175"/>
      <c r="BK161" s="175"/>
      <c r="BL161" s="154" t="s">
        <v>10</v>
      </c>
      <c r="BM161" s="142"/>
      <c r="BN161" s="182">
        <v>0</v>
      </c>
      <c r="BO161" s="183"/>
      <c r="BQ161" s="103"/>
      <c r="BR161" s="140" t="s">
        <v>11</v>
      </c>
      <c r="BS161" s="166">
        <v>146</v>
      </c>
      <c r="BU161" s="113"/>
      <c r="BV161" s="175"/>
      <c r="BW161" s="175"/>
      <c r="BX161" s="154" t="s">
        <v>10</v>
      </c>
      <c r="BY161" s="142"/>
      <c r="BZ161" s="182">
        <v>0</v>
      </c>
      <c r="CA161" s="183"/>
      <c r="CC161" s="103"/>
      <c r="CD161" s="140" t="s">
        <v>11</v>
      </c>
      <c r="CE161" s="166">
        <v>172</v>
      </c>
      <c r="CG161" s="113"/>
      <c r="CH161" s="175"/>
      <c r="CI161" s="175"/>
      <c r="CJ161" s="154" t="s">
        <v>10</v>
      </c>
      <c r="CK161" s="142"/>
      <c r="CL161" s="154">
        <v>0</v>
      </c>
      <c r="CM161" s="142"/>
      <c r="CO161" s="103"/>
      <c r="CP161" s="140" t="s">
        <v>11</v>
      </c>
      <c r="CQ161" s="166">
        <v>0</v>
      </c>
      <c r="CS161" s="113"/>
      <c r="CT161" s="175"/>
      <c r="CU161" s="175"/>
      <c r="CV161" s="154" t="s">
        <v>10</v>
      </c>
      <c r="CW161" s="142"/>
      <c r="CX161" s="154">
        <v>0</v>
      </c>
      <c r="CY161" s="142"/>
      <c r="DA161" s="103"/>
      <c r="DB161" s="140" t="s">
        <v>11</v>
      </c>
      <c r="DC161" s="166">
        <v>0</v>
      </c>
      <c r="DD161" s="2"/>
      <c r="DE161" s="113"/>
      <c r="DF161" s="175"/>
      <c r="DG161" s="175"/>
      <c r="DH161" s="154" t="s">
        <v>10</v>
      </c>
      <c r="DI161" s="142"/>
      <c r="DJ161" s="182">
        <v>25</v>
      </c>
      <c r="DK161" s="183"/>
      <c r="DM161" s="103"/>
      <c r="DN161" s="140" t="s">
        <v>11</v>
      </c>
      <c r="DO161" s="166">
        <v>179</v>
      </c>
      <c r="DP161" s="2"/>
      <c r="DQ161" s="113"/>
      <c r="DR161" s="175"/>
      <c r="DS161" s="175"/>
      <c r="DT161" s="154" t="s">
        <v>10</v>
      </c>
      <c r="DU161" s="142"/>
      <c r="DV161" s="154">
        <v>0</v>
      </c>
      <c r="DW161" s="142"/>
      <c r="DY161" s="103"/>
      <c r="DZ161" s="140" t="s">
        <v>11</v>
      </c>
      <c r="EA161" s="166">
        <v>0</v>
      </c>
      <c r="EC161" s="113"/>
      <c r="ED161" s="175"/>
      <c r="EE161" s="175"/>
      <c r="EF161" s="154" t="s">
        <v>10</v>
      </c>
      <c r="EG161" s="142"/>
      <c r="EH161" s="154">
        <v>0</v>
      </c>
      <c r="EI161" s="142"/>
      <c r="EK161" s="103"/>
      <c r="EL161" s="140" t="s">
        <v>11</v>
      </c>
      <c r="EM161" s="166">
        <v>0</v>
      </c>
      <c r="EO161" s="113"/>
      <c r="EP161" s="175"/>
      <c r="EQ161" s="112"/>
      <c r="ER161" s="154" t="s">
        <v>10</v>
      </c>
      <c r="ES161" s="142"/>
      <c r="ET161" s="156">
        <f t="shared" ref="ET161:ET181" si="12">F161+R161+AD161+AP161+BB161+BN161+BZ161+CL161+CX161+DJ161+DV161+EH161</f>
        <v>129</v>
      </c>
      <c r="EU161" s="157"/>
      <c r="EW161" s="122"/>
      <c r="EX161" s="238" t="s">
        <v>11</v>
      </c>
      <c r="EY161" s="229">
        <f>K161+W161+AI161+AU161+BG161+BS161+CE161+CQ161+DC161+DO161+EA161+EM161</f>
        <v>1393</v>
      </c>
    </row>
    <row r="162" spans="1:155" ht="17.100000000000001" customHeight="1" thickBot="1" x14ac:dyDescent="0.25">
      <c r="A162" s="125"/>
      <c r="B162" s="176"/>
      <c r="C162" s="176"/>
      <c r="D162" s="177" t="s">
        <v>12</v>
      </c>
      <c r="E162" s="178"/>
      <c r="F162" s="192">
        <v>95</v>
      </c>
      <c r="G162" s="193"/>
      <c r="I162" s="151"/>
      <c r="J162" s="144"/>
      <c r="K162" s="180"/>
      <c r="M162" s="125"/>
      <c r="N162" s="176"/>
      <c r="O162" s="176"/>
      <c r="P162" s="177" t="s">
        <v>12</v>
      </c>
      <c r="Q162" s="178"/>
      <c r="R162" s="192">
        <v>0</v>
      </c>
      <c r="S162" s="193"/>
      <c r="U162" s="151"/>
      <c r="V162" s="144"/>
      <c r="W162" s="180"/>
      <c r="Y162" s="125"/>
      <c r="Z162" s="176"/>
      <c r="AA162" s="176"/>
      <c r="AB162" s="177" t="s">
        <v>12</v>
      </c>
      <c r="AC162" s="178"/>
      <c r="AD162" s="192">
        <v>0</v>
      </c>
      <c r="AE162" s="193"/>
      <c r="AG162" s="151"/>
      <c r="AH162" s="144"/>
      <c r="AI162" s="180"/>
      <c r="AK162" s="125"/>
      <c r="AL162" s="176"/>
      <c r="AM162" s="176"/>
      <c r="AN162" s="177" t="s">
        <v>12</v>
      </c>
      <c r="AO162" s="178"/>
      <c r="AP162" s="192">
        <v>86</v>
      </c>
      <c r="AQ162" s="193"/>
      <c r="AS162" s="151"/>
      <c r="AT162" s="144"/>
      <c r="AU162" s="180"/>
      <c r="AW162" s="125"/>
      <c r="AX162" s="176"/>
      <c r="AY162" s="176"/>
      <c r="AZ162" s="177" t="s">
        <v>12</v>
      </c>
      <c r="BA162" s="178"/>
      <c r="BB162" s="177">
        <v>133</v>
      </c>
      <c r="BC162" s="178"/>
      <c r="BE162" s="151"/>
      <c r="BF162" s="144"/>
      <c r="BG162" s="180"/>
      <c r="BI162" s="125"/>
      <c r="BJ162" s="176"/>
      <c r="BK162" s="176"/>
      <c r="BL162" s="177" t="s">
        <v>12</v>
      </c>
      <c r="BM162" s="178"/>
      <c r="BN162" s="192">
        <v>0</v>
      </c>
      <c r="BO162" s="193"/>
      <c r="BQ162" s="151"/>
      <c r="BR162" s="144"/>
      <c r="BS162" s="180"/>
      <c r="BU162" s="125"/>
      <c r="BV162" s="176"/>
      <c r="BW162" s="176"/>
      <c r="BX162" s="177" t="s">
        <v>12</v>
      </c>
      <c r="BY162" s="178"/>
      <c r="BZ162" s="192">
        <v>86</v>
      </c>
      <c r="CA162" s="193"/>
      <c r="CC162" s="151"/>
      <c r="CD162" s="144"/>
      <c r="CE162" s="180"/>
      <c r="CG162" s="125"/>
      <c r="CH162" s="176"/>
      <c r="CI162" s="176"/>
      <c r="CJ162" s="177" t="s">
        <v>12</v>
      </c>
      <c r="CK162" s="178"/>
      <c r="CL162" s="177">
        <v>0</v>
      </c>
      <c r="CM162" s="178"/>
      <c r="CO162" s="151"/>
      <c r="CP162" s="144"/>
      <c r="CQ162" s="180"/>
      <c r="CS162" s="125"/>
      <c r="CT162" s="176"/>
      <c r="CU162" s="176"/>
      <c r="CV162" s="177" t="s">
        <v>12</v>
      </c>
      <c r="CW162" s="178"/>
      <c r="CX162" s="177">
        <v>0</v>
      </c>
      <c r="CY162" s="178"/>
      <c r="DA162" s="151"/>
      <c r="DB162" s="144"/>
      <c r="DC162" s="180"/>
      <c r="DD162" s="2"/>
      <c r="DE162" s="125"/>
      <c r="DF162" s="176"/>
      <c r="DG162" s="176"/>
      <c r="DH162" s="177" t="s">
        <v>12</v>
      </c>
      <c r="DI162" s="178"/>
      <c r="DJ162" s="192">
        <v>100</v>
      </c>
      <c r="DK162" s="193"/>
      <c r="DM162" s="151"/>
      <c r="DN162" s="144"/>
      <c r="DO162" s="180"/>
      <c r="DP162" s="2"/>
      <c r="DQ162" s="125"/>
      <c r="DR162" s="176"/>
      <c r="DS162" s="176"/>
      <c r="DT162" s="177" t="s">
        <v>12</v>
      </c>
      <c r="DU162" s="178"/>
      <c r="DV162" s="177">
        <v>0</v>
      </c>
      <c r="DW162" s="178"/>
      <c r="DY162" s="151"/>
      <c r="DZ162" s="144"/>
      <c r="EA162" s="180"/>
      <c r="EC162" s="125"/>
      <c r="ED162" s="176"/>
      <c r="EE162" s="176"/>
      <c r="EF162" s="177" t="s">
        <v>12</v>
      </c>
      <c r="EG162" s="178"/>
      <c r="EH162" s="177">
        <v>0</v>
      </c>
      <c r="EI162" s="178"/>
      <c r="EK162" s="151"/>
      <c r="EL162" s="144"/>
      <c r="EM162" s="180"/>
      <c r="EO162" s="125"/>
      <c r="EP162" s="176"/>
      <c r="EQ162" s="126"/>
      <c r="ER162" s="177" t="s">
        <v>12</v>
      </c>
      <c r="ES162" s="178"/>
      <c r="ET162" s="156">
        <f t="shared" si="12"/>
        <v>500</v>
      </c>
      <c r="EU162" s="157"/>
      <c r="EW162" s="123"/>
      <c r="EX162" s="237"/>
      <c r="EY162" s="237"/>
    </row>
    <row r="163" spans="1:155" ht="17.100000000000001" customHeight="1" thickTop="1" thickBot="1" x14ac:dyDescent="0.25">
      <c r="A163" s="158" t="s">
        <v>13</v>
      </c>
      <c r="B163" s="111" t="s">
        <v>14</v>
      </c>
      <c r="C163" s="174"/>
      <c r="D163" s="155" t="s">
        <v>29</v>
      </c>
      <c r="E163" s="141"/>
      <c r="F163" s="190">
        <v>38</v>
      </c>
      <c r="G163" s="191"/>
      <c r="I163" s="102" t="s">
        <v>15</v>
      </c>
      <c r="J163" s="143" t="s">
        <v>7</v>
      </c>
      <c r="K163" s="165">
        <v>56</v>
      </c>
      <c r="M163" s="158" t="s">
        <v>13</v>
      </c>
      <c r="N163" s="111" t="s">
        <v>14</v>
      </c>
      <c r="O163" s="174"/>
      <c r="P163" s="155" t="s">
        <v>29</v>
      </c>
      <c r="Q163" s="141"/>
      <c r="R163" s="190">
        <v>58</v>
      </c>
      <c r="S163" s="191"/>
      <c r="U163" s="102" t="s">
        <v>15</v>
      </c>
      <c r="V163" s="143" t="s">
        <v>7</v>
      </c>
      <c r="W163" s="165">
        <v>80</v>
      </c>
      <c r="Y163" s="158" t="s">
        <v>13</v>
      </c>
      <c r="Z163" s="111" t="s">
        <v>14</v>
      </c>
      <c r="AA163" s="174"/>
      <c r="AB163" s="155" t="s">
        <v>29</v>
      </c>
      <c r="AC163" s="141"/>
      <c r="AD163" s="190">
        <v>44</v>
      </c>
      <c r="AE163" s="191"/>
      <c r="AG163" s="102" t="s">
        <v>15</v>
      </c>
      <c r="AH163" s="143" t="s">
        <v>7</v>
      </c>
      <c r="AI163" s="165">
        <v>91</v>
      </c>
      <c r="AK163" s="158" t="s">
        <v>13</v>
      </c>
      <c r="AL163" s="111" t="s">
        <v>14</v>
      </c>
      <c r="AM163" s="174"/>
      <c r="AN163" s="155" t="s">
        <v>29</v>
      </c>
      <c r="AO163" s="141"/>
      <c r="AP163" s="190">
        <v>41</v>
      </c>
      <c r="AQ163" s="191"/>
      <c r="AS163" s="102" t="s">
        <v>15</v>
      </c>
      <c r="AT163" s="143" t="s">
        <v>7</v>
      </c>
      <c r="AU163" s="165">
        <v>100</v>
      </c>
      <c r="AW163" s="158" t="s">
        <v>13</v>
      </c>
      <c r="AX163" s="111" t="s">
        <v>14</v>
      </c>
      <c r="AY163" s="174"/>
      <c r="AZ163" s="155" t="s">
        <v>29</v>
      </c>
      <c r="BA163" s="141"/>
      <c r="BB163" s="155">
        <v>25</v>
      </c>
      <c r="BC163" s="141"/>
      <c r="BE163" s="102" t="s">
        <v>15</v>
      </c>
      <c r="BF163" s="143" t="s">
        <v>7</v>
      </c>
      <c r="BG163" s="165">
        <v>100</v>
      </c>
      <c r="BI163" s="158" t="s">
        <v>13</v>
      </c>
      <c r="BJ163" s="111" t="s">
        <v>14</v>
      </c>
      <c r="BK163" s="174"/>
      <c r="BL163" s="155" t="s">
        <v>29</v>
      </c>
      <c r="BM163" s="141"/>
      <c r="BN163" s="190">
        <v>16</v>
      </c>
      <c r="BO163" s="191"/>
      <c r="BQ163" s="102" t="s">
        <v>15</v>
      </c>
      <c r="BR163" s="143" t="s">
        <v>7</v>
      </c>
      <c r="BS163" s="165">
        <v>0</v>
      </c>
      <c r="BU163" s="158" t="s">
        <v>13</v>
      </c>
      <c r="BV163" s="111" t="s">
        <v>14</v>
      </c>
      <c r="BW163" s="174"/>
      <c r="BX163" s="155" t="s">
        <v>29</v>
      </c>
      <c r="BY163" s="141"/>
      <c r="BZ163" s="190">
        <v>41</v>
      </c>
      <c r="CA163" s="191"/>
      <c r="CC163" s="102" t="s">
        <v>15</v>
      </c>
      <c r="CD163" s="143" t="s">
        <v>7</v>
      </c>
      <c r="CE163" s="165">
        <v>100</v>
      </c>
      <c r="CG163" s="158" t="s">
        <v>13</v>
      </c>
      <c r="CH163" s="111" t="s">
        <v>14</v>
      </c>
      <c r="CI163" s="174"/>
      <c r="CJ163" s="155" t="s">
        <v>29</v>
      </c>
      <c r="CK163" s="141"/>
      <c r="CL163" s="155">
        <v>0</v>
      </c>
      <c r="CM163" s="141"/>
      <c r="CO163" s="102" t="s">
        <v>15</v>
      </c>
      <c r="CP163" s="143" t="s">
        <v>7</v>
      </c>
      <c r="CQ163" s="165">
        <v>0</v>
      </c>
      <c r="CS163" s="158" t="s">
        <v>13</v>
      </c>
      <c r="CT163" s="111" t="s">
        <v>14</v>
      </c>
      <c r="CU163" s="174"/>
      <c r="CV163" s="155" t="s">
        <v>29</v>
      </c>
      <c r="CW163" s="141"/>
      <c r="CX163" s="155">
        <v>0</v>
      </c>
      <c r="CY163" s="141"/>
      <c r="DA163" s="102" t="s">
        <v>15</v>
      </c>
      <c r="DB163" s="143" t="s">
        <v>7</v>
      </c>
      <c r="DC163" s="165">
        <v>0</v>
      </c>
      <c r="DD163" s="2"/>
      <c r="DE163" s="158" t="s">
        <v>13</v>
      </c>
      <c r="DF163" s="111" t="s">
        <v>14</v>
      </c>
      <c r="DG163" s="174"/>
      <c r="DH163" s="155" t="s">
        <v>29</v>
      </c>
      <c r="DI163" s="141"/>
      <c r="DJ163" s="190">
        <v>35</v>
      </c>
      <c r="DK163" s="191"/>
      <c r="DM163" s="102" t="s">
        <v>15</v>
      </c>
      <c r="DN163" s="143" t="s">
        <v>7</v>
      </c>
      <c r="DO163" s="165">
        <v>143</v>
      </c>
      <c r="DP163" s="2"/>
      <c r="DQ163" s="158" t="s">
        <v>13</v>
      </c>
      <c r="DR163" s="111" t="s">
        <v>14</v>
      </c>
      <c r="DS163" s="174"/>
      <c r="DT163" s="155" t="s">
        <v>29</v>
      </c>
      <c r="DU163" s="141"/>
      <c r="DV163" s="155">
        <v>0</v>
      </c>
      <c r="DW163" s="141"/>
      <c r="DY163" s="102" t="s">
        <v>15</v>
      </c>
      <c r="DZ163" s="143" t="s">
        <v>7</v>
      </c>
      <c r="EA163" s="165">
        <v>0</v>
      </c>
      <c r="EC163" s="158" t="s">
        <v>13</v>
      </c>
      <c r="ED163" s="111" t="s">
        <v>14</v>
      </c>
      <c r="EE163" s="174"/>
      <c r="EF163" s="155" t="s">
        <v>29</v>
      </c>
      <c r="EG163" s="141"/>
      <c r="EH163" s="155">
        <v>0</v>
      </c>
      <c r="EI163" s="141"/>
      <c r="EK163" s="102" t="s">
        <v>15</v>
      </c>
      <c r="EL163" s="143" t="s">
        <v>7</v>
      </c>
      <c r="EM163" s="165">
        <v>0</v>
      </c>
      <c r="EO163" s="232" t="s">
        <v>13</v>
      </c>
      <c r="EP163" s="111" t="s">
        <v>14</v>
      </c>
      <c r="EQ163" s="124"/>
      <c r="ER163" s="155" t="s">
        <v>29</v>
      </c>
      <c r="ES163" s="141"/>
      <c r="ET163" s="156">
        <f t="shared" si="12"/>
        <v>298</v>
      </c>
      <c r="EU163" s="157"/>
      <c r="EW163" s="121" t="s">
        <v>15</v>
      </c>
      <c r="EX163" s="229" t="s">
        <v>7</v>
      </c>
      <c r="EY163" s="229">
        <f>K163+W163+AI163+AU163+BG163+BS163+CE163+CQ163+DC163+DO163+EA163+EM163</f>
        <v>670</v>
      </c>
    </row>
    <row r="164" spans="1:155" ht="17.100000000000001" customHeight="1" thickBot="1" x14ac:dyDescent="0.25">
      <c r="A164" s="159"/>
      <c r="B164" s="113"/>
      <c r="C164" s="175"/>
      <c r="D164" s="154" t="s">
        <v>16</v>
      </c>
      <c r="E164" s="142"/>
      <c r="F164" s="182">
        <v>18</v>
      </c>
      <c r="G164" s="183"/>
      <c r="I164" s="103"/>
      <c r="J164" s="140"/>
      <c r="K164" s="166"/>
      <c r="M164" s="159"/>
      <c r="N164" s="113"/>
      <c r="O164" s="175"/>
      <c r="P164" s="154" t="s">
        <v>16</v>
      </c>
      <c r="Q164" s="142"/>
      <c r="R164" s="182">
        <v>15</v>
      </c>
      <c r="S164" s="183"/>
      <c r="U164" s="103"/>
      <c r="V164" s="140"/>
      <c r="W164" s="166"/>
      <c r="Y164" s="159"/>
      <c r="Z164" s="113"/>
      <c r="AA164" s="175"/>
      <c r="AB164" s="154" t="s">
        <v>16</v>
      </c>
      <c r="AC164" s="142"/>
      <c r="AD164" s="182">
        <v>12</v>
      </c>
      <c r="AE164" s="183"/>
      <c r="AG164" s="103"/>
      <c r="AH164" s="140"/>
      <c r="AI164" s="166"/>
      <c r="AK164" s="159"/>
      <c r="AL164" s="113"/>
      <c r="AM164" s="175"/>
      <c r="AN164" s="154" t="s">
        <v>16</v>
      </c>
      <c r="AO164" s="142"/>
      <c r="AP164" s="182">
        <v>6</v>
      </c>
      <c r="AQ164" s="183"/>
      <c r="AS164" s="103"/>
      <c r="AT164" s="140"/>
      <c r="AU164" s="166"/>
      <c r="AW164" s="159"/>
      <c r="AX164" s="113"/>
      <c r="AY164" s="175"/>
      <c r="AZ164" s="154" t="s">
        <v>16</v>
      </c>
      <c r="BA164" s="142"/>
      <c r="BB164" s="154">
        <v>8</v>
      </c>
      <c r="BC164" s="142"/>
      <c r="BE164" s="103"/>
      <c r="BF164" s="140"/>
      <c r="BG164" s="166"/>
      <c r="BI164" s="159"/>
      <c r="BJ164" s="113"/>
      <c r="BK164" s="175"/>
      <c r="BL164" s="154" t="s">
        <v>16</v>
      </c>
      <c r="BM164" s="142"/>
      <c r="BN164" s="182">
        <v>13</v>
      </c>
      <c r="BO164" s="183"/>
      <c r="BQ164" s="103"/>
      <c r="BR164" s="140"/>
      <c r="BS164" s="166"/>
      <c r="BU164" s="159"/>
      <c r="BV164" s="113"/>
      <c r="BW164" s="175"/>
      <c r="BX164" s="154" t="s">
        <v>16</v>
      </c>
      <c r="BY164" s="142"/>
      <c r="BZ164" s="182">
        <v>6</v>
      </c>
      <c r="CA164" s="183"/>
      <c r="CC164" s="103"/>
      <c r="CD164" s="140"/>
      <c r="CE164" s="166"/>
      <c r="CG164" s="159"/>
      <c r="CH164" s="113"/>
      <c r="CI164" s="175"/>
      <c r="CJ164" s="154" t="s">
        <v>16</v>
      </c>
      <c r="CK164" s="142"/>
      <c r="CL164" s="154">
        <v>0</v>
      </c>
      <c r="CM164" s="142"/>
      <c r="CO164" s="103"/>
      <c r="CP164" s="140"/>
      <c r="CQ164" s="166"/>
      <c r="CS164" s="159"/>
      <c r="CT164" s="113"/>
      <c r="CU164" s="175"/>
      <c r="CV164" s="154" t="s">
        <v>16</v>
      </c>
      <c r="CW164" s="142"/>
      <c r="CX164" s="154">
        <v>0</v>
      </c>
      <c r="CY164" s="142"/>
      <c r="DA164" s="103"/>
      <c r="DB164" s="140"/>
      <c r="DC164" s="166"/>
      <c r="DD164" s="2"/>
      <c r="DE164" s="159"/>
      <c r="DF164" s="113"/>
      <c r="DG164" s="175"/>
      <c r="DH164" s="154" t="s">
        <v>16</v>
      </c>
      <c r="DI164" s="142"/>
      <c r="DJ164" s="182">
        <v>11</v>
      </c>
      <c r="DK164" s="183"/>
      <c r="DM164" s="103"/>
      <c r="DN164" s="140"/>
      <c r="DO164" s="166"/>
      <c r="DP164" s="2"/>
      <c r="DQ164" s="159"/>
      <c r="DR164" s="113"/>
      <c r="DS164" s="175"/>
      <c r="DT164" s="154" t="s">
        <v>16</v>
      </c>
      <c r="DU164" s="142"/>
      <c r="DV164" s="154">
        <v>0</v>
      </c>
      <c r="DW164" s="142"/>
      <c r="DY164" s="103"/>
      <c r="DZ164" s="140"/>
      <c r="EA164" s="166"/>
      <c r="EC164" s="159"/>
      <c r="ED164" s="113"/>
      <c r="EE164" s="175"/>
      <c r="EF164" s="154" t="s">
        <v>16</v>
      </c>
      <c r="EG164" s="142"/>
      <c r="EH164" s="154">
        <v>0</v>
      </c>
      <c r="EI164" s="142"/>
      <c r="EK164" s="103"/>
      <c r="EL164" s="140"/>
      <c r="EM164" s="166"/>
      <c r="EO164" s="233"/>
      <c r="EP164" s="113"/>
      <c r="EQ164" s="112"/>
      <c r="ER164" s="154" t="s">
        <v>16</v>
      </c>
      <c r="ES164" s="142"/>
      <c r="ET164" s="156">
        <f t="shared" si="12"/>
        <v>89</v>
      </c>
      <c r="EU164" s="157"/>
      <c r="EW164" s="122"/>
      <c r="EX164" s="139"/>
      <c r="EY164" s="237"/>
    </row>
    <row r="165" spans="1:155" ht="17.100000000000001" customHeight="1" thickBot="1" x14ac:dyDescent="0.25">
      <c r="A165" s="159"/>
      <c r="B165" s="125"/>
      <c r="C165" s="176"/>
      <c r="D165" s="177" t="s">
        <v>17</v>
      </c>
      <c r="E165" s="178"/>
      <c r="F165" s="192">
        <v>0</v>
      </c>
      <c r="G165" s="193"/>
      <c r="I165" s="103"/>
      <c r="J165" s="140" t="s">
        <v>11</v>
      </c>
      <c r="K165" s="166">
        <v>50</v>
      </c>
      <c r="M165" s="159"/>
      <c r="N165" s="125"/>
      <c r="O165" s="176"/>
      <c r="P165" s="177" t="s">
        <v>17</v>
      </c>
      <c r="Q165" s="178"/>
      <c r="R165" s="192">
        <v>0</v>
      </c>
      <c r="S165" s="193"/>
      <c r="U165" s="103"/>
      <c r="V165" s="140" t="s">
        <v>11</v>
      </c>
      <c r="W165" s="166">
        <v>120</v>
      </c>
      <c r="Y165" s="159"/>
      <c r="Z165" s="125"/>
      <c r="AA165" s="176"/>
      <c r="AB165" s="177" t="s">
        <v>17</v>
      </c>
      <c r="AC165" s="178"/>
      <c r="AD165" s="192">
        <v>0</v>
      </c>
      <c r="AE165" s="193"/>
      <c r="AG165" s="103"/>
      <c r="AH165" s="140" t="s">
        <v>11</v>
      </c>
      <c r="AI165" s="166">
        <v>109</v>
      </c>
      <c r="AK165" s="159"/>
      <c r="AL165" s="125"/>
      <c r="AM165" s="176"/>
      <c r="AN165" s="177" t="s">
        <v>17</v>
      </c>
      <c r="AO165" s="178"/>
      <c r="AP165" s="192">
        <v>0</v>
      </c>
      <c r="AQ165" s="193"/>
      <c r="AS165" s="103"/>
      <c r="AT165" s="140" t="s">
        <v>11</v>
      </c>
      <c r="AU165" s="166">
        <v>47</v>
      </c>
      <c r="AW165" s="159"/>
      <c r="AX165" s="125"/>
      <c r="AY165" s="176"/>
      <c r="AZ165" s="177" t="s">
        <v>17</v>
      </c>
      <c r="BA165" s="178"/>
      <c r="BB165" s="177">
        <v>0</v>
      </c>
      <c r="BC165" s="178"/>
      <c r="BE165" s="103"/>
      <c r="BF165" s="140" t="s">
        <v>11</v>
      </c>
      <c r="BG165" s="166">
        <v>41</v>
      </c>
      <c r="BI165" s="159"/>
      <c r="BJ165" s="125"/>
      <c r="BK165" s="176"/>
      <c r="BL165" s="177" t="s">
        <v>17</v>
      </c>
      <c r="BM165" s="178"/>
      <c r="BN165" s="192">
        <v>0</v>
      </c>
      <c r="BO165" s="193"/>
      <c r="BQ165" s="103"/>
      <c r="BR165" s="140" t="s">
        <v>11</v>
      </c>
      <c r="BS165" s="166">
        <v>0</v>
      </c>
      <c r="BU165" s="159"/>
      <c r="BV165" s="125"/>
      <c r="BW165" s="176"/>
      <c r="BX165" s="177" t="s">
        <v>17</v>
      </c>
      <c r="BY165" s="178"/>
      <c r="BZ165" s="192">
        <v>0</v>
      </c>
      <c r="CA165" s="193"/>
      <c r="CC165" s="103"/>
      <c r="CD165" s="140" t="s">
        <v>11</v>
      </c>
      <c r="CE165" s="166">
        <v>47</v>
      </c>
      <c r="CG165" s="159"/>
      <c r="CH165" s="125"/>
      <c r="CI165" s="176"/>
      <c r="CJ165" s="177" t="s">
        <v>17</v>
      </c>
      <c r="CK165" s="178"/>
      <c r="CL165" s="177">
        <v>0</v>
      </c>
      <c r="CM165" s="178"/>
      <c r="CO165" s="103"/>
      <c r="CP165" s="140" t="s">
        <v>11</v>
      </c>
      <c r="CQ165" s="166">
        <v>0</v>
      </c>
      <c r="CS165" s="159"/>
      <c r="CT165" s="125"/>
      <c r="CU165" s="176"/>
      <c r="CV165" s="177" t="s">
        <v>17</v>
      </c>
      <c r="CW165" s="178"/>
      <c r="CX165" s="177">
        <v>0</v>
      </c>
      <c r="CY165" s="178"/>
      <c r="DA165" s="103"/>
      <c r="DB165" s="140" t="s">
        <v>11</v>
      </c>
      <c r="DC165" s="166">
        <v>0</v>
      </c>
      <c r="DD165" s="2"/>
      <c r="DE165" s="159"/>
      <c r="DF165" s="125"/>
      <c r="DG165" s="176"/>
      <c r="DH165" s="177" t="s">
        <v>17</v>
      </c>
      <c r="DI165" s="178"/>
      <c r="DJ165" s="192">
        <v>0</v>
      </c>
      <c r="DK165" s="193"/>
      <c r="DM165" s="103"/>
      <c r="DN165" s="140" t="s">
        <v>11</v>
      </c>
      <c r="DO165" s="166">
        <v>0</v>
      </c>
      <c r="DP165" s="2"/>
      <c r="DQ165" s="159"/>
      <c r="DR165" s="125"/>
      <c r="DS165" s="176"/>
      <c r="DT165" s="177" t="s">
        <v>17</v>
      </c>
      <c r="DU165" s="178"/>
      <c r="DV165" s="177">
        <v>0</v>
      </c>
      <c r="DW165" s="178"/>
      <c r="DY165" s="103"/>
      <c r="DZ165" s="140" t="s">
        <v>11</v>
      </c>
      <c r="EA165" s="166">
        <v>0</v>
      </c>
      <c r="EC165" s="159"/>
      <c r="ED165" s="125"/>
      <c r="EE165" s="176"/>
      <c r="EF165" s="177" t="s">
        <v>17</v>
      </c>
      <c r="EG165" s="178"/>
      <c r="EH165" s="177">
        <v>0</v>
      </c>
      <c r="EI165" s="178"/>
      <c r="EK165" s="103"/>
      <c r="EL165" s="140" t="s">
        <v>11</v>
      </c>
      <c r="EM165" s="166">
        <v>0</v>
      </c>
      <c r="EO165" s="233"/>
      <c r="EP165" s="125"/>
      <c r="EQ165" s="126"/>
      <c r="ER165" s="177" t="s">
        <v>17</v>
      </c>
      <c r="ES165" s="178"/>
      <c r="ET165" s="156">
        <f t="shared" si="12"/>
        <v>0</v>
      </c>
      <c r="EU165" s="157"/>
      <c r="EW165" s="122"/>
      <c r="EX165" s="238" t="s">
        <v>11</v>
      </c>
      <c r="EY165" s="229">
        <f>K165+W165+AI165+AU165+BG165+BS165+CE165+CQ165+DC165+DO165+EA165+EM165</f>
        <v>414</v>
      </c>
    </row>
    <row r="166" spans="1:155" ht="17.100000000000001" customHeight="1" thickTop="1" thickBot="1" x14ac:dyDescent="0.25">
      <c r="A166" s="159"/>
      <c r="B166" s="111" t="s">
        <v>18</v>
      </c>
      <c r="C166" s="174"/>
      <c r="D166" s="155" t="s">
        <v>19</v>
      </c>
      <c r="E166" s="141"/>
      <c r="F166" s="190">
        <v>0</v>
      </c>
      <c r="G166" s="191"/>
      <c r="I166" s="103"/>
      <c r="J166" s="144"/>
      <c r="K166" s="180"/>
      <c r="M166" s="159"/>
      <c r="N166" s="111" t="s">
        <v>18</v>
      </c>
      <c r="O166" s="174"/>
      <c r="P166" s="155" t="s">
        <v>19</v>
      </c>
      <c r="Q166" s="141"/>
      <c r="R166" s="190">
        <v>0</v>
      </c>
      <c r="S166" s="191"/>
      <c r="U166" s="103"/>
      <c r="V166" s="144"/>
      <c r="W166" s="180"/>
      <c r="Y166" s="159"/>
      <c r="Z166" s="111" t="s">
        <v>18</v>
      </c>
      <c r="AA166" s="174"/>
      <c r="AB166" s="155" t="s">
        <v>19</v>
      </c>
      <c r="AC166" s="141"/>
      <c r="AD166" s="190">
        <v>0</v>
      </c>
      <c r="AE166" s="191"/>
      <c r="AG166" s="103"/>
      <c r="AH166" s="144"/>
      <c r="AI166" s="180"/>
      <c r="AK166" s="159"/>
      <c r="AL166" s="111" t="s">
        <v>18</v>
      </c>
      <c r="AM166" s="174"/>
      <c r="AN166" s="155" t="s">
        <v>19</v>
      </c>
      <c r="AO166" s="141"/>
      <c r="AP166" s="190">
        <v>0</v>
      </c>
      <c r="AQ166" s="191"/>
      <c r="AS166" s="103"/>
      <c r="AT166" s="144"/>
      <c r="AU166" s="180"/>
      <c r="AW166" s="159"/>
      <c r="AX166" s="111" t="s">
        <v>18</v>
      </c>
      <c r="AY166" s="174"/>
      <c r="AZ166" s="155" t="s">
        <v>19</v>
      </c>
      <c r="BA166" s="141"/>
      <c r="BB166" s="155">
        <v>0</v>
      </c>
      <c r="BC166" s="141"/>
      <c r="BE166" s="103"/>
      <c r="BF166" s="144"/>
      <c r="BG166" s="180"/>
      <c r="BI166" s="159"/>
      <c r="BJ166" s="111" t="s">
        <v>18</v>
      </c>
      <c r="BK166" s="174"/>
      <c r="BL166" s="155" t="s">
        <v>19</v>
      </c>
      <c r="BM166" s="141"/>
      <c r="BN166" s="190">
        <v>0</v>
      </c>
      <c r="BO166" s="191"/>
      <c r="BQ166" s="103"/>
      <c r="BR166" s="144"/>
      <c r="BS166" s="180"/>
      <c r="BU166" s="159"/>
      <c r="BV166" s="111" t="s">
        <v>18</v>
      </c>
      <c r="BW166" s="174"/>
      <c r="BX166" s="155" t="s">
        <v>19</v>
      </c>
      <c r="BY166" s="141"/>
      <c r="BZ166" s="190">
        <v>0</v>
      </c>
      <c r="CA166" s="191"/>
      <c r="CC166" s="103"/>
      <c r="CD166" s="144"/>
      <c r="CE166" s="180"/>
      <c r="CG166" s="159"/>
      <c r="CH166" s="111" t="s">
        <v>18</v>
      </c>
      <c r="CI166" s="174"/>
      <c r="CJ166" s="155" t="s">
        <v>19</v>
      </c>
      <c r="CK166" s="141"/>
      <c r="CL166" s="155">
        <v>0</v>
      </c>
      <c r="CM166" s="141"/>
      <c r="CO166" s="103"/>
      <c r="CP166" s="144"/>
      <c r="CQ166" s="180"/>
      <c r="CS166" s="159"/>
      <c r="CT166" s="111" t="s">
        <v>18</v>
      </c>
      <c r="CU166" s="174"/>
      <c r="CV166" s="155" t="s">
        <v>19</v>
      </c>
      <c r="CW166" s="141"/>
      <c r="CX166" s="155">
        <v>0</v>
      </c>
      <c r="CY166" s="141"/>
      <c r="DA166" s="103"/>
      <c r="DB166" s="144"/>
      <c r="DC166" s="180"/>
      <c r="DD166" s="2"/>
      <c r="DE166" s="159"/>
      <c r="DF166" s="111" t="s">
        <v>18</v>
      </c>
      <c r="DG166" s="174"/>
      <c r="DH166" s="155" t="s">
        <v>19</v>
      </c>
      <c r="DI166" s="141"/>
      <c r="DJ166" s="190">
        <v>0</v>
      </c>
      <c r="DK166" s="191"/>
      <c r="DM166" s="103"/>
      <c r="DN166" s="144"/>
      <c r="DO166" s="180"/>
      <c r="DP166" s="2"/>
      <c r="DQ166" s="159"/>
      <c r="DR166" s="111" t="s">
        <v>18</v>
      </c>
      <c r="DS166" s="174"/>
      <c r="DT166" s="155" t="s">
        <v>19</v>
      </c>
      <c r="DU166" s="141"/>
      <c r="DV166" s="155">
        <v>0</v>
      </c>
      <c r="DW166" s="141"/>
      <c r="DY166" s="103"/>
      <c r="DZ166" s="144"/>
      <c r="EA166" s="180"/>
      <c r="EC166" s="159"/>
      <c r="ED166" s="111" t="s">
        <v>18</v>
      </c>
      <c r="EE166" s="174"/>
      <c r="EF166" s="155" t="s">
        <v>19</v>
      </c>
      <c r="EG166" s="141"/>
      <c r="EH166" s="155">
        <v>0</v>
      </c>
      <c r="EI166" s="141"/>
      <c r="EK166" s="103"/>
      <c r="EL166" s="144"/>
      <c r="EM166" s="180"/>
      <c r="EO166" s="233"/>
      <c r="EP166" s="111" t="s">
        <v>18</v>
      </c>
      <c r="EQ166" s="124"/>
      <c r="ER166" s="155" t="s">
        <v>19</v>
      </c>
      <c r="ES166" s="141"/>
      <c r="ET166" s="156">
        <f t="shared" si="12"/>
        <v>0</v>
      </c>
      <c r="EU166" s="157"/>
      <c r="EW166" s="123"/>
      <c r="EX166" s="237"/>
      <c r="EY166" s="139"/>
    </row>
    <row r="167" spans="1:155" ht="17.100000000000001" customHeight="1" thickBot="1" x14ac:dyDescent="0.25">
      <c r="A167" s="159"/>
      <c r="B167" s="125"/>
      <c r="C167" s="176"/>
      <c r="D167" s="177" t="s">
        <v>20</v>
      </c>
      <c r="E167" s="178"/>
      <c r="F167" s="192">
        <v>0</v>
      </c>
      <c r="G167" s="193"/>
      <c r="I167" s="167" t="s">
        <v>21</v>
      </c>
      <c r="J167" s="168"/>
      <c r="K167" s="172">
        <f>SUM(K159:K166)</f>
        <v>381</v>
      </c>
      <c r="M167" s="159"/>
      <c r="N167" s="125"/>
      <c r="O167" s="176"/>
      <c r="P167" s="177" t="s">
        <v>20</v>
      </c>
      <c r="Q167" s="178"/>
      <c r="R167" s="192">
        <v>0</v>
      </c>
      <c r="S167" s="193"/>
      <c r="U167" s="167" t="s">
        <v>21</v>
      </c>
      <c r="V167" s="168"/>
      <c r="W167" s="172">
        <f>SUM(W159:W166)</f>
        <v>527</v>
      </c>
      <c r="Y167" s="159"/>
      <c r="Z167" s="125"/>
      <c r="AA167" s="176"/>
      <c r="AB167" s="177" t="s">
        <v>20</v>
      </c>
      <c r="AC167" s="178"/>
      <c r="AD167" s="192">
        <v>0</v>
      </c>
      <c r="AE167" s="193"/>
      <c r="AG167" s="167" t="s">
        <v>21</v>
      </c>
      <c r="AH167" s="168"/>
      <c r="AI167" s="172">
        <f>SUM(AI159:AI166)</f>
        <v>517</v>
      </c>
      <c r="AK167" s="159"/>
      <c r="AL167" s="125"/>
      <c r="AM167" s="176"/>
      <c r="AN167" s="177" t="s">
        <v>20</v>
      </c>
      <c r="AO167" s="178"/>
      <c r="AP167" s="192">
        <v>0</v>
      </c>
      <c r="AQ167" s="193"/>
      <c r="AS167" s="167" t="s">
        <v>21</v>
      </c>
      <c r="AT167" s="168"/>
      <c r="AU167" s="172">
        <f>SUM(AU159:AU166)</f>
        <v>434</v>
      </c>
      <c r="AW167" s="159"/>
      <c r="AX167" s="125"/>
      <c r="AY167" s="176"/>
      <c r="AZ167" s="177" t="s">
        <v>20</v>
      </c>
      <c r="BA167" s="178"/>
      <c r="BB167" s="177">
        <v>0</v>
      </c>
      <c r="BC167" s="178"/>
      <c r="BE167" s="167" t="s">
        <v>21</v>
      </c>
      <c r="BF167" s="168"/>
      <c r="BG167" s="172">
        <f>SUM(BG159:BG166)</f>
        <v>472</v>
      </c>
      <c r="BI167" s="159"/>
      <c r="BJ167" s="125"/>
      <c r="BK167" s="176"/>
      <c r="BL167" s="177" t="s">
        <v>20</v>
      </c>
      <c r="BM167" s="178"/>
      <c r="BN167" s="192">
        <v>0</v>
      </c>
      <c r="BO167" s="193"/>
      <c r="BQ167" s="167" t="s">
        <v>21</v>
      </c>
      <c r="BR167" s="168"/>
      <c r="BS167" s="172">
        <f>SUM(BS159:BS166)</f>
        <v>247</v>
      </c>
      <c r="BU167" s="159"/>
      <c r="BV167" s="125"/>
      <c r="BW167" s="176"/>
      <c r="BX167" s="177" t="s">
        <v>20</v>
      </c>
      <c r="BY167" s="178"/>
      <c r="BZ167" s="192">
        <v>0</v>
      </c>
      <c r="CA167" s="193"/>
      <c r="CC167" s="167" t="s">
        <v>21</v>
      </c>
      <c r="CD167" s="168"/>
      <c r="CE167" s="172">
        <f>SUM(CE159:CE166)</f>
        <v>434</v>
      </c>
      <c r="CG167" s="159"/>
      <c r="CH167" s="125"/>
      <c r="CI167" s="176"/>
      <c r="CJ167" s="177" t="s">
        <v>20</v>
      </c>
      <c r="CK167" s="178"/>
      <c r="CL167" s="177">
        <v>0</v>
      </c>
      <c r="CM167" s="178"/>
      <c r="CO167" s="167" t="s">
        <v>21</v>
      </c>
      <c r="CP167" s="168"/>
      <c r="CQ167" s="172">
        <f>SUM(CQ159:CQ166)</f>
        <v>0</v>
      </c>
      <c r="CS167" s="159"/>
      <c r="CT167" s="125"/>
      <c r="CU167" s="176"/>
      <c r="CV167" s="177" t="s">
        <v>20</v>
      </c>
      <c r="CW167" s="178"/>
      <c r="CX167" s="177">
        <v>0</v>
      </c>
      <c r="CY167" s="178"/>
      <c r="DA167" s="167" t="s">
        <v>21</v>
      </c>
      <c r="DB167" s="168"/>
      <c r="DC167" s="172">
        <f>SUM(DC159:DC166)</f>
        <v>0</v>
      </c>
      <c r="DD167" s="2"/>
      <c r="DE167" s="159"/>
      <c r="DF167" s="125"/>
      <c r="DG167" s="176"/>
      <c r="DH167" s="177" t="s">
        <v>20</v>
      </c>
      <c r="DI167" s="178"/>
      <c r="DJ167" s="192">
        <v>0</v>
      </c>
      <c r="DK167" s="193"/>
      <c r="DM167" s="167" t="s">
        <v>21</v>
      </c>
      <c r="DN167" s="168"/>
      <c r="DO167" s="172">
        <f>SUM(DO159:DO166)</f>
        <v>456</v>
      </c>
      <c r="DP167" s="2"/>
      <c r="DQ167" s="159"/>
      <c r="DR167" s="125"/>
      <c r="DS167" s="176"/>
      <c r="DT167" s="177" t="s">
        <v>20</v>
      </c>
      <c r="DU167" s="178"/>
      <c r="DV167" s="177">
        <v>0</v>
      </c>
      <c r="DW167" s="178"/>
      <c r="DY167" s="167" t="s">
        <v>21</v>
      </c>
      <c r="DZ167" s="168"/>
      <c r="EA167" s="172">
        <f>SUM(EA159:EA166)</f>
        <v>0</v>
      </c>
      <c r="EC167" s="159"/>
      <c r="ED167" s="125"/>
      <c r="EE167" s="176"/>
      <c r="EF167" s="177" t="s">
        <v>20</v>
      </c>
      <c r="EG167" s="178"/>
      <c r="EH167" s="177">
        <v>0</v>
      </c>
      <c r="EI167" s="178"/>
      <c r="EK167" s="167" t="s">
        <v>21</v>
      </c>
      <c r="EL167" s="168"/>
      <c r="EM167" s="172">
        <f>SUM(EM159:EM166)</f>
        <v>0</v>
      </c>
      <c r="EO167" s="233"/>
      <c r="EP167" s="125"/>
      <c r="EQ167" s="126"/>
      <c r="ER167" s="177" t="s">
        <v>20</v>
      </c>
      <c r="ES167" s="178"/>
      <c r="ET167" s="156">
        <f t="shared" si="12"/>
        <v>0</v>
      </c>
      <c r="EU167" s="157"/>
      <c r="EW167" s="167" t="s">
        <v>21</v>
      </c>
      <c r="EX167" s="239"/>
      <c r="EY167" s="240">
        <f>SUM(EY159:EY166)</f>
        <v>3468</v>
      </c>
    </row>
    <row r="168" spans="1:155" ht="17.100000000000001" customHeight="1" thickTop="1" thickBot="1" x14ac:dyDescent="0.25">
      <c r="A168" s="159"/>
      <c r="B168" s="111" t="s">
        <v>22</v>
      </c>
      <c r="C168" s="174"/>
      <c r="D168" s="155" t="s">
        <v>23</v>
      </c>
      <c r="E168" s="141"/>
      <c r="F168" s="190">
        <v>18</v>
      </c>
      <c r="G168" s="191"/>
      <c r="I168" s="169"/>
      <c r="J168" s="168"/>
      <c r="K168" s="172"/>
      <c r="M168" s="159"/>
      <c r="N168" s="111" t="s">
        <v>22</v>
      </c>
      <c r="O168" s="174"/>
      <c r="P168" s="155" t="s">
        <v>23</v>
      </c>
      <c r="Q168" s="141"/>
      <c r="R168" s="190">
        <v>39</v>
      </c>
      <c r="S168" s="191"/>
      <c r="U168" s="169"/>
      <c r="V168" s="168"/>
      <c r="W168" s="172"/>
      <c r="Y168" s="159"/>
      <c r="Z168" s="111" t="s">
        <v>22</v>
      </c>
      <c r="AA168" s="174"/>
      <c r="AB168" s="155" t="s">
        <v>23</v>
      </c>
      <c r="AC168" s="141"/>
      <c r="AD168" s="190">
        <v>46</v>
      </c>
      <c r="AE168" s="191"/>
      <c r="AG168" s="169"/>
      <c r="AH168" s="168"/>
      <c r="AI168" s="172"/>
      <c r="AK168" s="159"/>
      <c r="AL168" s="111" t="s">
        <v>22</v>
      </c>
      <c r="AM168" s="174"/>
      <c r="AN168" s="155" t="s">
        <v>23</v>
      </c>
      <c r="AO168" s="141"/>
      <c r="AP168" s="190">
        <v>16</v>
      </c>
      <c r="AQ168" s="191"/>
      <c r="AS168" s="169"/>
      <c r="AT168" s="168"/>
      <c r="AU168" s="172"/>
      <c r="AW168" s="159"/>
      <c r="AX168" s="111" t="s">
        <v>22</v>
      </c>
      <c r="AY168" s="174"/>
      <c r="AZ168" s="155" t="s">
        <v>23</v>
      </c>
      <c r="BA168" s="141"/>
      <c r="BB168" s="155">
        <v>18</v>
      </c>
      <c r="BC168" s="141"/>
      <c r="BE168" s="169"/>
      <c r="BF168" s="168"/>
      <c r="BG168" s="172"/>
      <c r="BI168" s="159"/>
      <c r="BJ168" s="111" t="s">
        <v>22</v>
      </c>
      <c r="BK168" s="174"/>
      <c r="BL168" s="155" t="s">
        <v>23</v>
      </c>
      <c r="BM168" s="141"/>
      <c r="BN168" s="190">
        <v>22</v>
      </c>
      <c r="BO168" s="191"/>
      <c r="BQ168" s="169"/>
      <c r="BR168" s="168"/>
      <c r="BS168" s="172"/>
      <c r="BU168" s="159"/>
      <c r="BV168" s="111" t="s">
        <v>22</v>
      </c>
      <c r="BW168" s="174"/>
      <c r="BX168" s="155" t="s">
        <v>23</v>
      </c>
      <c r="BY168" s="141"/>
      <c r="BZ168" s="190">
        <v>16</v>
      </c>
      <c r="CA168" s="191"/>
      <c r="CC168" s="169"/>
      <c r="CD168" s="168"/>
      <c r="CE168" s="172"/>
      <c r="CG168" s="159"/>
      <c r="CH168" s="111" t="s">
        <v>22</v>
      </c>
      <c r="CI168" s="174"/>
      <c r="CJ168" s="155" t="s">
        <v>23</v>
      </c>
      <c r="CK168" s="141"/>
      <c r="CL168" s="155">
        <v>0</v>
      </c>
      <c r="CM168" s="141"/>
      <c r="CO168" s="169"/>
      <c r="CP168" s="168"/>
      <c r="CQ168" s="172"/>
      <c r="CS168" s="159"/>
      <c r="CT168" s="111" t="s">
        <v>22</v>
      </c>
      <c r="CU168" s="174"/>
      <c r="CV168" s="155" t="s">
        <v>23</v>
      </c>
      <c r="CW168" s="141"/>
      <c r="CX168" s="155">
        <v>0</v>
      </c>
      <c r="CY168" s="141"/>
      <c r="DA168" s="169"/>
      <c r="DB168" s="168"/>
      <c r="DC168" s="172"/>
      <c r="DD168" s="2"/>
      <c r="DE168" s="159"/>
      <c r="DF168" s="111" t="s">
        <v>22</v>
      </c>
      <c r="DG168" s="174"/>
      <c r="DH168" s="155" t="s">
        <v>23</v>
      </c>
      <c r="DI168" s="141"/>
      <c r="DJ168" s="190">
        <v>0</v>
      </c>
      <c r="DK168" s="191"/>
      <c r="DM168" s="169"/>
      <c r="DN168" s="168"/>
      <c r="DO168" s="172"/>
      <c r="DP168" s="2"/>
      <c r="DQ168" s="159"/>
      <c r="DR168" s="111" t="s">
        <v>22</v>
      </c>
      <c r="DS168" s="174"/>
      <c r="DT168" s="155" t="s">
        <v>23</v>
      </c>
      <c r="DU168" s="141"/>
      <c r="DV168" s="155">
        <v>0</v>
      </c>
      <c r="DW168" s="141"/>
      <c r="DY168" s="169"/>
      <c r="DZ168" s="168"/>
      <c r="EA168" s="172"/>
      <c r="EC168" s="159"/>
      <c r="ED168" s="111" t="s">
        <v>22</v>
      </c>
      <c r="EE168" s="174"/>
      <c r="EF168" s="155" t="s">
        <v>23</v>
      </c>
      <c r="EG168" s="141"/>
      <c r="EH168" s="155">
        <v>0</v>
      </c>
      <c r="EI168" s="141"/>
      <c r="EK168" s="169"/>
      <c r="EL168" s="168"/>
      <c r="EM168" s="172"/>
      <c r="EO168" s="233"/>
      <c r="EP168" s="111" t="s">
        <v>22</v>
      </c>
      <c r="EQ168" s="124"/>
      <c r="ER168" s="155" t="s">
        <v>23</v>
      </c>
      <c r="ES168" s="141"/>
      <c r="ET168" s="156">
        <f t="shared" si="12"/>
        <v>175</v>
      </c>
      <c r="EU168" s="157"/>
      <c r="EW168" s="169"/>
      <c r="EX168" s="168"/>
      <c r="EY168" s="172"/>
    </row>
    <row r="169" spans="1:155" ht="17.100000000000001" customHeight="1" thickBot="1" x14ac:dyDescent="0.25">
      <c r="A169" s="159"/>
      <c r="B169" s="113"/>
      <c r="C169" s="175"/>
      <c r="D169" s="154" t="s">
        <v>24</v>
      </c>
      <c r="E169" s="142"/>
      <c r="F169" s="182">
        <v>0</v>
      </c>
      <c r="G169" s="183"/>
      <c r="I169" s="170"/>
      <c r="J169" s="171"/>
      <c r="K169" s="173"/>
      <c r="M169" s="159"/>
      <c r="N169" s="113"/>
      <c r="O169" s="175"/>
      <c r="P169" s="154" t="s">
        <v>24</v>
      </c>
      <c r="Q169" s="142"/>
      <c r="R169" s="182">
        <v>0</v>
      </c>
      <c r="S169" s="183"/>
      <c r="U169" s="170"/>
      <c r="V169" s="171"/>
      <c r="W169" s="173"/>
      <c r="Y169" s="159"/>
      <c r="Z169" s="113"/>
      <c r="AA169" s="175"/>
      <c r="AB169" s="154" t="s">
        <v>24</v>
      </c>
      <c r="AC169" s="142"/>
      <c r="AD169" s="182">
        <v>0</v>
      </c>
      <c r="AE169" s="183"/>
      <c r="AG169" s="170"/>
      <c r="AH169" s="171"/>
      <c r="AI169" s="173"/>
      <c r="AK169" s="159"/>
      <c r="AL169" s="113"/>
      <c r="AM169" s="175"/>
      <c r="AN169" s="154" t="s">
        <v>24</v>
      </c>
      <c r="AO169" s="142"/>
      <c r="AP169" s="182">
        <v>0</v>
      </c>
      <c r="AQ169" s="183"/>
      <c r="AS169" s="170"/>
      <c r="AT169" s="171"/>
      <c r="AU169" s="173"/>
      <c r="AW169" s="159"/>
      <c r="AX169" s="113"/>
      <c r="AY169" s="175"/>
      <c r="AZ169" s="154" t="s">
        <v>24</v>
      </c>
      <c r="BA169" s="142"/>
      <c r="BB169" s="154">
        <v>0</v>
      </c>
      <c r="BC169" s="142"/>
      <c r="BE169" s="170"/>
      <c r="BF169" s="171"/>
      <c r="BG169" s="173"/>
      <c r="BI169" s="159"/>
      <c r="BJ169" s="113"/>
      <c r="BK169" s="175"/>
      <c r="BL169" s="154" t="s">
        <v>24</v>
      </c>
      <c r="BM169" s="142"/>
      <c r="BN169" s="182">
        <v>0</v>
      </c>
      <c r="BO169" s="183"/>
      <c r="BQ169" s="170"/>
      <c r="BR169" s="171"/>
      <c r="BS169" s="173"/>
      <c r="BU169" s="159"/>
      <c r="BV169" s="113"/>
      <c r="BW169" s="175"/>
      <c r="BX169" s="154" t="s">
        <v>24</v>
      </c>
      <c r="BY169" s="142"/>
      <c r="BZ169" s="182">
        <v>0</v>
      </c>
      <c r="CA169" s="183"/>
      <c r="CC169" s="170"/>
      <c r="CD169" s="171"/>
      <c r="CE169" s="173"/>
      <c r="CG169" s="159"/>
      <c r="CH169" s="113"/>
      <c r="CI169" s="175"/>
      <c r="CJ169" s="154" t="s">
        <v>24</v>
      </c>
      <c r="CK169" s="142"/>
      <c r="CL169" s="154">
        <v>0</v>
      </c>
      <c r="CM169" s="142"/>
      <c r="CO169" s="170"/>
      <c r="CP169" s="171"/>
      <c r="CQ169" s="173"/>
      <c r="CS169" s="159"/>
      <c r="CT169" s="113"/>
      <c r="CU169" s="175"/>
      <c r="CV169" s="154" t="s">
        <v>24</v>
      </c>
      <c r="CW169" s="142"/>
      <c r="CX169" s="154">
        <v>0</v>
      </c>
      <c r="CY169" s="142"/>
      <c r="DA169" s="170"/>
      <c r="DB169" s="171"/>
      <c r="DC169" s="173"/>
      <c r="DD169" s="2"/>
      <c r="DE169" s="159"/>
      <c r="DF169" s="113"/>
      <c r="DG169" s="175"/>
      <c r="DH169" s="154" t="s">
        <v>24</v>
      </c>
      <c r="DI169" s="142"/>
      <c r="DJ169" s="182">
        <v>0</v>
      </c>
      <c r="DK169" s="183"/>
      <c r="DM169" s="170"/>
      <c r="DN169" s="171"/>
      <c r="DO169" s="173"/>
      <c r="DP169" s="2"/>
      <c r="DQ169" s="159"/>
      <c r="DR169" s="113"/>
      <c r="DS169" s="175"/>
      <c r="DT169" s="154" t="s">
        <v>24</v>
      </c>
      <c r="DU169" s="142"/>
      <c r="DV169" s="154">
        <v>0</v>
      </c>
      <c r="DW169" s="142"/>
      <c r="DY169" s="170"/>
      <c r="DZ169" s="171"/>
      <c r="EA169" s="173"/>
      <c r="EC169" s="159"/>
      <c r="ED169" s="113"/>
      <c r="EE169" s="175"/>
      <c r="EF169" s="154" t="s">
        <v>24</v>
      </c>
      <c r="EG169" s="142"/>
      <c r="EH169" s="154">
        <v>0</v>
      </c>
      <c r="EI169" s="142"/>
      <c r="EK169" s="170"/>
      <c r="EL169" s="171"/>
      <c r="EM169" s="173"/>
      <c r="EO169" s="233"/>
      <c r="EP169" s="113"/>
      <c r="EQ169" s="112"/>
      <c r="ER169" s="154" t="s">
        <v>24</v>
      </c>
      <c r="ES169" s="142"/>
      <c r="ET169" s="156">
        <f t="shared" si="12"/>
        <v>0</v>
      </c>
      <c r="EU169" s="157"/>
      <c r="EW169" s="170"/>
      <c r="EX169" s="171"/>
      <c r="EY169" s="173"/>
    </row>
    <row r="170" spans="1:155" ht="17.100000000000001" customHeight="1" thickBot="1" x14ac:dyDescent="0.25">
      <c r="A170" s="159"/>
      <c r="B170" s="113"/>
      <c r="C170" s="175"/>
      <c r="D170" s="154" t="s">
        <v>25</v>
      </c>
      <c r="E170" s="142"/>
      <c r="F170" s="182">
        <v>75</v>
      </c>
      <c r="G170" s="183"/>
      <c r="I170" s="111" t="s">
        <v>26</v>
      </c>
      <c r="J170" s="124"/>
      <c r="K170" s="162">
        <v>381</v>
      </c>
      <c r="M170" s="159"/>
      <c r="N170" s="113"/>
      <c r="O170" s="175"/>
      <c r="P170" s="154" t="s">
        <v>25</v>
      </c>
      <c r="Q170" s="142"/>
      <c r="R170" s="182">
        <v>104</v>
      </c>
      <c r="S170" s="183"/>
      <c r="U170" s="111" t="s">
        <v>26</v>
      </c>
      <c r="V170" s="124"/>
      <c r="W170" s="162">
        <v>527</v>
      </c>
      <c r="Y170" s="159"/>
      <c r="Z170" s="113"/>
      <c r="AA170" s="175"/>
      <c r="AB170" s="154" t="s">
        <v>25</v>
      </c>
      <c r="AC170" s="142"/>
      <c r="AD170" s="182">
        <v>114</v>
      </c>
      <c r="AE170" s="183"/>
      <c r="AG170" s="111" t="s">
        <v>26</v>
      </c>
      <c r="AH170" s="124"/>
      <c r="AI170" s="162">
        <v>517</v>
      </c>
      <c r="AK170" s="159"/>
      <c r="AL170" s="113"/>
      <c r="AM170" s="175"/>
      <c r="AN170" s="154" t="s">
        <v>25</v>
      </c>
      <c r="AO170" s="142"/>
      <c r="AP170" s="182">
        <v>132</v>
      </c>
      <c r="AQ170" s="183"/>
      <c r="AS170" s="111" t="s">
        <v>26</v>
      </c>
      <c r="AT170" s="124"/>
      <c r="AU170" s="162">
        <v>434</v>
      </c>
      <c r="AW170" s="159"/>
      <c r="AX170" s="113"/>
      <c r="AY170" s="175"/>
      <c r="AZ170" s="154" t="s">
        <v>25</v>
      </c>
      <c r="BA170" s="142"/>
      <c r="BB170" s="154">
        <v>121</v>
      </c>
      <c r="BC170" s="142"/>
      <c r="BE170" s="111" t="s">
        <v>26</v>
      </c>
      <c r="BF170" s="124"/>
      <c r="BG170" s="162">
        <v>472</v>
      </c>
      <c r="BI170" s="159"/>
      <c r="BJ170" s="113"/>
      <c r="BK170" s="175"/>
      <c r="BL170" s="154" t="s">
        <v>25</v>
      </c>
      <c r="BM170" s="142"/>
      <c r="BN170" s="182">
        <v>43</v>
      </c>
      <c r="BO170" s="183"/>
      <c r="BQ170" s="111" t="s">
        <v>26</v>
      </c>
      <c r="BR170" s="124"/>
      <c r="BS170" s="162">
        <v>247</v>
      </c>
      <c r="BU170" s="159"/>
      <c r="BV170" s="113"/>
      <c r="BW170" s="175"/>
      <c r="BX170" s="154" t="s">
        <v>25</v>
      </c>
      <c r="BY170" s="142"/>
      <c r="BZ170" s="182">
        <v>132</v>
      </c>
      <c r="CA170" s="183"/>
      <c r="CC170" s="111" t="s">
        <v>26</v>
      </c>
      <c r="CD170" s="124"/>
      <c r="CE170" s="162">
        <v>434</v>
      </c>
      <c r="CG170" s="159"/>
      <c r="CH170" s="113"/>
      <c r="CI170" s="175"/>
      <c r="CJ170" s="154" t="s">
        <v>25</v>
      </c>
      <c r="CK170" s="142"/>
      <c r="CL170" s="154">
        <v>0</v>
      </c>
      <c r="CM170" s="142"/>
      <c r="CO170" s="111" t="s">
        <v>26</v>
      </c>
      <c r="CP170" s="124"/>
      <c r="CQ170" s="162">
        <v>0</v>
      </c>
      <c r="CS170" s="159"/>
      <c r="CT170" s="113"/>
      <c r="CU170" s="175"/>
      <c r="CV170" s="154" t="s">
        <v>25</v>
      </c>
      <c r="CW170" s="142"/>
      <c r="CX170" s="154">
        <v>0</v>
      </c>
      <c r="CY170" s="142"/>
      <c r="DA170" s="111" t="s">
        <v>26</v>
      </c>
      <c r="DB170" s="124"/>
      <c r="DC170" s="162">
        <v>0</v>
      </c>
      <c r="DD170" s="2"/>
      <c r="DE170" s="159"/>
      <c r="DF170" s="113"/>
      <c r="DG170" s="175"/>
      <c r="DH170" s="154" t="s">
        <v>25</v>
      </c>
      <c r="DI170" s="142"/>
      <c r="DJ170" s="182">
        <v>90</v>
      </c>
      <c r="DK170" s="183"/>
      <c r="DM170" s="111" t="s">
        <v>26</v>
      </c>
      <c r="DN170" s="124"/>
      <c r="DO170" s="162">
        <v>456</v>
      </c>
      <c r="DP170" s="2"/>
      <c r="DQ170" s="159"/>
      <c r="DR170" s="113"/>
      <c r="DS170" s="175"/>
      <c r="DT170" s="154" t="s">
        <v>25</v>
      </c>
      <c r="DU170" s="142"/>
      <c r="DV170" s="154">
        <v>0</v>
      </c>
      <c r="DW170" s="142"/>
      <c r="DY170" s="111" t="s">
        <v>26</v>
      </c>
      <c r="DZ170" s="124"/>
      <c r="EA170" s="162">
        <v>0</v>
      </c>
      <c r="EC170" s="159"/>
      <c r="ED170" s="113"/>
      <c r="EE170" s="175"/>
      <c r="EF170" s="154" t="s">
        <v>25</v>
      </c>
      <c r="EG170" s="142"/>
      <c r="EH170" s="154">
        <v>0</v>
      </c>
      <c r="EI170" s="142"/>
      <c r="EK170" s="111" t="s">
        <v>26</v>
      </c>
      <c r="EL170" s="124"/>
      <c r="EM170" s="162">
        <v>0</v>
      </c>
      <c r="EO170" s="233"/>
      <c r="EP170" s="113"/>
      <c r="EQ170" s="112"/>
      <c r="ER170" s="154" t="s">
        <v>25</v>
      </c>
      <c r="ES170" s="142"/>
      <c r="ET170" s="156">
        <f t="shared" si="12"/>
        <v>811</v>
      </c>
      <c r="EU170" s="157"/>
      <c r="EW170" s="111" t="s">
        <v>26</v>
      </c>
      <c r="EX170" s="124"/>
      <c r="EY170" s="162">
        <f>K170+W170+AI170+AU170+BG170+BS170+CE170+CQ170+DC170+DO170+EA170+EM170</f>
        <v>3468</v>
      </c>
    </row>
    <row r="171" spans="1:155" ht="17.100000000000001" customHeight="1" thickBot="1" x14ac:dyDescent="0.25">
      <c r="A171" s="159"/>
      <c r="B171" s="125"/>
      <c r="C171" s="176"/>
      <c r="D171" s="177" t="s">
        <v>27</v>
      </c>
      <c r="E171" s="178"/>
      <c r="F171" s="192">
        <v>30</v>
      </c>
      <c r="G171" s="193"/>
      <c r="I171" s="113"/>
      <c r="J171" s="112"/>
      <c r="K171" s="163"/>
      <c r="M171" s="159"/>
      <c r="N171" s="125"/>
      <c r="O171" s="176"/>
      <c r="P171" s="177" t="s">
        <v>27</v>
      </c>
      <c r="Q171" s="178"/>
      <c r="R171" s="192">
        <v>72</v>
      </c>
      <c r="S171" s="193"/>
      <c r="U171" s="113"/>
      <c r="V171" s="112"/>
      <c r="W171" s="163"/>
      <c r="Y171" s="159"/>
      <c r="Z171" s="125"/>
      <c r="AA171" s="176"/>
      <c r="AB171" s="177" t="s">
        <v>27</v>
      </c>
      <c r="AC171" s="178"/>
      <c r="AD171" s="192">
        <v>78</v>
      </c>
      <c r="AE171" s="193"/>
      <c r="AG171" s="113"/>
      <c r="AH171" s="112"/>
      <c r="AI171" s="163"/>
      <c r="AK171" s="159"/>
      <c r="AL171" s="125"/>
      <c r="AM171" s="176"/>
      <c r="AN171" s="177" t="s">
        <v>27</v>
      </c>
      <c r="AO171" s="178"/>
      <c r="AP171" s="192">
        <v>40</v>
      </c>
      <c r="AQ171" s="193"/>
      <c r="AS171" s="113"/>
      <c r="AT171" s="112"/>
      <c r="AU171" s="163"/>
      <c r="AW171" s="159"/>
      <c r="AX171" s="125"/>
      <c r="AY171" s="176"/>
      <c r="AZ171" s="177" t="s">
        <v>27</v>
      </c>
      <c r="BA171" s="178"/>
      <c r="BB171" s="177">
        <v>40</v>
      </c>
      <c r="BC171" s="178"/>
      <c r="BE171" s="113"/>
      <c r="BF171" s="112"/>
      <c r="BG171" s="163"/>
      <c r="BI171" s="159"/>
      <c r="BJ171" s="125"/>
      <c r="BK171" s="176"/>
      <c r="BL171" s="177" t="s">
        <v>27</v>
      </c>
      <c r="BM171" s="178"/>
      <c r="BN171" s="192">
        <v>25</v>
      </c>
      <c r="BO171" s="193"/>
      <c r="BQ171" s="113"/>
      <c r="BR171" s="112"/>
      <c r="BS171" s="163"/>
      <c r="BU171" s="159"/>
      <c r="BV171" s="125"/>
      <c r="BW171" s="176"/>
      <c r="BX171" s="177" t="s">
        <v>27</v>
      </c>
      <c r="BY171" s="178"/>
      <c r="BZ171" s="192">
        <v>40</v>
      </c>
      <c r="CA171" s="193"/>
      <c r="CC171" s="113"/>
      <c r="CD171" s="112"/>
      <c r="CE171" s="163"/>
      <c r="CG171" s="159"/>
      <c r="CH171" s="125"/>
      <c r="CI171" s="176"/>
      <c r="CJ171" s="177" t="s">
        <v>27</v>
      </c>
      <c r="CK171" s="178"/>
      <c r="CL171" s="177">
        <v>0</v>
      </c>
      <c r="CM171" s="178"/>
      <c r="CO171" s="113"/>
      <c r="CP171" s="112"/>
      <c r="CQ171" s="163"/>
      <c r="CS171" s="159"/>
      <c r="CT171" s="125"/>
      <c r="CU171" s="176"/>
      <c r="CV171" s="177" t="s">
        <v>27</v>
      </c>
      <c r="CW171" s="178"/>
      <c r="CX171" s="177">
        <v>0</v>
      </c>
      <c r="CY171" s="178"/>
      <c r="DA171" s="113"/>
      <c r="DB171" s="112"/>
      <c r="DC171" s="163"/>
      <c r="DD171" s="2"/>
      <c r="DE171" s="159"/>
      <c r="DF171" s="125"/>
      <c r="DG171" s="176"/>
      <c r="DH171" s="177" t="s">
        <v>27</v>
      </c>
      <c r="DI171" s="178"/>
      <c r="DJ171" s="192">
        <v>55</v>
      </c>
      <c r="DK171" s="193"/>
      <c r="DM171" s="113"/>
      <c r="DN171" s="112"/>
      <c r="DO171" s="163"/>
      <c r="DP171" s="2"/>
      <c r="DQ171" s="159"/>
      <c r="DR171" s="125"/>
      <c r="DS171" s="176"/>
      <c r="DT171" s="177" t="s">
        <v>27</v>
      </c>
      <c r="DU171" s="178"/>
      <c r="DV171" s="177">
        <v>0</v>
      </c>
      <c r="DW171" s="178"/>
      <c r="DY171" s="113"/>
      <c r="DZ171" s="112"/>
      <c r="EA171" s="163"/>
      <c r="EC171" s="159"/>
      <c r="ED171" s="125"/>
      <c r="EE171" s="176"/>
      <c r="EF171" s="177" t="s">
        <v>27</v>
      </c>
      <c r="EG171" s="178"/>
      <c r="EH171" s="177">
        <v>0</v>
      </c>
      <c r="EI171" s="178"/>
      <c r="EK171" s="113"/>
      <c r="EL171" s="112"/>
      <c r="EM171" s="163"/>
      <c r="EO171" s="233"/>
      <c r="EP171" s="125"/>
      <c r="EQ171" s="126"/>
      <c r="ER171" s="177" t="s">
        <v>27</v>
      </c>
      <c r="ES171" s="178"/>
      <c r="ET171" s="156">
        <f t="shared" si="12"/>
        <v>380</v>
      </c>
      <c r="EU171" s="157"/>
      <c r="EW171" s="113"/>
      <c r="EX171" s="112"/>
      <c r="EY171" s="163"/>
    </row>
    <row r="172" spans="1:155" ht="17.100000000000001" customHeight="1" thickTop="1" thickBot="1" x14ac:dyDescent="0.25">
      <c r="A172" s="159"/>
      <c r="B172" s="111" t="s">
        <v>28</v>
      </c>
      <c r="C172" s="174"/>
      <c r="D172" s="155" t="s">
        <v>29</v>
      </c>
      <c r="E172" s="141"/>
      <c r="F172" s="190">
        <v>11</v>
      </c>
      <c r="G172" s="191"/>
      <c r="I172" s="125"/>
      <c r="J172" s="126"/>
      <c r="K172" s="164"/>
      <c r="M172" s="159"/>
      <c r="N172" s="111" t="s">
        <v>28</v>
      </c>
      <c r="O172" s="174"/>
      <c r="P172" s="155" t="s">
        <v>29</v>
      </c>
      <c r="Q172" s="141"/>
      <c r="R172" s="190">
        <v>5</v>
      </c>
      <c r="S172" s="191"/>
      <c r="U172" s="125"/>
      <c r="V172" s="126"/>
      <c r="W172" s="164"/>
      <c r="Y172" s="159"/>
      <c r="Z172" s="111" t="s">
        <v>28</v>
      </c>
      <c r="AA172" s="174"/>
      <c r="AB172" s="155" t="s">
        <v>29</v>
      </c>
      <c r="AC172" s="141"/>
      <c r="AD172" s="190">
        <v>9</v>
      </c>
      <c r="AE172" s="191"/>
      <c r="AG172" s="125"/>
      <c r="AH172" s="126"/>
      <c r="AI172" s="164"/>
      <c r="AK172" s="159"/>
      <c r="AL172" s="111" t="s">
        <v>28</v>
      </c>
      <c r="AM172" s="174"/>
      <c r="AN172" s="155" t="s">
        <v>29</v>
      </c>
      <c r="AO172" s="141"/>
      <c r="AP172" s="190">
        <v>5</v>
      </c>
      <c r="AQ172" s="191"/>
      <c r="AS172" s="125"/>
      <c r="AT172" s="126"/>
      <c r="AU172" s="164"/>
      <c r="AW172" s="159"/>
      <c r="AX172" s="111" t="s">
        <v>28</v>
      </c>
      <c r="AY172" s="174"/>
      <c r="AZ172" s="155" t="s">
        <v>29</v>
      </c>
      <c r="BA172" s="141"/>
      <c r="BB172" s="155">
        <v>1</v>
      </c>
      <c r="BC172" s="141"/>
      <c r="BE172" s="125"/>
      <c r="BF172" s="126"/>
      <c r="BG172" s="164"/>
      <c r="BI172" s="159"/>
      <c r="BJ172" s="111" t="s">
        <v>28</v>
      </c>
      <c r="BK172" s="174"/>
      <c r="BL172" s="155" t="s">
        <v>29</v>
      </c>
      <c r="BM172" s="141"/>
      <c r="BN172" s="190">
        <v>3</v>
      </c>
      <c r="BO172" s="191"/>
      <c r="BQ172" s="125"/>
      <c r="BR172" s="126"/>
      <c r="BS172" s="164"/>
      <c r="BU172" s="159"/>
      <c r="BV172" s="111" t="s">
        <v>28</v>
      </c>
      <c r="BW172" s="174"/>
      <c r="BX172" s="155" t="s">
        <v>29</v>
      </c>
      <c r="BY172" s="141"/>
      <c r="BZ172" s="190">
        <v>5</v>
      </c>
      <c r="CA172" s="191"/>
      <c r="CC172" s="125"/>
      <c r="CD172" s="126"/>
      <c r="CE172" s="164"/>
      <c r="CG172" s="159"/>
      <c r="CH172" s="111" t="s">
        <v>28</v>
      </c>
      <c r="CI172" s="174"/>
      <c r="CJ172" s="155" t="s">
        <v>29</v>
      </c>
      <c r="CK172" s="141"/>
      <c r="CL172" s="155">
        <v>0</v>
      </c>
      <c r="CM172" s="141"/>
      <c r="CO172" s="125"/>
      <c r="CP172" s="126"/>
      <c r="CQ172" s="164"/>
      <c r="CS172" s="159"/>
      <c r="CT172" s="111" t="s">
        <v>28</v>
      </c>
      <c r="CU172" s="174"/>
      <c r="CV172" s="155" t="s">
        <v>29</v>
      </c>
      <c r="CW172" s="141"/>
      <c r="CX172" s="155">
        <v>0</v>
      </c>
      <c r="CY172" s="141"/>
      <c r="DA172" s="125"/>
      <c r="DB172" s="126"/>
      <c r="DC172" s="164"/>
      <c r="DD172" s="2"/>
      <c r="DE172" s="159"/>
      <c r="DF172" s="111" t="s">
        <v>28</v>
      </c>
      <c r="DG172" s="174"/>
      <c r="DH172" s="155" t="s">
        <v>29</v>
      </c>
      <c r="DI172" s="141"/>
      <c r="DJ172" s="190">
        <v>5</v>
      </c>
      <c r="DK172" s="191"/>
      <c r="DM172" s="125"/>
      <c r="DN172" s="126"/>
      <c r="DO172" s="164"/>
      <c r="DP172" s="2"/>
      <c r="DQ172" s="159"/>
      <c r="DR172" s="111" t="s">
        <v>28</v>
      </c>
      <c r="DS172" s="174"/>
      <c r="DT172" s="155" t="s">
        <v>29</v>
      </c>
      <c r="DU172" s="141"/>
      <c r="DV172" s="155">
        <v>0</v>
      </c>
      <c r="DW172" s="141"/>
      <c r="DY172" s="125"/>
      <c r="DZ172" s="126"/>
      <c r="EA172" s="164"/>
      <c r="EC172" s="159"/>
      <c r="ED172" s="111" t="s">
        <v>28</v>
      </c>
      <c r="EE172" s="174"/>
      <c r="EF172" s="155" t="s">
        <v>29</v>
      </c>
      <c r="EG172" s="141"/>
      <c r="EH172" s="155">
        <v>0</v>
      </c>
      <c r="EI172" s="141"/>
      <c r="EK172" s="125"/>
      <c r="EL172" s="126"/>
      <c r="EM172" s="164"/>
      <c r="EO172" s="233"/>
      <c r="EP172" s="111" t="s">
        <v>28</v>
      </c>
      <c r="EQ172" s="124"/>
      <c r="ER172" s="155" t="s">
        <v>29</v>
      </c>
      <c r="ES172" s="141"/>
      <c r="ET172" s="156">
        <f t="shared" si="12"/>
        <v>44</v>
      </c>
      <c r="EU172" s="157"/>
      <c r="EW172" s="125"/>
      <c r="EX172" s="126"/>
      <c r="EY172" s="164"/>
    </row>
    <row r="173" spans="1:155" ht="17.100000000000001" customHeight="1" thickBot="1" x14ac:dyDescent="0.25">
      <c r="A173" s="159"/>
      <c r="B173" s="113"/>
      <c r="C173" s="175"/>
      <c r="D173" s="154" t="s">
        <v>30</v>
      </c>
      <c r="E173" s="142"/>
      <c r="F173" s="182">
        <v>12</v>
      </c>
      <c r="G173" s="183"/>
      <c r="I173" s="111" t="s">
        <v>31</v>
      </c>
      <c r="J173" s="124"/>
      <c r="K173" s="162">
        <v>0</v>
      </c>
      <c r="M173" s="159"/>
      <c r="N173" s="113"/>
      <c r="O173" s="175"/>
      <c r="P173" s="154" t="s">
        <v>30</v>
      </c>
      <c r="Q173" s="142"/>
      <c r="R173" s="182">
        <v>39</v>
      </c>
      <c r="S173" s="183"/>
      <c r="U173" s="111" t="s">
        <v>31</v>
      </c>
      <c r="V173" s="124"/>
      <c r="W173" s="162">
        <v>0</v>
      </c>
      <c r="Y173" s="159"/>
      <c r="Z173" s="113"/>
      <c r="AA173" s="175"/>
      <c r="AB173" s="154" t="s">
        <v>30</v>
      </c>
      <c r="AC173" s="142"/>
      <c r="AD173" s="182">
        <v>43</v>
      </c>
      <c r="AE173" s="183"/>
      <c r="AG173" s="111" t="s">
        <v>31</v>
      </c>
      <c r="AH173" s="124"/>
      <c r="AI173" s="162">
        <v>0</v>
      </c>
      <c r="AK173" s="159"/>
      <c r="AL173" s="113"/>
      <c r="AM173" s="175"/>
      <c r="AN173" s="154" t="s">
        <v>30</v>
      </c>
      <c r="AO173" s="142"/>
      <c r="AP173" s="182">
        <v>9</v>
      </c>
      <c r="AQ173" s="183"/>
      <c r="AS173" s="111" t="s">
        <v>31</v>
      </c>
      <c r="AT173" s="124"/>
      <c r="AU173" s="162">
        <v>0</v>
      </c>
      <c r="AW173" s="159"/>
      <c r="AX173" s="113"/>
      <c r="AY173" s="175"/>
      <c r="AZ173" s="154" t="s">
        <v>30</v>
      </c>
      <c r="BA173" s="142"/>
      <c r="BB173" s="154">
        <v>17</v>
      </c>
      <c r="BC173" s="142"/>
      <c r="BE173" s="111" t="s">
        <v>31</v>
      </c>
      <c r="BF173" s="124"/>
      <c r="BG173" s="162">
        <v>0</v>
      </c>
      <c r="BI173" s="159"/>
      <c r="BJ173" s="113"/>
      <c r="BK173" s="175"/>
      <c r="BL173" s="154" t="s">
        <v>30</v>
      </c>
      <c r="BM173" s="142"/>
      <c r="BN173" s="182">
        <v>22</v>
      </c>
      <c r="BO173" s="183"/>
      <c r="BQ173" s="111" t="s">
        <v>31</v>
      </c>
      <c r="BR173" s="124"/>
      <c r="BS173" s="162">
        <v>0</v>
      </c>
      <c r="BU173" s="159"/>
      <c r="BV173" s="113"/>
      <c r="BW173" s="175"/>
      <c r="BX173" s="154" t="s">
        <v>30</v>
      </c>
      <c r="BY173" s="142"/>
      <c r="BZ173" s="182">
        <v>9</v>
      </c>
      <c r="CA173" s="183"/>
      <c r="CC173" s="111" t="s">
        <v>31</v>
      </c>
      <c r="CD173" s="124"/>
      <c r="CE173" s="162">
        <v>0</v>
      </c>
      <c r="CG173" s="159"/>
      <c r="CH173" s="113"/>
      <c r="CI173" s="175"/>
      <c r="CJ173" s="154" t="s">
        <v>30</v>
      </c>
      <c r="CK173" s="142"/>
      <c r="CL173" s="154">
        <v>0</v>
      </c>
      <c r="CM173" s="142"/>
      <c r="CO173" s="111" t="s">
        <v>31</v>
      </c>
      <c r="CP173" s="124"/>
      <c r="CQ173" s="162">
        <v>0</v>
      </c>
      <c r="CS173" s="159"/>
      <c r="CT173" s="113"/>
      <c r="CU173" s="175"/>
      <c r="CV173" s="154" t="s">
        <v>30</v>
      </c>
      <c r="CW173" s="142"/>
      <c r="CX173" s="154">
        <v>0</v>
      </c>
      <c r="CY173" s="142"/>
      <c r="DA173" s="111" t="s">
        <v>31</v>
      </c>
      <c r="DB173" s="124"/>
      <c r="DC173" s="162">
        <v>0</v>
      </c>
      <c r="DD173" s="2"/>
      <c r="DE173" s="159"/>
      <c r="DF173" s="113"/>
      <c r="DG173" s="175"/>
      <c r="DH173" s="154" t="s">
        <v>30</v>
      </c>
      <c r="DI173" s="142"/>
      <c r="DJ173" s="182">
        <v>10</v>
      </c>
      <c r="DK173" s="183"/>
      <c r="DM173" s="111" t="s">
        <v>31</v>
      </c>
      <c r="DN173" s="124"/>
      <c r="DO173" s="162">
        <v>0</v>
      </c>
      <c r="DP173" s="2"/>
      <c r="DQ173" s="159"/>
      <c r="DR173" s="113"/>
      <c r="DS173" s="175"/>
      <c r="DT173" s="154" t="s">
        <v>30</v>
      </c>
      <c r="DU173" s="142"/>
      <c r="DV173" s="154">
        <v>0</v>
      </c>
      <c r="DW173" s="142"/>
      <c r="DY173" s="111" t="s">
        <v>31</v>
      </c>
      <c r="DZ173" s="124"/>
      <c r="EA173" s="162">
        <v>0</v>
      </c>
      <c r="EC173" s="159"/>
      <c r="ED173" s="113"/>
      <c r="EE173" s="175"/>
      <c r="EF173" s="154" t="s">
        <v>30</v>
      </c>
      <c r="EG173" s="142"/>
      <c r="EH173" s="154">
        <v>0</v>
      </c>
      <c r="EI173" s="142"/>
      <c r="EK173" s="111" t="s">
        <v>31</v>
      </c>
      <c r="EL173" s="124"/>
      <c r="EM173" s="162">
        <v>0</v>
      </c>
      <c r="EO173" s="233"/>
      <c r="EP173" s="113"/>
      <c r="EQ173" s="112"/>
      <c r="ER173" s="154" t="s">
        <v>30</v>
      </c>
      <c r="ES173" s="142"/>
      <c r="ET173" s="156">
        <f t="shared" si="12"/>
        <v>161</v>
      </c>
      <c r="EU173" s="157"/>
      <c r="EW173" s="111" t="s">
        <v>31</v>
      </c>
      <c r="EX173" s="124"/>
      <c r="EY173" s="162">
        <f>K173+W173+AI173+AU173+BG173+BS173+CE173+CQ173+DC173+DO173+EA173+EM173</f>
        <v>0</v>
      </c>
    </row>
    <row r="174" spans="1:155" ht="17.100000000000001" customHeight="1" thickBot="1" x14ac:dyDescent="0.25">
      <c r="A174" s="159"/>
      <c r="B174" s="125"/>
      <c r="C174" s="176"/>
      <c r="D174" s="177" t="s">
        <v>32</v>
      </c>
      <c r="E174" s="178"/>
      <c r="F174" s="192">
        <v>0</v>
      </c>
      <c r="G174" s="193"/>
      <c r="I174" s="113"/>
      <c r="J174" s="112"/>
      <c r="K174" s="163"/>
      <c r="M174" s="159"/>
      <c r="N174" s="125"/>
      <c r="O174" s="176"/>
      <c r="P174" s="177" t="s">
        <v>32</v>
      </c>
      <c r="Q174" s="178"/>
      <c r="R174" s="192">
        <v>0</v>
      </c>
      <c r="S174" s="193"/>
      <c r="U174" s="113"/>
      <c r="V174" s="112"/>
      <c r="W174" s="163"/>
      <c r="Y174" s="159"/>
      <c r="Z174" s="125"/>
      <c r="AA174" s="176"/>
      <c r="AB174" s="177" t="s">
        <v>32</v>
      </c>
      <c r="AC174" s="178"/>
      <c r="AD174" s="192">
        <v>0</v>
      </c>
      <c r="AE174" s="193"/>
      <c r="AG174" s="113"/>
      <c r="AH174" s="112"/>
      <c r="AI174" s="163"/>
      <c r="AK174" s="159"/>
      <c r="AL174" s="125"/>
      <c r="AM174" s="176"/>
      <c r="AN174" s="177" t="s">
        <v>32</v>
      </c>
      <c r="AO174" s="178"/>
      <c r="AP174" s="192">
        <v>0</v>
      </c>
      <c r="AQ174" s="193"/>
      <c r="AS174" s="113"/>
      <c r="AT174" s="112"/>
      <c r="AU174" s="163"/>
      <c r="AW174" s="159"/>
      <c r="AX174" s="125"/>
      <c r="AY174" s="176"/>
      <c r="AZ174" s="177" t="s">
        <v>32</v>
      </c>
      <c r="BA174" s="178"/>
      <c r="BB174" s="177">
        <v>0</v>
      </c>
      <c r="BC174" s="178"/>
      <c r="BE174" s="113"/>
      <c r="BF174" s="112"/>
      <c r="BG174" s="163"/>
      <c r="BI174" s="159"/>
      <c r="BJ174" s="125"/>
      <c r="BK174" s="176"/>
      <c r="BL174" s="177" t="s">
        <v>32</v>
      </c>
      <c r="BM174" s="178"/>
      <c r="BN174" s="192">
        <v>0</v>
      </c>
      <c r="BO174" s="193"/>
      <c r="BQ174" s="113"/>
      <c r="BR174" s="112"/>
      <c r="BS174" s="163"/>
      <c r="BU174" s="159"/>
      <c r="BV174" s="125"/>
      <c r="BW174" s="176"/>
      <c r="BX174" s="177" t="s">
        <v>32</v>
      </c>
      <c r="BY174" s="178"/>
      <c r="BZ174" s="192">
        <v>0</v>
      </c>
      <c r="CA174" s="193"/>
      <c r="CC174" s="113"/>
      <c r="CD174" s="112"/>
      <c r="CE174" s="163"/>
      <c r="CG174" s="159"/>
      <c r="CH174" s="125"/>
      <c r="CI174" s="176"/>
      <c r="CJ174" s="177" t="s">
        <v>32</v>
      </c>
      <c r="CK174" s="178"/>
      <c r="CL174" s="177">
        <v>0</v>
      </c>
      <c r="CM174" s="178"/>
      <c r="CO174" s="113"/>
      <c r="CP174" s="112"/>
      <c r="CQ174" s="163"/>
      <c r="CS174" s="159"/>
      <c r="CT174" s="125"/>
      <c r="CU174" s="176"/>
      <c r="CV174" s="177" t="s">
        <v>32</v>
      </c>
      <c r="CW174" s="178"/>
      <c r="CX174" s="177">
        <v>0</v>
      </c>
      <c r="CY174" s="178"/>
      <c r="DA174" s="113"/>
      <c r="DB174" s="112"/>
      <c r="DC174" s="163"/>
      <c r="DD174" s="2"/>
      <c r="DE174" s="159"/>
      <c r="DF174" s="125"/>
      <c r="DG174" s="176"/>
      <c r="DH174" s="177" t="s">
        <v>32</v>
      </c>
      <c r="DI174" s="178"/>
      <c r="DJ174" s="192">
        <v>0</v>
      </c>
      <c r="DK174" s="193"/>
      <c r="DM174" s="113"/>
      <c r="DN174" s="112"/>
      <c r="DO174" s="163"/>
      <c r="DP174" s="2"/>
      <c r="DQ174" s="159"/>
      <c r="DR174" s="125"/>
      <c r="DS174" s="176"/>
      <c r="DT174" s="177" t="s">
        <v>32</v>
      </c>
      <c r="DU174" s="178"/>
      <c r="DV174" s="177">
        <v>0</v>
      </c>
      <c r="DW174" s="178"/>
      <c r="DY174" s="113"/>
      <c r="DZ174" s="112"/>
      <c r="EA174" s="163"/>
      <c r="EC174" s="159"/>
      <c r="ED174" s="125"/>
      <c r="EE174" s="176"/>
      <c r="EF174" s="177" t="s">
        <v>32</v>
      </c>
      <c r="EG174" s="178"/>
      <c r="EH174" s="177">
        <v>0</v>
      </c>
      <c r="EI174" s="178"/>
      <c r="EK174" s="113"/>
      <c r="EL174" s="112"/>
      <c r="EM174" s="163"/>
      <c r="EO174" s="233"/>
      <c r="EP174" s="125"/>
      <c r="EQ174" s="126"/>
      <c r="ER174" s="177" t="s">
        <v>32</v>
      </c>
      <c r="ES174" s="178"/>
      <c r="ET174" s="156">
        <f t="shared" si="12"/>
        <v>0</v>
      </c>
      <c r="EU174" s="157"/>
      <c r="EW174" s="113"/>
      <c r="EX174" s="112"/>
      <c r="EY174" s="163"/>
    </row>
    <row r="175" spans="1:155" ht="17.100000000000001" customHeight="1" thickTop="1" thickBot="1" x14ac:dyDescent="0.25">
      <c r="A175" s="159"/>
      <c r="B175" s="111" t="s">
        <v>33</v>
      </c>
      <c r="C175" s="174"/>
      <c r="D175" s="155" t="s">
        <v>34</v>
      </c>
      <c r="E175" s="141"/>
      <c r="F175" s="190">
        <v>38</v>
      </c>
      <c r="G175" s="191"/>
      <c r="I175" s="125"/>
      <c r="J175" s="126"/>
      <c r="K175" s="164"/>
      <c r="M175" s="159"/>
      <c r="N175" s="111" t="s">
        <v>33</v>
      </c>
      <c r="O175" s="174"/>
      <c r="P175" s="155" t="s">
        <v>34</v>
      </c>
      <c r="Q175" s="141"/>
      <c r="R175" s="190">
        <v>60</v>
      </c>
      <c r="S175" s="191"/>
      <c r="U175" s="125"/>
      <c r="V175" s="126"/>
      <c r="W175" s="164"/>
      <c r="Y175" s="159"/>
      <c r="Z175" s="111" t="s">
        <v>33</v>
      </c>
      <c r="AA175" s="174"/>
      <c r="AB175" s="155" t="s">
        <v>34</v>
      </c>
      <c r="AC175" s="141"/>
      <c r="AD175" s="190">
        <v>73</v>
      </c>
      <c r="AE175" s="191"/>
      <c r="AG175" s="125"/>
      <c r="AH175" s="126"/>
      <c r="AI175" s="164"/>
      <c r="AK175" s="159"/>
      <c r="AL175" s="111" t="s">
        <v>33</v>
      </c>
      <c r="AM175" s="174"/>
      <c r="AN175" s="155" t="s">
        <v>34</v>
      </c>
      <c r="AO175" s="141"/>
      <c r="AP175" s="190">
        <v>48</v>
      </c>
      <c r="AQ175" s="191"/>
      <c r="AS175" s="125"/>
      <c r="AT175" s="126"/>
      <c r="AU175" s="164"/>
      <c r="AW175" s="159"/>
      <c r="AX175" s="111" t="s">
        <v>33</v>
      </c>
      <c r="AY175" s="174"/>
      <c r="AZ175" s="155" t="s">
        <v>34</v>
      </c>
      <c r="BA175" s="141"/>
      <c r="BB175" s="155">
        <v>61</v>
      </c>
      <c r="BC175" s="141"/>
      <c r="BE175" s="125"/>
      <c r="BF175" s="126"/>
      <c r="BG175" s="164"/>
      <c r="BI175" s="159"/>
      <c r="BJ175" s="111" t="s">
        <v>33</v>
      </c>
      <c r="BK175" s="174"/>
      <c r="BL175" s="155" t="s">
        <v>34</v>
      </c>
      <c r="BM175" s="141"/>
      <c r="BN175" s="190">
        <v>18</v>
      </c>
      <c r="BO175" s="191"/>
      <c r="BQ175" s="125"/>
      <c r="BR175" s="126"/>
      <c r="BS175" s="164"/>
      <c r="BU175" s="159"/>
      <c r="BV175" s="111" t="s">
        <v>33</v>
      </c>
      <c r="BW175" s="174"/>
      <c r="BX175" s="155" t="s">
        <v>34</v>
      </c>
      <c r="BY175" s="141"/>
      <c r="BZ175" s="190">
        <v>48</v>
      </c>
      <c r="CA175" s="191"/>
      <c r="CC175" s="125"/>
      <c r="CD175" s="126"/>
      <c r="CE175" s="164"/>
      <c r="CG175" s="159"/>
      <c r="CH175" s="111" t="s">
        <v>33</v>
      </c>
      <c r="CI175" s="174"/>
      <c r="CJ175" s="155" t="s">
        <v>34</v>
      </c>
      <c r="CK175" s="141"/>
      <c r="CL175" s="155">
        <v>0</v>
      </c>
      <c r="CM175" s="141"/>
      <c r="CO175" s="125"/>
      <c r="CP175" s="126"/>
      <c r="CQ175" s="164"/>
      <c r="CS175" s="159"/>
      <c r="CT175" s="111" t="s">
        <v>33</v>
      </c>
      <c r="CU175" s="174"/>
      <c r="CV175" s="155" t="s">
        <v>34</v>
      </c>
      <c r="CW175" s="141"/>
      <c r="CX175" s="155">
        <v>0</v>
      </c>
      <c r="CY175" s="141"/>
      <c r="DA175" s="125"/>
      <c r="DB175" s="126"/>
      <c r="DC175" s="164"/>
      <c r="DD175" s="2"/>
      <c r="DE175" s="159"/>
      <c r="DF175" s="111" t="s">
        <v>33</v>
      </c>
      <c r="DG175" s="174"/>
      <c r="DH175" s="155" t="s">
        <v>34</v>
      </c>
      <c r="DI175" s="141"/>
      <c r="DJ175" s="190">
        <v>60</v>
      </c>
      <c r="DK175" s="191"/>
      <c r="DM175" s="125"/>
      <c r="DN175" s="126"/>
      <c r="DO175" s="164"/>
      <c r="DP175" s="2"/>
      <c r="DQ175" s="159"/>
      <c r="DR175" s="111" t="s">
        <v>33</v>
      </c>
      <c r="DS175" s="174"/>
      <c r="DT175" s="155" t="s">
        <v>34</v>
      </c>
      <c r="DU175" s="141"/>
      <c r="DV175" s="155">
        <v>0</v>
      </c>
      <c r="DW175" s="141"/>
      <c r="DY175" s="125"/>
      <c r="DZ175" s="126"/>
      <c r="EA175" s="164"/>
      <c r="EC175" s="159"/>
      <c r="ED175" s="111" t="s">
        <v>33</v>
      </c>
      <c r="EE175" s="174"/>
      <c r="EF175" s="155" t="s">
        <v>34</v>
      </c>
      <c r="EG175" s="141"/>
      <c r="EH175" s="155">
        <v>0</v>
      </c>
      <c r="EI175" s="141"/>
      <c r="EK175" s="125"/>
      <c r="EL175" s="126"/>
      <c r="EM175" s="164"/>
      <c r="EO175" s="233"/>
      <c r="EP175" s="111" t="s">
        <v>33</v>
      </c>
      <c r="EQ175" s="124"/>
      <c r="ER175" s="155" t="s">
        <v>34</v>
      </c>
      <c r="ES175" s="141"/>
      <c r="ET175" s="156">
        <f t="shared" si="12"/>
        <v>406</v>
      </c>
      <c r="EU175" s="157"/>
      <c r="EW175" s="125"/>
      <c r="EX175" s="126"/>
      <c r="EY175" s="164"/>
    </row>
    <row r="176" spans="1:155" ht="17.100000000000001" customHeight="1" thickBot="1" x14ac:dyDescent="0.25">
      <c r="A176" s="159"/>
      <c r="B176" s="125"/>
      <c r="C176" s="176"/>
      <c r="D176" s="177" t="s">
        <v>35</v>
      </c>
      <c r="E176" s="178"/>
      <c r="F176" s="192">
        <v>0</v>
      </c>
      <c r="G176" s="193"/>
      <c r="I176" s="7"/>
      <c r="J176" s="8"/>
      <c r="K176" s="9">
        <f>SUM(K170:K175)</f>
        <v>381</v>
      </c>
      <c r="M176" s="159"/>
      <c r="N176" s="125"/>
      <c r="O176" s="176"/>
      <c r="P176" s="177" t="s">
        <v>35</v>
      </c>
      <c r="Q176" s="178"/>
      <c r="R176" s="192">
        <v>0</v>
      </c>
      <c r="S176" s="193"/>
      <c r="U176" s="7"/>
      <c r="V176" s="8"/>
      <c r="W176" s="9">
        <f>SUM(W170:W175)</f>
        <v>527</v>
      </c>
      <c r="Y176" s="159"/>
      <c r="Z176" s="125"/>
      <c r="AA176" s="176"/>
      <c r="AB176" s="177" t="s">
        <v>35</v>
      </c>
      <c r="AC176" s="178"/>
      <c r="AD176" s="192">
        <v>0</v>
      </c>
      <c r="AE176" s="193"/>
      <c r="AG176" s="7"/>
      <c r="AH176" s="8"/>
      <c r="AI176" s="9">
        <f>SUM(AI170:AI175)</f>
        <v>517</v>
      </c>
      <c r="AK176" s="159"/>
      <c r="AL176" s="125"/>
      <c r="AM176" s="176"/>
      <c r="AN176" s="177" t="s">
        <v>35</v>
      </c>
      <c r="AO176" s="178"/>
      <c r="AP176" s="192">
        <v>0</v>
      </c>
      <c r="AQ176" s="193"/>
      <c r="AS176" s="7"/>
      <c r="AT176" s="8"/>
      <c r="AU176" s="9">
        <f>SUM(AU170:AU175)</f>
        <v>434</v>
      </c>
      <c r="AW176" s="159"/>
      <c r="AX176" s="125"/>
      <c r="AY176" s="176"/>
      <c r="AZ176" s="177" t="s">
        <v>35</v>
      </c>
      <c r="BA176" s="178"/>
      <c r="BB176" s="177">
        <v>0</v>
      </c>
      <c r="BC176" s="178"/>
      <c r="BE176" s="7"/>
      <c r="BF176" s="8"/>
      <c r="BG176" s="9">
        <f>SUM(BG170:BG175)</f>
        <v>472</v>
      </c>
      <c r="BI176" s="159"/>
      <c r="BJ176" s="125"/>
      <c r="BK176" s="176"/>
      <c r="BL176" s="177" t="s">
        <v>35</v>
      </c>
      <c r="BM176" s="178"/>
      <c r="BN176" s="192">
        <v>0</v>
      </c>
      <c r="BO176" s="193"/>
      <c r="BQ176" s="7"/>
      <c r="BR176" s="8"/>
      <c r="BS176" s="9">
        <f>SUM(BS170:BS175)</f>
        <v>247</v>
      </c>
      <c r="BU176" s="159"/>
      <c r="BV176" s="125"/>
      <c r="BW176" s="176"/>
      <c r="BX176" s="177" t="s">
        <v>35</v>
      </c>
      <c r="BY176" s="178"/>
      <c r="BZ176" s="192">
        <v>0</v>
      </c>
      <c r="CA176" s="193"/>
      <c r="CC176" s="7"/>
      <c r="CD176" s="8"/>
      <c r="CE176" s="9">
        <f>SUM(CE170:CE175)</f>
        <v>434</v>
      </c>
      <c r="CG176" s="159"/>
      <c r="CH176" s="125"/>
      <c r="CI176" s="176"/>
      <c r="CJ176" s="177" t="s">
        <v>35</v>
      </c>
      <c r="CK176" s="178"/>
      <c r="CL176" s="177">
        <v>0</v>
      </c>
      <c r="CM176" s="178"/>
      <c r="CO176" s="7"/>
      <c r="CP176" s="8"/>
      <c r="CQ176" s="9">
        <f>SUM(CQ170:CQ175)</f>
        <v>0</v>
      </c>
      <c r="CS176" s="159"/>
      <c r="CT176" s="125"/>
      <c r="CU176" s="176"/>
      <c r="CV176" s="177" t="s">
        <v>35</v>
      </c>
      <c r="CW176" s="178"/>
      <c r="CX176" s="177">
        <v>0</v>
      </c>
      <c r="CY176" s="178"/>
      <c r="DA176" s="7"/>
      <c r="DB176" s="8"/>
      <c r="DC176" s="9">
        <f>SUM(DC170:DC175)</f>
        <v>0</v>
      </c>
      <c r="DD176" s="2"/>
      <c r="DE176" s="159"/>
      <c r="DF176" s="125"/>
      <c r="DG176" s="176"/>
      <c r="DH176" s="177" t="s">
        <v>35</v>
      </c>
      <c r="DI176" s="178"/>
      <c r="DJ176" s="192">
        <v>0</v>
      </c>
      <c r="DK176" s="193"/>
      <c r="DM176" s="7"/>
      <c r="DN176" s="8"/>
      <c r="DO176" s="9">
        <f>SUM(DO170:DO175)</f>
        <v>456</v>
      </c>
      <c r="DP176" s="2"/>
      <c r="DQ176" s="159"/>
      <c r="DR176" s="125"/>
      <c r="DS176" s="176"/>
      <c r="DT176" s="177" t="s">
        <v>35</v>
      </c>
      <c r="DU176" s="178"/>
      <c r="DV176" s="177">
        <v>0</v>
      </c>
      <c r="DW176" s="178"/>
      <c r="DY176" s="7"/>
      <c r="DZ176" s="8"/>
      <c r="EA176" s="9">
        <f>SUM(EA170:EA175)</f>
        <v>0</v>
      </c>
      <c r="EC176" s="159"/>
      <c r="ED176" s="125"/>
      <c r="EE176" s="176"/>
      <c r="EF176" s="177" t="s">
        <v>35</v>
      </c>
      <c r="EG176" s="178"/>
      <c r="EH176" s="177">
        <v>0</v>
      </c>
      <c r="EI176" s="178"/>
      <c r="EK176" s="7"/>
      <c r="EL176" s="8"/>
      <c r="EM176" s="9">
        <f>SUM(EM170:EM175)</f>
        <v>0</v>
      </c>
      <c r="EO176" s="233"/>
      <c r="EP176" s="125"/>
      <c r="EQ176" s="126"/>
      <c r="ER176" s="177" t="s">
        <v>35</v>
      </c>
      <c r="ES176" s="178"/>
      <c r="ET176" s="156">
        <f t="shared" si="12"/>
        <v>0</v>
      </c>
      <c r="EU176" s="157"/>
      <c r="EW176" s="7"/>
      <c r="EX176" s="8"/>
      <c r="EY176" s="9">
        <f>SUM(EY170:EY175)</f>
        <v>3468</v>
      </c>
    </row>
    <row r="177" spans="1:155" ht="17.100000000000001" customHeight="1" thickTop="1" thickBot="1" x14ac:dyDescent="0.25">
      <c r="A177" s="160"/>
      <c r="B177" s="102" t="s">
        <v>36</v>
      </c>
      <c r="C177" s="148"/>
      <c r="D177" s="148"/>
      <c r="E177" s="128"/>
      <c r="F177" s="184">
        <v>0</v>
      </c>
      <c r="G177" s="185"/>
      <c r="I177" s="111" t="s">
        <v>37</v>
      </c>
      <c r="J177" s="124"/>
      <c r="K177" s="162">
        <v>160</v>
      </c>
      <c r="M177" s="160"/>
      <c r="N177" s="102" t="s">
        <v>36</v>
      </c>
      <c r="O177" s="148"/>
      <c r="P177" s="148"/>
      <c r="Q177" s="128"/>
      <c r="R177" s="184">
        <v>0</v>
      </c>
      <c r="S177" s="185"/>
      <c r="U177" s="111" t="s">
        <v>37</v>
      </c>
      <c r="V177" s="124"/>
      <c r="W177" s="162">
        <v>0</v>
      </c>
      <c r="Y177" s="160"/>
      <c r="Z177" s="102" t="s">
        <v>36</v>
      </c>
      <c r="AA177" s="148"/>
      <c r="AB177" s="148"/>
      <c r="AC177" s="128"/>
      <c r="AD177" s="184">
        <v>0</v>
      </c>
      <c r="AE177" s="185"/>
      <c r="AG177" s="111" t="s">
        <v>37</v>
      </c>
      <c r="AH177" s="124"/>
      <c r="AI177" s="162">
        <v>0</v>
      </c>
      <c r="AK177" s="160"/>
      <c r="AL177" s="102" t="s">
        <v>36</v>
      </c>
      <c r="AM177" s="148"/>
      <c r="AN177" s="148"/>
      <c r="AO177" s="128"/>
      <c r="AP177" s="184">
        <v>0</v>
      </c>
      <c r="AQ177" s="185"/>
      <c r="AS177" s="111" t="s">
        <v>37</v>
      </c>
      <c r="AT177" s="124"/>
      <c r="AU177" s="162">
        <v>0</v>
      </c>
      <c r="AW177" s="160"/>
      <c r="AX177" s="102" t="s">
        <v>36</v>
      </c>
      <c r="AY177" s="148"/>
      <c r="AZ177" s="148"/>
      <c r="BA177" s="128"/>
      <c r="BB177" s="156">
        <v>0</v>
      </c>
      <c r="BC177" s="157"/>
      <c r="BE177" s="111" t="s">
        <v>37</v>
      </c>
      <c r="BF177" s="124"/>
      <c r="BG177" s="162">
        <v>472</v>
      </c>
      <c r="BI177" s="160"/>
      <c r="BJ177" s="102" t="s">
        <v>36</v>
      </c>
      <c r="BK177" s="148"/>
      <c r="BL177" s="148"/>
      <c r="BM177" s="128"/>
      <c r="BN177" s="184">
        <v>0</v>
      </c>
      <c r="BO177" s="185"/>
      <c r="BQ177" s="111" t="s">
        <v>37</v>
      </c>
      <c r="BR177" s="124"/>
      <c r="BS177" s="162">
        <v>0</v>
      </c>
      <c r="BU177" s="160"/>
      <c r="BV177" s="102" t="s">
        <v>36</v>
      </c>
      <c r="BW177" s="148"/>
      <c r="BX177" s="148"/>
      <c r="BY177" s="128"/>
      <c r="BZ177" s="184">
        <v>0</v>
      </c>
      <c r="CA177" s="185"/>
      <c r="CC177" s="111" t="s">
        <v>37</v>
      </c>
      <c r="CD177" s="124"/>
      <c r="CE177" s="162">
        <v>0</v>
      </c>
      <c r="CG177" s="160"/>
      <c r="CH177" s="102" t="s">
        <v>36</v>
      </c>
      <c r="CI177" s="148"/>
      <c r="CJ177" s="148"/>
      <c r="CK177" s="128"/>
      <c r="CL177" s="156">
        <v>0</v>
      </c>
      <c r="CM177" s="157"/>
      <c r="CO177" s="111" t="s">
        <v>37</v>
      </c>
      <c r="CP177" s="124"/>
      <c r="CQ177" s="162">
        <v>0</v>
      </c>
      <c r="CS177" s="160"/>
      <c r="CT177" s="102" t="s">
        <v>36</v>
      </c>
      <c r="CU177" s="148"/>
      <c r="CV177" s="148"/>
      <c r="CW177" s="128"/>
      <c r="CX177" s="156">
        <v>0</v>
      </c>
      <c r="CY177" s="157"/>
      <c r="DA177" s="111" t="s">
        <v>37</v>
      </c>
      <c r="DB177" s="124"/>
      <c r="DC177" s="162">
        <v>0</v>
      </c>
      <c r="DD177" s="2"/>
      <c r="DE177" s="160"/>
      <c r="DF177" s="102" t="s">
        <v>36</v>
      </c>
      <c r="DG177" s="148"/>
      <c r="DH177" s="148"/>
      <c r="DI177" s="128"/>
      <c r="DJ177" s="184">
        <v>0</v>
      </c>
      <c r="DK177" s="185"/>
      <c r="DM177" s="111" t="s">
        <v>37</v>
      </c>
      <c r="DN177" s="124"/>
      <c r="DO177" s="162">
        <v>0</v>
      </c>
      <c r="DP177" s="2"/>
      <c r="DQ177" s="160"/>
      <c r="DR177" s="102" t="s">
        <v>36</v>
      </c>
      <c r="DS177" s="148"/>
      <c r="DT177" s="148"/>
      <c r="DU177" s="128"/>
      <c r="DV177" s="156">
        <v>0</v>
      </c>
      <c r="DW177" s="157"/>
      <c r="DY177" s="111" t="s">
        <v>37</v>
      </c>
      <c r="DZ177" s="124"/>
      <c r="EA177" s="162">
        <v>0</v>
      </c>
      <c r="EC177" s="160"/>
      <c r="ED177" s="102" t="s">
        <v>36</v>
      </c>
      <c r="EE177" s="148"/>
      <c r="EF177" s="148"/>
      <c r="EG177" s="128"/>
      <c r="EH177" s="156">
        <v>0</v>
      </c>
      <c r="EI177" s="157"/>
      <c r="EK177" s="111" t="s">
        <v>37</v>
      </c>
      <c r="EL177" s="124"/>
      <c r="EM177" s="162">
        <v>0</v>
      </c>
      <c r="EO177" s="234"/>
      <c r="EP177" s="156" t="s">
        <v>36</v>
      </c>
      <c r="EQ177" s="187"/>
      <c r="ER177" s="187"/>
      <c r="ES177" s="157"/>
      <c r="ET177" s="156">
        <f t="shared" si="12"/>
        <v>0</v>
      </c>
      <c r="EU177" s="157"/>
      <c r="EW177" s="111" t="s">
        <v>37</v>
      </c>
      <c r="EX177" s="124"/>
      <c r="EY177" s="162">
        <f>K177+W177+AI177+AU177+BG177+BS177+CE177+CQ177+DC177+DO177+EA177+EM177</f>
        <v>632</v>
      </c>
    </row>
    <row r="178" spans="1:155" ht="17.100000000000001" customHeight="1" thickTop="1" thickBot="1" x14ac:dyDescent="0.25">
      <c r="A178" s="111" t="s">
        <v>38</v>
      </c>
      <c r="B178" s="174"/>
      <c r="C178" s="124"/>
      <c r="D178" s="155" t="s">
        <v>39</v>
      </c>
      <c r="E178" s="161"/>
      <c r="F178" s="190">
        <v>381</v>
      </c>
      <c r="G178" s="191"/>
      <c r="I178" s="113"/>
      <c r="J178" s="112"/>
      <c r="K178" s="163"/>
      <c r="M178" s="111" t="s">
        <v>38</v>
      </c>
      <c r="N178" s="174"/>
      <c r="O178" s="124"/>
      <c r="P178" s="155" t="s">
        <v>39</v>
      </c>
      <c r="Q178" s="161"/>
      <c r="R178" s="190">
        <v>527</v>
      </c>
      <c r="S178" s="191"/>
      <c r="U178" s="113"/>
      <c r="V178" s="112"/>
      <c r="W178" s="163"/>
      <c r="Y178" s="111" t="s">
        <v>38</v>
      </c>
      <c r="Z178" s="174"/>
      <c r="AA178" s="124"/>
      <c r="AB178" s="155" t="s">
        <v>39</v>
      </c>
      <c r="AC178" s="161"/>
      <c r="AD178" s="190">
        <v>517</v>
      </c>
      <c r="AE178" s="191"/>
      <c r="AG178" s="113"/>
      <c r="AH178" s="112"/>
      <c r="AI178" s="163"/>
      <c r="AK178" s="111" t="s">
        <v>38</v>
      </c>
      <c r="AL178" s="174"/>
      <c r="AM178" s="124"/>
      <c r="AN178" s="155" t="s">
        <v>39</v>
      </c>
      <c r="AO178" s="161"/>
      <c r="AP178" s="190">
        <v>434</v>
      </c>
      <c r="AQ178" s="191"/>
      <c r="AS178" s="113"/>
      <c r="AT178" s="112"/>
      <c r="AU178" s="163"/>
      <c r="AW178" s="111" t="s">
        <v>38</v>
      </c>
      <c r="AX178" s="174"/>
      <c r="AY178" s="124"/>
      <c r="AZ178" s="155" t="s">
        <v>39</v>
      </c>
      <c r="BA178" s="161"/>
      <c r="BB178" s="155">
        <v>472</v>
      </c>
      <c r="BC178" s="141"/>
      <c r="BE178" s="113"/>
      <c r="BF178" s="112"/>
      <c r="BG178" s="163"/>
      <c r="BI178" s="111" t="s">
        <v>38</v>
      </c>
      <c r="BJ178" s="174"/>
      <c r="BK178" s="124"/>
      <c r="BL178" s="155" t="s">
        <v>39</v>
      </c>
      <c r="BM178" s="161"/>
      <c r="BN178" s="190">
        <v>247</v>
      </c>
      <c r="BO178" s="191"/>
      <c r="BQ178" s="113"/>
      <c r="BR178" s="112"/>
      <c r="BS178" s="163"/>
      <c r="BU178" s="111" t="s">
        <v>38</v>
      </c>
      <c r="BV178" s="174"/>
      <c r="BW178" s="124"/>
      <c r="BX178" s="155" t="s">
        <v>39</v>
      </c>
      <c r="BY178" s="161"/>
      <c r="BZ178" s="190">
        <v>434</v>
      </c>
      <c r="CA178" s="191"/>
      <c r="CC178" s="113"/>
      <c r="CD178" s="112"/>
      <c r="CE178" s="163"/>
      <c r="CG178" s="111" t="s">
        <v>38</v>
      </c>
      <c r="CH178" s="174"/>
      <c r="CI178" s="124"/>
      <c r="CJ178" s="155" t="s">
        <v>39</v>
      </c>
      <c r="CK178" s="161"/>
      <c r="CL178" s="155">
        <v>0</v>
      </c>
      <c r="CM178" s="141"/>
      <c r="CO178" s="113"/>
      <c r="CP178" s="112"/>
      <c r="CQ178" s="163"/>
      <c r="CS178" s="111" t="s">
        <v>38</v>
      </c>
      <c r="CT178" s="174"/>
      <c r="CU178" s="124"/>
      <c r="CV178" s="155" t="s">
        <v>39</v>
      </c>
      <c r="CW178" s="161"/>
      <c r="CX178" s="155">
        <v>0</v>
      </c>
      <c r="CY178" s="141"/>
      <c r="DA178" s="113"/>
      <c r="DB178" s="112"/>
      <c r="DC178" s="163"/>
      <c r="DD178" s="2"/>
      <c r="DE178" s="111" t="s">
        <v>38</v>
      </c>
      <c r="DF178" s="174"/>
      <c r="DG178" s="124"/>
      <c r="DH178" s="155" t="s">
        <v>39</v>
      </c>
      <c r="DI178" s="161"/>
      <c r="DJ178" s="190">
        <v>456</v>
      </c>
      <c r="DK178" s="191"/>
      <c r="DM178" s="113"/>
      <c r="DN178" s="112"/>
      <c r="DO178" s="163"/>
      <c r="DP178" s="2"/>
      <c r="DQ178" s="111" t="s">
        <v>38</v>
      </c>
      <c r="DR178" s="174"/>
      <c r="DS178" s="124"/>
      <c r="DT178" s="155" t="s">
        <v>39</v>
      </c>
      <c r="DU178" s="161"/>
      <c r="DV178" s="155">
        <v>0</v>
      </c>
      <c r="DW178" s="141"/>
      <c r="DY178" s="113"/>
      <c r="DZ178" s="112"/>
      <c r="EA178" s="163"/>
      <c r="EC178" s="111" t="s">
        <v>38</v>
      </c>
      <c r="ED178" s="174"/>
      <c r="EE178" s="124"/>
      <c r="EF178" s="155" t="s">
        <v>39</v>
      </c>
      <c r="EG178" s="161"/>
      <c r="EH178" s="155">
        <v>0</v>
      </c>
      <c r="EI178" s="141"/>
      <c r="EK178" s="113"/>
      <c r="EL178" s="112"/>
      <c r="EM178" s="163"/>
      <c r="EO178" s="111" t="s">
        <v>38</v>
      </c>
      <c r="EP178" s="174"/>
      <c r="EQ178" s="124"/>
      <c r="ER178" s="155" t="s">
        <v>39</v>
      </c>
      <c r="ES178" s="141"/>
      <c r="ET178" s="156">
        <f t="shared" si="12"/>
        <v>3468</v>
      </c>
      <c r="EU178" s="157"/>
      <c r="EW178" s="113"/>
      <c r="EX178" s="112"/>
      <c r="EY178" s="163"/>
    </row>
    <row r="179" spans="1:155" ht="17.100000000000001" customHeight="1" thickBot="1" x14ac:dyDescent="0.25">
      <c r="A179" s="113"/>
      <c r="B179" s="175"/>
      <c r="C179" s="112"/>
      <c r="D179" s="154" t="s">
        <v>40</v>
      </c>
      <c r="E179" s="181"/>
      <c r="F179" s="182">
        <v>0</v>
      </c>
      <c r="G179" s="183"/>
      <c r="I179" s="125"/>
      <c r="J179" s="126"/>
      <c r="K179" s="164"/>
      <c r="M179" s="113"/>
      <c r="N179" s="175"/>
      <c r="O179" s="112"/>
      <c r="P179" s="154" t="s">
        <v>40</v>
      </c>
      <c r="Q179" s="181"/>
      <c r="R179" s="182">
        <v>0</v>
      </c>
      <c r="S179" s="183"/>
      <c r="U179" s="125"/>
      <c r="V179" s="126"/>
      <c r="W179" s="164"/>
      <c r="Y179" s="113"/>
      <c r="Z179" s="175"/>
      <c r="AA179" s="112"/>
      <c r="AB179" s="154" t="s">
        <v>40</v>
      </c>
      <c r="AC179" s="181"/>
      <c r="AD179" s="182">
        <v>0</v>
      </c>
      <c r="AE179" s="183"/>
      <c r="AG179" s="125"/>
      <c r="AH179" s="126"/>
      <c r="AI179" s="164"/>
      <c r="AK179" s="113"/>
      <c r="AL179" s="175"/>
      <c r="AM179" s="112"/>
      <c r="AN179" s="154" t="s">
        <v>40</v>
      </c>
      <c r="AO179" s="181"/>
      <c r="AP179" s="182">
        <v>0</v>
      </c>
      <c r="AQ179" s="183"/>
      <c r="AS179" s="125"/>
      <c r="AT179" s="126"/>
      <c r="AU179" s="164"/>
      <c r="AW179" s="113"/>
      <c r="AX179" s="175"/>
      <c r="AY179" s="112"/>
      <c r="AZ179" s="154" t="s">
        <v>40</v>
      </c>
      <c r="BA179" s="181"/>
      <c r="BB179" s="154">
        <v>0</v>
      </c>
      <c r="BC179" s="142"/>
      <c r="BE179" s="125"/>
      <c r="BF179" s="126"/>
      <c r="BG179" s="164"/>
      <c r="BI179" s="113"/>
      <c r="BJ179" s="175"/>
      <c r="BK179" s="112"/>
      <c r="BL179" s="154" t="s">
        <v>40</v>
      </c>
      <c r="BM179" s="181"/>
      <c r="BN179" s="182">
        <v>0</v>
      </c>
      <c r="BO179" s="183"/>
      <c r="BQ179" s="125"/>
      <c r="BR179" s="126"/>
      <c r="BS179" s="164"/>
      <c r="BU179" s="113"/>
      <c r="BV179" s="175"/>
      <c r="BW179" s="112"/>
      <c r="BX179" s="154" t="s">
        <v>40</v>
      </c>
      <c r="BY179" s="181"/>
      <c r="BZ179" s="182">
        <v>0</v>
      </c>
      <c r="CA179" s="183"/>
      <c r="CC179" s="125"/>
      <c r="CD179" s="126"/>
      <c r="CE179" s="164"/>
      <c r="CG179" s="113"/>
      <c r="CH179" s="175"/>
      <c r="CI179" s="112"/>
      <c r="CJ179" s="154" t="s">
        <v>40</v>
      </c>
      <c r="CK179" s="181"/>
      <c r="CL179" s="154">
        <v>0</v>
      </c>
      <c r="CM179" s="142"/>
      <c r="CO179" s="125"/>
      <c r="CP179" s="126"/>
      <c r="CQ179" s="164"/>
      <c r="CS179" s="113"/>
      <c r="CT179" s="175"/>
      <c r="CU179" s="112"/>
      <c r="CV179" s="154" t="s">
        <v>40</v>
      </c>
      <c r="CW179" s="181"/>
      <c r="CX179" s="154">
        <v>0</v>
      </c>
      <c r="CY179" s="142"/>
      <c r="DA179" s="125"/>
      <c r="DB179" s="126"/>
      <c r="DC179" s="164"/>
      <c r="DD179" s="2"/>
      <c r="DE179" s="113"/>
      <c r="DF179" s="175"/>
      <c r="DG179" s="112"/>
      <c r="DH179" s="154" t="s">
        <v>40</v>
      </c>
      <c r="DI179" s="181"/>
      <c r="DJ179" s="182">
        <v>10</v>
      </c>
      <c r="DK179" s="183"/>
      <c r="DM179" s="125"/>
      <c r="DN179" s="126"/>
      <c r="DO179" s="164"/>
      <c r="DP179" s="2"/>
      <c r="DQ179" s="113"/>
      <c r="DR179" s="175"/>
      <c r="DS179" s="112"/>
      <c r="DT179" s="154" t="s">
        <v>40</v>
      </c>
      <c r="DU179" s="181"/>
      <c r="DV179" s="154">
        <v>0</v>
      </c>
      <c r="DW179" s="142"/>
      <c r="DY179" s="125"/>
      <c r="DZ179" s="126"/>
      <c r="EA179" s="164"/>
      <c r="EC179" s="113"/>
      <c r="ED179" s="175"/>
      <c r="EE179" s="112"/>
      <c r="EF179" s="154" t="s">
        <v>40</v>
      </c>
      <c r="EG179" s="181"/>
      <c r="EH179" s="154">
        <v>0</v>
      </c>
      <c r="EI179" s="142"/>
      <c r="EK179" s="125"/>
      <c r="EL179" s="126"/>
      <c r="EM179" s="164"/>
      <c r="EO179" s="113"/>
      <c r="EP179" s="175"/>
      <c r="EQ179" s="112"/>
      <c r="ER179" s="154" t="s">
        <v>40</v>
      </c>
      <c r="ES179" s="142"/>
      <c r="ET179" s="156">
        <f t="shared" si="12"/>
        <v>10</v>
      </c>
      <c r="EU179" s="157"/>
      <c r="EW179" s="125"/>
      <c r="EX179" s="126"/>
      <c r="EY179" s="164"/>
    </row>
    <row r="180" spans="1:155" ht="17.100000000000001" customHeight="1" thickBot="1" x14ac:dyDescent="0.25">
      <c r="A180" s="113"/>
      <c r="B180" s="175"/>
      <c r="C180" s="112"/>
      <c r="D180" s="154" t="s">
        <v>41</v>
      </c>
      <c r="E180" s="181"/>
      <c r="F180" s="182">
        <v>0</v>
      </c>
      <c r="G180" s="183"/>
      <c r="I180" s="111" t="s">
        <v>20</v>
      </c>
      <c r="J180" s="124"/>
      <c r="K180" s="162">
        <v>221</v>
      </c>
      <c r="M180" s="113"/>
      <c r="N180" s="175"/>
      <c r="O180" s="112"/>
      <c r="P180" s="154" t="s">
        <v>41</v>
      </c>
      <c r="Q180" s="181"/>
      <c r="R180" s="182">
        <v>2</v>
      </c>
      <c r="S180" s="183"/>
      <c r="U180" s="111" t="s">
        <v>20</v>
      </c>
      <c r="V180" s="124"/>
      <c r="W180" s="162">
        <v>0</v>
      </c>
      <c r="Y180" s="113"/>
      <c r="Z180" s="175"/>
      <c r="AA180" s="112"/>
      <c r="AB180" s="154" t="s">
        <v>41</v>
      </c>
      <c r="AC180" s="181"/>
      <c r="AD180" s="182">
        <v>0</v>
      </c>
      <c r="AE180" s="183"/>
      <c r="AG180" s="111" t="s">
        <v>20</v>
      </c>
      <c r="AH180" s="124"/>
      <c r="AI180" s="162">
        <v>0</v>
      </c>
      <c r="AK180" s="113"/>
      <c r="AL180" s="175"/>
      <c r="AM180" s="112"/>
      <c r="AN180" s="154" t="s">
        <v>41</v>
      </c>
      <c r="AO180" s="181"/>
      <c r="AP180" s="182">
        <v>0</v>
      </c>
      <c r="AQ180" s="183"/>
      <c r="AS180" s="111" t="s">
        <v>20</v>
      </c>
      <c r="AT180" s="124"/>
      <c r="AU180" s="162">
        <v>0</v>
      </c>
      <c r="AW180" s="113"/>
      <c r="AX180" s="175"/>
      <c r="AY180" s="112"/>
      <c r="AZ180" s="154" t="s">
        <v>41</v>
      </c>
      <c r="BA180" s="181"/>
      <c r="BB180" s="154">
        <v>2</v>
      </c>
      <c r="BC180" s="142"/>
      <c r="BE180" s="111" t="s">
        <v>20</v>
      </c>
      <c r="BF180" s="124"/>
      <c r="BG180" s="162">
        <v>0</v>
      </c>
      <c r="BI180" s="113"/>
      <c r="BJ180" s="175"/>
      <c r="BK180" s="112"/>
      <c r="BL180" s="154" t="s">
        <v>41</v>
      </c>
      <c r="BM180" s="181"/>
      <c r="BN180" s="182">
        <v>0</v>
      </c>
      <c r="BO180" s="183"/>
      <c r="BQ180" s="111" t="s">
        <v>20</v>
      </c>
      <c r="BR180" s="124"/>
      <c r="BS180" s="162">
        <v>247</v>
      </c>
      <c r="BU180" s="113"/>
      <c r="BV180" s="175"/>
      <c r="BW180" s="112"/>
      <c r="BX180" s="154" t="s">
        <v>41</v>
      </c>
      <c r="BY180" s="181"/>
      <c r="BZ180" s="182">
        <v>0</v>
      </c>
      <c r="CA180" s="183"/>
      <c r="CC180" s="111" t="s">
        <v>20</v>
      </c>
      <c r="CD180" s="124"/>
      <c r="CE180" s="162">
        <v>0</v>
      </c>
      <c r="CG180" s="113"/>
      <c r="CH180" s="175"/>
      <c r="CI180" s="112"/>
      <c r="CJ180" s="154" t="s">
        <v>41</v>
      </c>
      <c r="CK180" s="181"/>
      <c r="CL180" s="154">
        <v>0</v>
      </c>
      <c r="CM180" s="142"/>
      <c r="CO180" s="111" t="s">
        <v>20</v>
      </c>
      <c r="CP180" s="124"/>
      <c r="CQ180" s="162">
        <v>0</v>
      </c>
      <c r="CS180" s="113"/>
      <c r="CT180" s="175"/>
      <c r="CU180" s="112"/>
      <c r="CV180" s="154" t="s">
        <v>41</v>
      </c>
      <c r="CW180" s="181"/>
      <c r="CX180" s="154">
        <v>0</v>
      </c>
      <c r="CY180" s="142"/>
      <c r="DA180" s="111" t="s">
        <v>20</v>
      </c>
      <c r="DB180" s="124"/>
      <c r="DC180" s="162">
        <v>0</v>
      </c>
      <c r="DD180" s="2"/>
      <c r="DE180" s="113"/>
      <c r="DF180" s="175"/>
      <c r="DG180" s="112"/>
      <c r="DH180" s="154" t="s">
        <v>41</v>
      </c>
      <c r="DI180" s="181"/>
      <c r="DJ180" s="182">
        <v>0</v>
      </c>
      <c r="DK180" s="183"/>
      <c r="DM180" s="111" t="s">
        <v>20</v>
      </c>
      <c r="DN180" s="124"/>
      <c r="DO180" s="162">
        <v>0</v>
      </c>
      <c r="DP180" s="2"/>
      <c r="DQ180" s="113"/>
      <c r="DR180" s="175"/>
      <c r="DS180" s="112"/>
      <c r="DT180" s="154" t="s">
        <v>41</v>
      </c>
      <c r="DU180" s="181"/>
      <c r="DV180" s="154">
        <v>0</v>
      </c>
      <c r="DW180" s="142"/>
      <c r="DY180" s="111" t="s">
        <v>20</v>
      </c>
      <c r="DZ180" s="124"/>
      <c r="EA180" s="162">
        <v>0</v>
      </c>
      <c r="EC180" s="113"/>
      <c r="ED180" s="175"/>
      <c r="EE180" s="112"/>
      <c r="EF180" s="154" t="s">
        <v>41</v>
      </c>
      <c r="EG180" s="181"/>
      <c r="EH180" s="154">
        <v>0</v>
      </c>
      <c r="EI180" s="142"/>
      <c r="EK180" s="111" t="s">
        <v>20</v>
      </c>
      <c r="EL180" s="124"/>
      <c r="EM180" s="162">
        <v>0</v>
      </c>
      <c r="EO180" s="113"/>
      <c r="EP180" s="175"/>
      <c r="EQ180" s="112"/>
      <c r="ER180" s="154" t="s">
        <v>41</v>
      </c>
      <c r="ES180" s="142"/>
      <c r="ET180" s="156">
        <f t="shared" si="12"/>
        <v>4</v>
      </c>
      <c r="EU180" s="157"/>
      <c r="EW180" s="111" t="s">
        <v>20</v>
      </c>
      <c r="EX180" s="124"/>
      <c r="EY180" s="162">
        <f>K180+W180+AI180+AU180+BG180+BS180+CE180+CQ180+DC180+DO180+EA180+EM180</f>
        <v>468</v>
      </c>
    </row>
    <row r="181" spans="1:155" ht="17.100000000000001" customHeight="1" thickBot="1" x14ac:dyDescent="0.25">
      <c r="A181" s="125"/>
      <c r="B181" s="175"/>
      <c r="C181" s="112"/>
      <c r="D181" s="188" t="s">
        <v>42</v>
      </c>
      <c r="E181" s="189"/>
      <c r="F181" s="192">
        <v>21</v>
      </c>
      <c r="G181" s="193"/>
      <c r="I181" s="113"/>
      <c r="J181" s="112"/>
      <c r="K181" s="163"/>
      <c r="M181" s="125"/>
      <c r="N181" s="175"/>
      <c r="O181" s="112"/>
      <c r="P181" s="188" t="s">
        <v>42</v>
      </c>
      <c r="Q181" s="189"/>
      <c r="R181" s="192">
        <v>14</v>
      </c>
      <c r="S181" s="193"/>
      <c r="U181" s="113"/>
      <c r="V181" s="112"/>
      <c r="W181" s="163"/>
      <c r="Y181" s="125"/>
      <c r="Z181" s="175"/>
      <c r="AA181" s="112"/>
      <c r="AB181" s="188" t="s">
        <v>42</v>
      </c>
      <c r="AC181" s="189"/>
      <c r="AD181" s="192">
        <v>41</v>
      </c>
      <c r="AE181" s="193"/>
      <c r="AG181" s="113"/>
      <c r="AH181" s="112"/>
      <c r="AI181" s="163"/>
      <c r="AK181" s="125"/>
      <c r="AL181" s="175"/>
      <c r="AM181" s="112"/>
      <c r="AN181" s="188" t="s">
        <v>42</v>
      </c>
      <c r="AO181" s="189"/>
      <c r="AP181" s="192">
        <v>0</v>
      </c>
      <c r="AQ181" s="193"/>
      <c r="AS181" s="113"/>
      <c r="AT181" s="112"/>
      <c r="AU181" s="163"/>
      <c r="AW181" s="125"/>
      <c r="AX181" s="175"/>
      <c r="AY181" s="112"/>
      <c r="AZ181" s="188" t="s">
        <v>42</v>
      </c>
      <c r="BA181" s="189"/>
      <c r="BB181" s="188">
        <v>24</v>
      </c>
      <c r="BC181" s="194"/>
      <c r="BE181" s="113"/>
      <c r="BF181" s="112"/>
      <c r="BG181" s="163"/>
      <c r="BI181" s="125"/>
      <c r="BJ181" s="175"/>
      <c r="BK181" s="112"/>
      <c r="BL181" s="188" t="s">
        <v>42</v>
      </c>
      <c r="BM181" s="189"/>
      <c r="BN181" s="192">
        <v>0</v>
      </c>
      <c r="BO181" s="193"/>
      <c r="BQ181" s="113"/>
      <c r="BR181" s="112"/>
      <c r="BS181" s="163"/>
      <c r="BU181" s="125"/>
      <c r="BV181" s="175"/>
      <c r="BW181" s="112"/>
      <c r="BX181" s="188" t="s">
        <v>42</v>
      </c>
      <c r="BY181" s="189"/>
      <c r="BZ181" s="192">
        <v>0</v>
      </c>
      <c r="CA181" s="193"/>
      <c r="CC181" s="113"/>
      <c r="CD181" s="112"/>
      <c r="CE181" s="163"/>
      <c r="CG181" s="125"/>
      <c r="CH181" s="175"/>
      <c r="CI181" s="112"/>
      <c r="CJ181" s="188" t="s">
        <v>42</v>
      </c>
      <c r="CK181" s="189"/>
      <c r="CL181" s="188">
        <v>0</v>
      </c>
      <c r="CM181" s="194"/>
      <c r="CO181" s="113"/>
      <c r="CP181" s="112"/>
      <c r="CQ181" s="163"/>
      <c r="CS181" s="125"/>
      <c r="CT181" s="175"/>
      <c r="CU181" s="112"/>
      <c r="CV181" s="188" t="s">
        <v>42</v>
      </c>
      <c r="CW181" s="189"/>
      <c r="CX181" s="188">
        <v>0</v>
      </c>
      <c r="CY181" s="194"/>
      <c r="DA181" s="113"/>
      <c r="DB181" s="112"/>
      <c r="DC181" s="163"/>
      <c r="DD181" s="2"/>
      <c r="DE181" s="125"/>
      <c r="DF181" s="175"/>
      <c r="DG181" s="112"/>
      <c r="DH181" s="188" t="s">
        <v>42</v>
      </c>
      <c r="DI181" s="189"/>
      <c r="DJ181" s="192">
        <v>20</v>
      </c>
      <c r="DK181" s="193"/>
      <c r="DM181" s="113"/>
      <c r="DN181" s="112"/>
      <c r="DO181" s="163"/>
      <c r="DP181" s="2"/>
      <c r="DQ181" s="125"/>
      <c r="DR181" s="175"/>
      <c r="DS181" s="112"/>
      <c r="DT181" s="188" t="s">
        <v>42</v>
      </c>
      <c r="DU181" s="189"/>
      <c r="DV181" s="188">
        <v>0</v>
      </c>
      <c r="DW181" s="194"/>
      <c r="DY181" s="113"/>
      <c r="DZ181" s="112"/>
      <c r="EA181" s="163"/>
      <c r="EC181" s="125"/>
      <c r="ED181" s="175"/>
      <c r="EE181" s="112"/>
      <c r="EF181" s="188" t="s">
        <v>42</v>
      </c>
      <c r="EG181" s="189"/>
      <c r="EH181" s="188">
        <v>0</v>
      </c>
      <c r="EI181" s="194"/>
      <c r="EK181" s="113"/>
      <c r="EL181" s="112"/>
      <c r="EM181" s="163"/>
      <c r="EO181" s="125"/>
      <c r="EP181" s="176"/>
      <c r="EQ181" s="126"/>
      <c r="ER181" s="177" t="s">
        <v>42</v>
      </c>
      <c r="ES181" s="178"/>
      <c r="ET181" s="156">
        <f t="shared" si="12"/>
        <v>120</v>
      </c>
      <c r="EU181" s="157"/>
      <c r="EW181" s="113"/>
      <c r="EX181" s="112"/>
      <c r="EY181" s="163"/>
    </row>
    <row r="182" spans="1:155" ht="17.100000000000001" customHeight="1" thickBot="1" x14ac:dyDescent="0.25">
      <c r="A182" s="111" t="s">
        <v>43</v>
      </c>
      <c r="B182" s="61">
        <f>1</f>
        <v>1</v>
      </c>
      <c r="C182" s="62">
        <v>2</v>
      </c>
      <c r="D182" s="62">
        <v>3</v>
      </c>
      <c r="E182" s="62">
        <v>4</v>
      </c>
      <c r="F182" s="62">
        <v>5</v>
      </c>
      <c r="G182" s="80">
        <v>6</v>
      </c>
      <c r="I182" s="125"/>
      <c r="J182" s="126"/>
      <c r="K182" s="164"/>
      <c r="M182" s="111" t="s">
        <v>43</v>
      </c>
      <c r="N182" s="61">
        <f>1</f>
        <v>1</v>
      </c>
      <c r="O182" s="62">
        <v>2</v>
      </c>
      <c r="P182" s="62">
        <v>3</v>
      </c>
      <c r="Q182" s="62">
        <v>4</v>
      </c>
      <c r="R182" s="62">
        <v>5</v>
      </c>
      <c r="S182" s="80">
        <v>6</v>
      </c>
      <c r="U182" s="125"/>
      <c r="V182" s="126"/>
      <c r="W182" s="164"/>
      <c r="Y182" s="111" t="s">
        <v>43</v>
      </c>
      <c r="Z182" s="61">
        <f>1</f>
        <v>1</v>
      </c>
      <c r="AA182" s="62">
        <v>2</v>
      </c>
      <c r="AB182" s="62">
        <v>3</v>
      </c>
      <c r="AC182" s="62">
        <v>4</v>
      </c>
      <c r="AD182" s="62">
        <v>5</v>
      </c>
      <c r="AE182" s="80">
        <v>6</v>
      </c>
      <c r="AG182" s="125"/>
      <c r="AH182" s="126"/>
      <c r="AI182" s="164"/>
      <c r="AK182" s="111" t="s">
        <v>43</v>
      </c>
      <c r="AL182" s="61">
        <f>1</f>
        <v>1</v>
      </c>
      <c r="AM182" s="62">
        <v>2</v>
      </c>
      <c r="AN182" s="62">
        <v>3</v>
      </c>
      <c r="AO182" s="62">
        <v>4</v>
      </c>
      <c r="AP182" s="62">
        <v>5</v>
      </c>
      <c r="AQ182" s="80">
        <v>6</v>
      </c>
      <c r="AS182" s="125"/>
      <c r="AT182" s="126"/>
      <c r="AU182" s="164"/>
      <c r="AW182" s="111" t="s">
        <v>43</v>
      </c>
      <c r="AX182" s="61">
        <f>1</f>
        <v>1</v>
      </c>
      <c r="AY182" s="62">
        <v>2</v>
      </c>
      <c r="AZ182" s="62">
        <v>3</v>
      </c>
      <c r="BA182" s="62">
        <v>4</v>
      </c>
      <c r="BB182" s="62">
        <v>5</v>
      </c>
      <c r="BC182" s="80">
        <v>6</v>
      </c>
      <c r="BE182" s="125"/>
      <c r="BF182" s="126"/>
      <c r="BG182" s="164"/>
      <c r="BI182" s="111" t="s">
        <v>43</v>
      </c>
      <c r="BJ182" s="61">
        <f>1</f>
        <v>1</v>
      </c>
      <c r="BK182" s="62">
        <v>2</v>
      </c>
      <c r="BL182" s="62">
        <v>3</v>
      </c>
      <c r="BM182" s="62">
        <v>4</v>
      </c>
      <c r="BN182" s="62">
        <v>5</v>
      </c>
      <c r="BO182" s="80">
        <v>6</v>
      </c>
      <c r="BQ182" s="125"/>
      <c r="BR182" s="126"/>
      <c r="BS182" s="164"/>
      <c r="BU182" s="111" t="s">
        <v>43</v>
      </c>
      <c r="BV182" s="61">
        <f>1</f>
        <v>1</v>
      </c>
      <c r="BW182" s="62">
        <v>2</v>
      </c>
      <c r="BX182" s="62">
        <v>3</v>
      </c>
      <c r="BY182" s="62">
        <v>4</v>
      </c>
      <c r="BZ182" s="62">
        <v>5</v>
      </c>
      <c r="CA182" s="80">
        <v>6</v>
      </c>
      <c r="CC182" s="125"/>
      <c r="CD182" s="126"/>
      <c r="CE182" s="164"/>
      <c r="CG182" s="111" t="s">
        <v>43</v>
      </c>
      <c r="CH182" s="61">
        <f>1</f>
        <v>1</v>
      </c>
      <c r="CI182" s="62">
        <v>2</v>
      </c>
      <c r="CJ182" s="62">
        <v>3</v>
      </c>
      <c r="CK182" s="62">
        <v>4</v>
      </c>
      <c r="CL182" s="62">
        <v>5</v>
      </c>
      <c r="CM182" s="80">
        <v>6</v>
      </c>
      <c r="CO182" s="125"/>
      <c r="CP182" s="126"/>
      <c r="CQ182" s="164"/>
      <c r="CS182" s="111" t="s">
        <v>43</v>
      </c>
      <c r="CT182" s="61">
        <f>1</f>
        <v>1</v>
      </c>
      <c r="CU182" s="62">
        <v>2</v>
      </c>
      <c r="CV182" s="62">
        <v>3</v>
      </c>
      <c r="CW182" s="62">
        <v>4</v>
      </c>
      <c r="CX182" s="62">
        <v>5</v>
      </c>
      <c r="CY182" s="80">
        <v>6</v>
      </c>
      <c r="DA182" s="125"/>
      <c r="DB182" s="126"/>
      <c r="DC182" s="164"/>
      <c r="DD182" s="2"/>
      <c r="DE182" s="111" t="s">
        <v>43</v>
      </c>
      <c r="DF182" s="61">
        <f>1</f>
        <v>1</v>
      </c>
      <c r="DG182" s="62">
        <v>2</v>
      </c>
      <c r="DH182" s="62">
        <v>3</v>
      </c>
      <c r="DI182" s="62">
        <v>4</v>
      </c>
      <c r="DJ182" s="62">
        <v>5</v>
      </c>
      <c r="DK182" s="80">
        <v>6</v>
      </c>
      <c r="DM182" s="125"/>
      <c r="DN182" s="126"/>
      <c r="DO182" s="164"/>
      <c r="DP182" s="2"/>
      <c r="DQ182" s="111" t="s">
        <v>43</v>
      </c>
      <c r="DR182" s="61">
        <f>1</f>
        <v>1</v>
      </c>
      <c r="DS182" s="62">
        <v>2</v>
      </c>
      <c r="DT182" s="62">
        <v>3</v>
      </c>
      <c r="DU182" s="62">
        <v>4</v>
      </c>
      <c r="DV182" s="62">
        <v>5</v>
      </c>
      <c r="DW182" s="80">
        <v>6</v>
      </c>
      <c r="DY182" s="125"/>
      <c r="DZ182" s="126"/>
      <c r="EA182" s="164"/>
      <c r="EC182" s="111" t="s">
        <v>43</v>
      </c>
      <c r="ED182" s="61">
        <f>1</f>
        <v>1</v>
      </c>
      <c r="EE182" s="62">
        <v>2</v>
      </c>
      <c r="EF182" s="62">
        <v>3</v>
      </c>
      <c r="EG182" s="62">
        <v>4</v>
      </c>
      <c r="EH182" s="62">
        <v>5</v>
      </c>
      <c r="EI182" s="80">
        <v>6</v>
      </c>
      <c r="EK182" s="125"/>
      <c r="EL182" s="126"/>
      <c r="EM182" s="164"/>
      <c r="EO182" s="229" t="s">
        <v>43</v>
      </c>
      <c r="EP182" s="61">
        <f>1</f>
        <v>1</v>
      </c>
      <c r="EQ182" s="62">
        <v>2</v>
      </c>
      <c r="ER182" s="62">
        <v>3</v>
      </c>
      <c r="ES182" s="62">
        <v>4</v>
      </c>
      <c r="ET182" s="62">
        <v>5</v>
      </c>
      <c r="EU182" s="80">
        <v>6</v>
      </c>
      <c r="EW182" s="125"/>
      <c r="EX182" s="126"/>
      <c r="EY182" s="164"/>
    </row>
    <row r="183" spans="1:155" ht="17.100000000000001" customHeight="1" thickTop="1" thickBot="1" x14ac:dyDescent="0.25">
      <c r="A183" s="125"/>
      <c r="B183" s="10">
        <v>10</v>
      </c>
      <c r="C183" s="11">
        <v>6</v>
      </c>
      <c r="D183" s="11">
        <v>22</v>
      </c>
      <c r="E183" s="11">
        <v>3</v>
      </c>
      <c r="F183" s="11">
        <v>0</v>
      </c>
      <c r="G183" s="12">
        <v>0</v>
      </c>
      <c r="H183" s="13"/>
      <c r="I183" s="14"/>
      <c r="J183" s="14"/>
      <c r="K183" s="9">
        <f>SUM(K177:K182)</f>
        <v>381</v>
      </c>
      <c r="M183" s="125"/>
      <c r="N183" s="10">
        <v>20</v>
      </c>
      <c r="O183" s="11">
        <v>40</v>
      </c>
      <c r="P183" s="11">
        <v>30</v>
      </c>
      <c r="Q183" s="11">
        <v>0</v>
      </c>
      <c r="R183" s="11">
        <v>0</v>
      </c>
      <c r="S183" s="12">
        <v>0</v>
      </c>
      <c r="T183" s="13"/>
      <c r="U183" s="14"/>
      <c r="V183" s="14"/>
      <c r="W183" s="9">
        <f>SUM(W177:W182)</f>
        <v>0</v>
      </c>
      <c r="Y183" s="125"/>
      <c r="Z183" s="94">
        <v>32</v>
      </c>
      <c r="AA183" s="95">
        <v>45</v>
      </c>
      <c r="AB183" s="95">
        <v>13</v>
      </c>
      <c r="AC183" s="95">
        <v>0</v>
      </c>
      <c r="AD183" s="95">
        <v>0</v>
      </c>
      <c r="AE183" s="96">
        <v>0</v>
      </c>
      <c r="AF183" s="13"/>
      <c r="AG183" s="14"/>
      <c r="AH183" s="14"/>
      <c r="AI183" s="9">
        <f>SUM(AI177:AI182)</f>
        <v>0</v>
      </c>
      <c r="AK183" s="125"/>
      <c r="AL183" s="10">
        <v>40</v>
      </c>
      <c r="AM183" s="11">
        <v>51</v>
      </c>
      <c r="AN183" s="11">
        <v>30</v>
      </c>
      <c r="AO183" s="11">
        <v>0</v>
      </c>
      <c r="AP183" s="11">
        <v>0</v>
      </c>
      <c r="AQ183" s="12">
        <v>0</v>
      </c>
      <c r="AR183" s="13"/>
      <c r="AS183" s="14"/>
      <c r="AT183" s="14"/>
      <c r="AU183" s="9">
        <f>SUM(AU177:AU182)</f>
        <v>0</v>
      </c>
      <c r="AW183" s="125"/>
      <c r="AX183" s="10">
        <v>52</v>
      </c>
      <c r="AY183" s="11">
        <v>52</v>
      </c>
      <c r="AZ183" s="11">
        <v>40</v>
      </c>
      <c r="BA183" s="11">
        <v>0</v>
      </c>
      <c r="BB183" s="11">
        <v>0</v>
      </c>
      <c r="BC183" s="12">
        <v>0</v>
      </c>
      <c r="BD183" s="13"/>
      <c r="BE183" s="14"/>
      <c r="BF183" s="14"/>
      <c r="BG183" s="9">
        <f>SUM(BG177:BG182)</f>
        <v>472</v>
      </c>
      <c r="BI183" s="125"/>
      <c r="BJ183" s="10">
        <v>13</v>
      </c>
      <c r="BK183" s="11">
        <v>13</v>
      </c>
      <c r="BL183" s="11">
        <v>13</v>
      </c>
      <c r="BM183" s="11">
        <v>0</v>
      </c>
      <c r="BN183" s="11">
        <v>0</v>
      </c>
      <c r="BO183" s="12">
        <v>0</v>
      </c>
      <c r="BP183" s="13"/>
      <c r="BQ183" s="14"/>
      <c r="BR183" s="14"/>
      <c r="BS183" s="9">
        <f>SUM(BS177:BS182)</f>
        <v>247</v>
      </c>
      <c r="BU183" s="125"/>
      <c r="BV183" s="10">
        <v>40</v>
      </c>
      <c r="BW183" s="11">
        <v>51</v>
      </c>
      <c r="BX183" s="11">
        <v>30</v>
      </c>
      <c r="BY183" s="11">
        <v>0</v>
      </c>
      <c r="BZ183" s="11">
        <v>0</v>
      </c>
      <c r="CA183" s="12">
        <v>0</v>
      </c>
      <c r="CB183" s="13"/>
      <c r="CC183" s="14"/>
      <c r="CD183" s="14"/>
      <c r="CE183" s="9">
        <f>SUM(CE177:CE182)</f>
        <v>0</v>
      </c>
      <c r="CG183" s="125"/>
      <c r="CH183" s="10">
        <v>0</v>
      </c>
      <c r="CI183" s="11">
        <v>0</v>
      </c>
      <c r="CJ183" s="11">
        <v>0</v>
      </c>
      <c r="CK183" s="11">
        <v>0</v>
      </c>
      <c r="CL183" s="11">
        <v>0</v>
      </c>
      <c r="CM183" s="12">
        <v>0</v>
      </c>
      <c r="CN183" s="13"/>
      <c r="CO183" s="14"/>
      <c r="CP183" s="14"/>
      <c r="CQ183" s="9">
        <f>SUM(CQ177:CQ182)</f>
        <v>0</v>
      </c>
      <c r="CS183" s="125"/>
      <c r="CT183" s="10">
        <v>0</v>
      </c>
      <c r="CU183" s="11">
        <v>0</v>
      </c>
      <c r="CV183" s="11">
        <v>0</v>
      </c>
      <c r="CW183" s="11">
        <v>0</v>
      </c>
      <c r="CX183" s="11">
        <v>0</v>
      </c>
      <c r="CY183" s="12">
        <v>0</v>
      </c>
      <c r="CZ183" s="13"/>
      <c r="DA183" s="14"/>
      <c r="DB183" s="14"/>
      <c r="DC183" s="9">
        <f>SUM(DC177:DC182)</f>
        <v>0</v>
      </c>
      <c r="DD183" s="2"/>
      <c r="DE183" s="125"/>
      <c r="DF183" s="10">
        <v>10</v>
      </c>
      <c r="DG183" s="11">
        <v>10</v>
      </c>
      <c r="DH183" s="11">
        <v>10</v>
      </c>
      <c r="DI183" s="11">
        <v>0</v>
      </c>
      <c r="DJ183" s="11">
        <v>0</v>
      </c>
      <c r="DK183" s="12">
        <v>0</v>
      </c>
      <c r="DL183" s="13"/>
      <c r="DM183" s="14"/>
      <c r="DN183" s="14"/>
      <c r="DO183" s="9">
        <f>SUM(DO177:DO182)</f>
        <v>0</v>
      </c>
      <c r="DP183" s="2"/>
      <c r="DQ183" s="125"/>
      <c r="DR183" s="10">
        <v>0</v>
      </c>
      <c r="DS183" s="11">
        <v>0</v>
      </c>
      <c r="DT183" s="11">
        <v>0</v>
      </c>
      <c r="DU183" s="11">
        <v>0</v>
      </c>
      <c r="DV183" s="11">
        <v>0</v>
      </c>
      <c r="DW183" s="12">
        <v>0</v>
      </c>
      <c r="DX183" s="13"/>
      <c r="DY183" s="14"/>
      <c r="DZ183" s="14"/>
      <c r="EA183" s="9">
        <f>SUM(EA177:EA182)</f>
        <v>0</v>
      </c>
      <c r="EC183" s="125"/>
      <c r="ED183" s="10">
        <v>0</v>
      </c>
      <c r="EE183" s="11">
        <v>0</v>
      </c>
      <c r="EF183" s="11">
        <v>0</v>
      </c>
      <c r="EG183" s="11">
        <v>0</v>
      </c>
      <c r="EH183" s="11">
        <v>0</v>
      </c>
      <c r="EI183" s="12">
        <v>0</v>
      </c>
      <c r="EJ183" s="13"/>
      <c r="EK183" s="14"/>
      <c r="EL183" s="14"/>
      <c r="EM183" s="9">
        <f>SUM(EM177:EM182)</f>
        <v>0</v>
      </c>
      <c r="EO183" s="237"/>
      <c r="EP183" s="10">
        <f t="shared" ref="EP183:EU183" si="13">B183+N183+Z183+AL183+AX183+BJ183+BV183+CH183+CT183+DF183+DR183+ED183</f>
        <v>217</v>
      </c>
      <c r="EQ183" s="10">
        <f t="shared" si="13"/>
        <v>268</v>
      </c>
      <c r="ER183" s="10">
        <f t="shared" si="13"/>
        <v>188</v>
      </c>
      <c r="ES183" s="10">
        <f t="shared" si="13"/>
        <v>3</v>
      </c>
      <c r="ET183" s="10">
        <f t="shared" si="13"/>
        <v>0</v>
      </c>
      <c r="EU183" s="10">
        <f t="shared" si="13"/>
        <v>0</v>
      </c>
      <c r="EV183" s="13"/>
      <c r="EW183" s="14"/>
      <c r="EX183" s="14"/>
      <c r="EY183" s="9">
        <f>SUM(EY177:EY182)</f>
        <v>1100</v>
      </c>
    </row>
    <row r="184" spans="1:155" ht="18" customHeight="1" thickBot="1" x14ac:dyDescent="0.25">
      <c r="A184" s="59" t="s">
        <v>3</v>
      </c>
      <c r="B184" s="59"/>
      <c r="C184" s="179" t="s">
        <v>65</v>
      </c>
      <c r="D184" s="179"/>
      <c r="E184" s="179"/>
      <c r="G184" s="64"/>
      <c r="H184" s="186"/>
      <c r="I184" s="186"/>
      <c r="J184" s="15"/>
      <c r="M184" s="59" t="s">
        <v>3</v>
      </c>
      <c r="N184" s="59"/>
      <c r="O184" s="179" t="s">
        <v>65</v>
      </c>
      <c r="P184" s="179"/>
      <c r="Q184" s="179"/>
      <c r="S184" s="64"/>
      <c r="T184" s="186"/>
      <c r="U184" s="186"/>
      <c r="V184" s="15"/>
      <c r="Y184" s="59" t="s">
        <v>3</v>
      </c>
      <c r="Z184" s="59"/>
      <c r="AA184" s="179" t="s">
        <v>65</v>
      </c>
      <c r="AB184" s="179"/>
      <c r="AC184" s="179"/>
      <c r="AE184" s="64"/>
      <c r="AF184" s="186"/>
      <c r="AG184" s="186"/>
      <c r="AH184" s="15"/>
      <c r="AK184" s="59" t="s">
        <v>3</v>
      </c>
      <c r="AL184" s="59"/>
      <c r="AM184" s="179" t="s">
        <v>65</v>
      </c>
      <c r="AN184" s="179"/>
      <c r="AO184" s="179"/>
      <c r="AQ184" s="64"/>
      <c r="AR184" s="186"/>
      <c r="AS184" s="186"/>
      <c r="AT184" s="15"/>
      <c r="AW184" s="59" t="s">
        <v>3</v>
      </c>
      <c r="AX184" s="59"/>
      <c r="AY184" s="179" t="s">
        <v>65</v>
      </c>
      <c r="AZ184" s="179"/>
      <c r="BA184" s="179"/>
      <c r="BC184" s="64"/>
      <c r="BD184" s="186"/>
      <c r="BE184" s="186"/>
      <c r="BF184" s="15"/>
      <c r="BI184" s="59" t="s">
        <v>3</v>
      </c>
      <c r="BJ184" s="59"/>
      <c r="BK184" s="179" t="s">
        <v>65</v>
      </c>
      <c r="BL184" s="179"/>
      <c r="BM184" s="179"/>
      <c r="BO184" s="64"/>
      <c r="BP184" s="186"/>
      <c r="BQ184" s="186"/>
      <c r="BR184" s="15"/>
      <c r="BU184" s="59" t="s">
        <v>3</v>
      </c>
      <c r="BV184" s="59"/>
      <c r="BW184" s="179" t="s">
        <v>65</v>
      </c>
      <c r="BX184" s="179"/>
      <c r="BY184" s="179"/>
      <c r="CA184" s="64"/>
      <c r="CB184" s="186"/>
      <c r="CC184" s="186"/>
      <c r="CD184" s="15"/>
      <c r="CG184" s="59" t="s">
        <v>3</v>
      </c>
      <c r="CH184" s="59"/>
      <c r="CI184" s="179" t="s">
        <v>65</v>
      </c>
      <c r="CJ184" s="179"/>
      <c r="CK184" s="179"/>
      <c r="CM184" s="64"/>
      <c r="CN184" s="186"/>
      <c r="CO184" s="186"/>
      <c r="CP184" s="15"/>
      <c r="CS184" s="59" t="s">
        <v>3</v>
      </c>
      <c r="CT184" s="59"/>
      <c r="CU184" s="179" t="s">
        <v>65</v>
      </c>
      <c r="CV184" s="179"/>
      <c r="CW184" s="179"/>
      <c r="CY184" s="64"/>
      <c r="CZ184" s="186"/>
      <c r="DA184" s="186"/>
      <c r="DB184" s="15"/>
      <c r="DD184" s="2"/>
      <c r="DE184" s="59" t="s">
        <v>3</v>
      </c>
      <c r="DF184" s="59"/>
      <c r="DG184" s="179" t="s">
        <v>65</v>
      </c>
      <c r="DH184" s="179"/>
      <c r="DI184" s="179"/>
      <c r="DK184" s="64"/>
      <c r="DL184" s="186"/>
      <c r="DM184" s="186"/>
      <c r="DN184" s="15"/>
      <c r="DP184" s="2"/>
      <c r="DQ184" s="59" t="s">
        <v>3</v>
      </c>
      <c r="DR184" s="59"/>
      <c r="DS184" s="179" t="s">
        <v>65</v>
      </c>
      <c r="DT184" s="179"/>
      <c r="DU184" s="179"/>
      <c r="DW184" s="64"/>
      <c r="DX184" s="186"/>
      <c r="DY184" s="186"/>
      <c r="DZ184" s="15"/>
      <c r="EC184" s="59" t="s">
        <v>3</v>
      </c>
      <c r="ED184" s="59"/>
      <c r="EE184" s="179" t="s">
        <v>65</v>
      </c>
      <c r="EF184" s="179"/>
      <c r="EG184" s="179"/>
      <c r="EI184" s="64"/>
      <c r="EJ184" s="186"/>
      <c r="EK184" s="186"/>
      <c r="EL184" s="15"/>
      <c r="EO184" s="59" t="s">
        <v>3</v>
      </c>
      <c r="EP184" s="59"/>
      <c r="EQ184" s="230" t="str">
        <f>EE184</f>
        <v>الواحة</v>
      </c>
      <c r="ER184" s="230"/>
      <c r="ES184" s="230"/>
      <c r="EU184" s="64"/>
      <c r="EV184" s="148"/>
      <c r="EW184" s="148"/>
      <c r="EX184" s="15"/>
    </row>
    <row r="185" spans="1:155" ht="17.100000000000001" customHeight="1" thickBot="1" x14ac:dyDescent="0.25">
      <c r="A185" s="156" t="s">
        <v>4</v>
      </c>
      <c r="B185" s="187"/>
      <c r="C185" s="187"/>
      <c r="D185" s="187"/>
      <c r="E185" s="157"/>
      <c r="F185" s="156" t="s">
        <v>5</v>
      </c>
      <c r="G185" s="157"/>
      <c r="I185" s="102" t="s">
        <v>6</v>
      </c>
      <c r="J185" s="143" t="s">
        <v>7</v>
      </c>
      <c r="K185" s="165">
        <v>0</v>
      </c>
      <c r="M185" s="156" t="s">
        <v>4</v>
      </c>
      <c r="N185" s="187"/>
      <c r="O185" s="187"/>
      <c r="P185" s="187"/>
      <c r="Q185" s="157"/>
      <c r="R185" s="156" t="s">
        <v>5</v>
      </c>
      <c r="S185" s="157"/>
      <c r="U185" s="102" t="s">
        <v>6</v>
      </c>
      <c r="V185" s="143" t="s">
        <v>7</v>
      </c>
      <c r="W185" s="165">
        <v>136</v>
      </c>
      <c r="Y185" s="156" t="s">
        <v>4</v>
      </c>
      <c r="Z185" s="187"/>
      <c r="AA185" s="187"/>
      <c r="AB185" s="187"/>
      <c r="AC185" s="157"/>
      <c r="AD185" s="156" t="s">
        <v>5</v>
      </c>
      <c r="AE185" s="157"/>
      <c r="AG185" s="102" t="s">
        <v>6</v>
      </c>
      <c r="AH185" s="143" t="s">
        <v>7</v>
      </c>
      <c r="AI185" s="165">
        <v>138</v>
      </c>
      <c r="AK185" s="156" t="s">
        <v>4</v>
      </c>
      <c r="AL185" s="187"/>
      <c r="AM185" s="187"/>
      <c r="AN185" s="187"/>
      <c r="AO185" s="157"/>
      <c r="AP185" s="156" t="s">
        <v>5</v>
      </c>
      <c r="AQ185" s="157"/>
      <c r="AS185" s="102" t="s">
        <v>6</v>
      </c>
      <c r="AT185" s="143" t="s">
        <v>7</v>
      </c>
      <c r="AU185" s="165">
        <v>0</v>
      </c>
      <c r="AW185" s="156" t="s">
        <v>4</v>
      </c>
      <c r="AX185" s="187"/>
      <c r="AY185" s="187"/>
      <c r="AZ185" s="187"/>
      <c r="BA185" s="157"/>
      <c r="BB185" s="156" t="s">
        <v>5</v>
      </c>
      <c r="BC185" s="157"/>
      <c r="BE185" s="102" t="s">
        <v>6</v>
      </c>
      <c r="BF185" s="143" t="s">
        <v>7</v>
      </c>
      <c r="BG185" s="165">
        <v>251</v>
      </c>
      <c r="BI185" s="156" t="s">
        <v>4</v>
      </c>
      <c r="BJ185" s="187"/>
      <c r="BK185" s="187"/>
      <c r="BL185" s="187"/>
      <c r="BM185" s="157"/>
      <c r="BN185" s="156" t="s">
        <v>5</v>
      </c>
      <c r="BO185" s="157"/>
      <c r="BQ185" s="102" t="s">
        <v>6</v>
      </c>
      <c r="BR185" s="143" t="s">
        <v>7</v>
      </c>
      <c r="BS185" s="165">
        <v>161</v>
      </c>
      <c r="BU185" s="156" t="s">
        <v>4</v>
      </c>
      <c r="BV185" s="187"/>
      <c r="BW185" s="187"/>
      <c r="BX185" s="187"/>
      <c r="BY185" s="157"/>
      <c r="BZ185" s="156" t="s">
        <v>5</v>
      </c>
      <c r="CA185" s="157"/>
      <c r="CC185" s="102" t="s">
        <v>6</v>
      </c>
      <c r="CD185" s="143" t="s">
        <v>7</v>
      </c>
      <c r="CE185" s="165">
        <v>0</v>
      </c>
      <c r="CG185" s="156" t="s">
        <v>4</v>
      </c>
      <c r="CH185" s="187"/>
      <c r="CI185" s="187"/>
      <c r="CJ185" s="187"/>
      <c r="CK185" s="157"/>
      <c r="CL185" s="156" t="s">
        <v>5</v>
      </c>
      <c r="CM185" s="157"/>
      <c r="CO185" s="102" t="s">
        <v>6</v>
      </c>
      <c r="CP185" s="143" t="s">
        <v>7</v>
      </c>
      <c r="CQ185" s="165">
        <v>0</v>
      </c>
      <c r="CS185" s="156" t="s">
        <v>4</v>
      </c>
      <c r="CT185" s="187"/>
      <c r="CU185" s="187"/>
      <c r="CV185" s="187"/>
      <c r="CW185" s="157"/>
      <c r="CX185" s="156" t="s">
        <v>5</v>
      </c>
      <c r="CY185" s="157"/>
      <c r="DA185" s="102" t="s">
        <v>6</v>
      </c>
      <c r="DB185" s="143" t="s">
        <v>7</v>
      </c>
      <c r="DC185" s="165">
        <v>0</v>
      </c>
      <c r="DD185" s="2"/>
      <c r="DE185" s="156" t="s">
        <v>4</v>
      </c>
      <c r="DF185" s="187"/>
      <c r="DG185" s="187"/>
      <c r="DH185" s="187"/>
      <c r="DI185" s="157"/>
      <c r="DJ185" s="156" t="s">
        <v>5</v>
      </c>
      <c r="DK185" s="157"/>
      <c r="DM185" s="102" t="s">
        <v>6</v>
      </c>
      <c r="DN185" s="143" t="s">
        <v>7</v>
      </c>
      <c r="DO185" s="165">
        <v>146</v>
      </c>
      <c r="DP185" s="2"/>
      <c r="DQ185" s="156" t="s">
        <v>4</v>
      </c>
      <c r="DR185" s="187"/>
      <c r="DS185" s="187"/>
      <c r="DT185" s="187"/>
      <c r="DU185" s="157"/>
      <c r="DV185" s="156" t="s">
        <v>5</v>
      </c>
      <c r="DW185" s="157"/>
      <c r="DY185" s="102" t="s">
        <v>6</v>
      </c>
      <c r="DZ185" s="143" t="s">
        <v>7</v>
      </c>
      <c r="EA185" s="165">
        <v>0</v>
      </c>
      <c r="EC185" s="156" t="s">
        <v>4</v>
      </c>
      <c r="ED185" s="187"/>
      <c r="EE185" s="187"/>
      <c r="EF185" s="187"/>
      <c r="EG185" s="157"/>
      <c r="EH185" s="156" t="s">
        <v>5</v>
      </c>
      <c r="EI185" s="157"/>
      <c r="EK185" s="102" t="s">
        <v>6</v>
      </c>
      <c r="EL185" s="143" t="s">
        <v>7</v>
      </c>
      <c r="EM185" s="165">
        <v>0</v>
      </c>
      <c r="EO185" s="156" t="s">
        <v>4</v>
      </c>
      <c r="EP185" s="187"/>
      <c r="EQ185" s="187"/>
      <c r="ER185" s="187"/>
      <c r="ES185" s="157"/>
      <c r="ET185" s="156" t="s">
        <v>5</v>
      </c>
      <c r="EU185" s="157"/>
      <c r="EW185" s="121" t="s">
        <v>6</v>
      </c>
      <c r="EX185" s="229" t="s">
        <v>7</v>
      </c>
      <c r="EY185" s="229">
        <f>K185+W185+AI185+AU185+BG185+BS185+CE185+CQ185+DC185+DO185+EA185+EM185</f>
        <v>832</v>
      </c>
    </row>
    <row r="186" spans="1:155" ht="17.100000000000001" customHeight="1" thickTop="1" thickBot="1" x14ac:dyDescent="0.25">
      <c r="A186" s="111" t="s">
        <v>8</v>
      </c>
      <c r="B186" s="174"/>
      <c r="C186" s="174"/>
      <c r="D186" s="155" t="s">
        <v>9</v>
      </c>
      <c r="E186" s="141"/>
      <c r="F186" s="155">
        <v>0</v>
      </c>
      <c r="G186" s="141"/>
      <c r="I186" s="103"/>
      <c r="J186" s="140"/>
      <c r="K186" s="166"/>
      <c r="M186" s="111" t="s">
        <v>8</v>
      </c>
      <c r="N186" s="174"/>
      <c r="O186" s="174"/>
      <c r="P186" s="155" t="s">
        <v>9</v>
      </c>
      <c r="Q186" s="141"/>
      <c r="R186" s="190">
        <v>0</v>
      </c>
      <c r="S186" s="191"/>
      <c r="U186" s="103"/>
      <c r="V186" s="140"/>
      <c r="W186" s="166"/>
      <c r="Y186" s="111" t="s">
        <v>8</v>
      </c>
      <c r="Z186" s="174"/>
      <c r="AA186" s="174"/>
      <c r="AB186" s="155" t="s">
        <v>9</v>
      </c>
      <c r="AC186" s="141"/>
      <c r="AD186" s="190">
        <v>8</v>
      </c>
      <c r="AE186" s="191"/>
      <c r="AG186" s="103"/>
      <c r="AH186" s="140"/>
      <c r="AI186" s="166"/>
      <c r="AK186" s="111" t="s">
        <v>8</v>
      </c>
      <c r="AL186" s="174"/>
      <c r="AM186" s="174"/>
      <c r="AN186" s="155" t="s">
        <v>9</v>
      </c>
      <c r="AO186" s="141"/>
      <c r="AP186" s="155">
        <v>0</v>
      </c>
      <c r="AQ186" s="141"/>
      <c r="AS186" s="103"/>
      <c r="AT186" s="140"/>
      <c r="AU186" s="166"/>
      <c r="AW186" s="111" t="s">
        <v>8</v>
      </c>
      <c r="AX186" s="174"/>
      <c r="AY186" s="174"/>
      <c r="AZ186" s="155" t="s">
        <v>9</v>
      </c>
      <c r="BA186" s="141"/>
      <c r="BB186" s="197">
        <v>0</v>
      </c>
      <c r="BC186" s="198"/>
      <c r="BE186" s="103"/>
      <c r="BF186" s="140"/>
      <c r="BG186" s="166"/>
      <c r="BI186" s="111" t="s">
        <v>8</v>
      </c>
      <c r="BJ186" s="174"/>
      <c r="BK186" s="174"/>
      <c r="BL186" s="155" t="s">
        <v>9</v>
      </c>
      <c r="BM186" s="141"/>
      <c r="BN186" s="190">
        <v>8</v>
      </c>
      <c r="BO186" s="191"/>
      <c r="BQ186" s="103"/>
      <c r="BR186" s="140"/>
      <c r="BS186" s="166"/>
      <c r="BU186" s="111" t="s">
        <v>8</v>
      </c>
      <c r="BV186" s="174"/>
      <c r="BW186" s="174"/>
      <c r="BX186" s="155" t="s">
        <v>9</v>
      </c>
      <c r="BY186" s="141"/>
      <c r="BZ186" s="155">
        <v>0</v>
      </c>
      <c r="CA186" s="141"/>
      <c r="CC186" s="103"/>
      <c r="CD186" s="140"/>
      <c r="CE186" s="166"/>
      <c r="CG186" s="111" t="s">
        <v>8</v>
      </c>
      <c r="CH186" s="174"/>
      <c r="CI186" s="174"/>
      <c r="CJ186" s="155" t="s">
        <v>9</v>
      </c>
      <c r="CK186" s="141"/>
      <c r="CL186" s="155">
        <v>0</v>
      </c>
      <c r="CM186" s="141"/>
      <c r="CO186" s="103"/>
      <c r="CP186" s="140"/>
      <c r="CQ186" s="166"/>
      <c r="CS186" s="111" t="s">
        <v>8</v>
      </c>
      <c r="CT186" s="174"/>
      <c r="CU186" s="174"/>
      <c r="CV186" s="155" t="s">
        <v>9</v>
      </c>
      <c r="CW186" s="141"/>
      <c r="CX186" s="155">
        <v>0</v>
      </c>
      <c r="CY186" s="141"/>
      <c r="DA186" s="103"/>
      <c r="DB186" s="140"/>
      <c r="DC186" s="166"/>
      <c r="DD186" s="2"/>
      <c r="DE186" s="111" t="s">
        <v>8</v>
      </c>
      <c r="DF186" s="174"/>
      <c r="DG186" s="174"/>
      <c r="DH186" s="155" t="s">
        <v>9</v>
      </c>
      <c r="DI186" s="141"/>
      <c r="DJ186" s="190">
        <v>0</v>
      </c>
      <c r="DK186" s="191"/>
      <c r="DM186" s="103"/>
      <c r="DN186" s="140"/>
      <c r="DO186" s="166"/>
      <c r="DP186" s="2"/>
      <c r="DQ186" s="111" t="s">
        <v>8</v>
      </c>
      <c r="DR186" s="174"/>
      <c r="DS186" s="174"/>
      <c r="DT186" s="155" t="s">
        <v>9</v>
      </c>
      <c r="DU186" s="141"/>
      <c r="DV186" s="155">
        <v>0</v>
      </c>
      <c r="DW186" s="141"/>
      <c r="DY186" s="103"/>
      <c r="DZ186" s="140"/>
      <c r="EA186" s="166"/>
      <c r="EC186" s="111" t="s">
        <v>8</v>
      </c>
      <c r="ED186" s="174"/>
      <c r="EE186" s="174"/>
      <c r="EF186" s="155" t="s">
        <v>9</v>
      </c>
      <c r="EG186" s="141"/>
      <c r="EH186" s="155">
        <v>0</v>
      </c>
      <c r="EI186" s="141"/>
      <c r="EK186" s="103"/>
      <c r="EL186" s="140"/>
      <c r="EM186" s="166"/>
      <c r="EO186" s="111" t="s">
        <v>8</v>
      </c>
      <c r="EP186" s="174"/>
      <c r="EQ186" s="124"/>
      <c r="ER186" s="155" t="s">
        <v>9</v>
      </c>
      <c r="ES186" s="141"/>
      <c r="ET186" s="156">
        <f>F186+R186+AD186+AP186+BB186+BN186+BZ186+CL186+CX186+DJ186+DV186+EH186</f>
        <v>16</v>
      </c>
      <c r="EU186" s="157"/>
      <c r="EW186" s="122"/>
      <c r="EX186" s="139"/>
      <c r="EY186" s="237"/>
    </row>
    <row r="187" spans="1:155" ht="17.100000000000001" customHeight="1" thickBot="1" x14ac:dyDescent="0.25">
      <c r="A187" s="113"/>
      <c r="B187" s="175"/>
      <c r="C187" s="175"/>
      <c r="D187" s="154" t="s">
        <v>10</v>
      </c>
      <c r="E187" s="142"/>
      <c r="F187" s="154">
        <v>0</v>
      </c>
      <c r="G187" s="142"/>
      <c r="I187" s="103"/>
      <c r="J187" s="140" t="s">
        <v>11</v>
      </c>
      <c r="K187" s="166">
        <v>0</v>
      </c>
      <c r="M187" s="113"/>
      <c r="N187" s="175"/>
      <c r="O187" s="175"/>
      <c r="P187" s="154" t="s">
        <v>10</v>
      </c>
      <c r="Q187" s="142"/>
      <c r="R187" s="182">
        <v>19</v>
      </c>
      <c r="S187" s="183"/>
      <c r="U187" s="103"/>
      <c r="V187" s="140" t="s">
        <v>11</v>
      </c>
      <c r="W187" s="166">
        <v>215</v>
      </c>
      <c r="Y187" s="113"/>
      <c r="Z187" s="175"/>
      <c r="AA187" s="175"/>
      <c r="AB187" s="154" t="s">
        <v>10</v>
      </c>
      <c r="AC187" s="142"/>
      <c r="AD187" s="182">
        <v>10</v>
      </c>
      <c r="AE187" s="183"/>
      <c r="AG187" s="103"/>
      <c r="AH187" s="140" t="s">
        <v>11</v>
      </c>
      <c r="AI187" s="166">
        <v>205</v>
      </c>
      <c r="AK187" s="113"/>
      <c r="AL187" s="175"/>
      <c r="AM187" s="175"/>
      <c r="AN187" s="154" t="s">
        <v>10</v>
      </c>
      <c r="AO187" s="142"/>
      <c r="AP187" s="154">
        <v>0</v>
      </c>
      <c r="AQ187" s="142"/>
      <c r="AS187" s="103"/>
      <c r="AT187" s="140" t="s">
        <v>11</v>
      </c>
      <c r="AU187" s="166">
        <v>0</v>
      </c>
      <c r="AW187" s="113"/>
      <c r="AX187" s="175"/>
      <c r="AY187" s="175"/>
      <c r="AZ187" s="154" t="s">
        <v>10</v>
      </c>
      <c r="BA187" s="142"/>
      <c r="BB187" s="195">
        <v>0</v>
      </c>
      <c r="BC187" s="196"/>
      <c r="BE187" s="103"/>
      <c r="BF187" s="140" t="s">
        <v>11</v>
      </c>
      <c r="BG187" s="166">
        <v>106</v>
      </c>
      <c r="BI187" s="113"/>
      <c r="BJ187" s="175"/>
      <c r="BK187" s="175"/>
      <c r="BL187" s="154" t="s">
        <v>10</v>
      </c>
      <c r="BM187" s="142"/>
      <c r="BN187" s="182">
        <v>10</v>
      </c>
      <c r="BO187" s="183"/>
      <c r="BQ187" s="103"/>
      <c r="BR187" s="140" t="s">
        <v>11</v>
      </c>
      <c r="BS187" s="166">
        <v>205</v>
      </c>
      <c r="BU187" s="113"/>
      <c r="BV187" s="175"/>
      <c r="BW187" s="175"/>
      <c r="BX187" s="154" t="s">
        <v>10</v>
      </c>
      <c r="BY187" s="142"/>
      <c r="BZ187" s="154">
        <v>0</v>
      </c>
      <c r="CA187" s="142"/>
      <c r="CC187" s="103"/>
      <c r="CD187" s="140" t="s">
        <v>11</v>
      </c>
      <c r="CE187" s="166">
        <v>0</v>
      </c>
      <c r="CG187" s="113"/>
      <c r="CH187" s="175"/>
      <c r="CI187" s="175"/>
      <c r="CJ187" s="154" t="s">
        <v>10</v>
      </c>
      <c r="CK187" s="142"/>
      <c r="CL187" s="154">
        <v>0</v>
      </c>
      <c r="CM187" s="142"/>
      <c r="CO187" s="103"/>
      <c r="CP187" s="140" t="s">
        <v>11</v>
      </c>
      <c r="CQ187" s="166">
        <v>0</v>
      </c>
      <c r="CS187" s="113"/>
      <c r="CT187" s="175"/>
      <c r="CU187" s="175"/>
      <c r="CV187" s="154" t="s">
        <v>10</v>
      </c>
      <c r="CW187" s="142"/>
      <c r="CX187" s="154">
        <v>0</v>
      </c>
      <c r="CY187" s="142"/>
      <c r="DA187" s="103"/>
      <c r="DB187" s="140" t="s">
        <v>11</v>
      </c>
      <c r="DC187" s="166">
        <v>0</v>
      </c>
      <c r="DD187" s="2"/>
      <c r="DE187" s="113"/>
      <c r="DF187" s="175"/>
      <c r="DG187" s="175"/>
      <c r="DH187" s="154" t="s">
        <v>10</v>
      </c>
      <c r="DI187" s="142"/>
      <c r="DJ187" s="182">
        <v>12</v>
      </c>
      <c r="DK187" s="183"/>
      <c r="DM187" s="103"/>
      <c r="DN187" s="140" t="s">
        <v>11</v>
      </c>
      <c r="DO187" s="166">
        <v>209</v>
      </c>
      <c r="DP187" s="2"/>
      <c r="DQ187" s="113"/>
      <c r="DR187" s="175"/>
      <c r="DS187" s="175"/>
      <c r="DT187" s="154" t="s">
        <v>10</v>
      </c>
      <c r="DU187" s="142"/>
      <c r="DV187" s="154">
        <v>0</v>
      </c>
      <c r="DW187" s="142"/>
      <c r="DY187" s="103"/>
      <c r="DZ187" s="140" t="s">
        <v>11</v>
      </c>
      <c r="EA187" s="166">
        <v>0</v>
      </c>
      <c r="EC187" s="113"/>
      <c r="ED187" s="175"/>
      <c r="EE187" s="175"/>
      <c r="EF187" s="154" t="s">
        <v>10</v>
      </c>
      <c r="EG187" s="142"/>
      <c r="EH187" s="154">
        <v>0</v>
      </c>
      <c r="EI187" s="142"/>
      <c r="EK187" s="103"/>
      <c r="EL187" s="140" t="s">
        <v>11</v>
      </c>
      <c r="EM187" s="166">
        <v>0</v>
      </c>
      <c r="EO187" s="113"/>
      <c r="EP187" s="175"/>
      <c r="EQ187" s="112"/>
      <c r="ER187" s="154" t="s">
        <v>10</v>
      </c>
      <c r="ES187" s="142"/>
      <c r="ET187" s="156">
        <f t="shared" ref="ET187:ET207" si="14">F187+R187+AD187+AP187+BB187+BN187+BZ187+CL187+CX187+DJ187+DV187+EH187</f>
        <v>51</v>
      </c>
      <c r="EU187" s="157"/>
      <c r="EW187" s="122"/>
      <c r="EX187" s="238" t="s">
        <v>11</v>
      </c>
      <c r="EY187" s="229">
        <f>K187+W187+AI187+AU187+BG187+BS187+CE187+CQ187+DC187+DO187+EA187+EM187</f>
        <v>940</v>
      </c>
    </row>
    <row r="188" spans="1:155" ht="17.100000000000001" customHeight="1" thickBot="1" x14ac:dyDescent="0.25">
      <c r="A188" s="125"/>
      <c r="B188" s="176"/>
      <c r="C188" s="176"/>
      <c r="D188" s="177" t="s">
        <v>12</v>
      </c>
      <c r="E188" s="178"/>
      <c r="F188" s="177">
        <v>0</v>
      </c>
      <c r="G188" s="178"/>
      <c r="I188" s="151"/>
      <c r="J188" s="144"/>
      <c r="K188" s="180"/>
      <c r="M188" s="125"/>
      <c r="N188" s="176"/>
      <c r="O188" s="176"/>
      <c r="P188" s="177" t="s">
        <v>12</v>
      </c>
      <c r="Q188" s="178"/>
      <c r="R188" s="192">
        <v>0</v>
      </c>
      <c r="S188" s="193"/>
      <c r="U188" s="151"/>
      <c r="V188" s="144"/>
      <c r="W188" s="180"/>
      <c r="Y188" s="125"/>
      <c r="Z188" s="176"/>
      <c r="AA188" s="176"/>
      <c r="AB188" s="177" t="s">
        <v>12</v>
      </c>
      <c r="AC188" s="178"/>
      <c r="AD188" s="192">
        <v>0</v>
      </c>
      <c r="AE188" s="193"/>
      <c r="AG188" s="151"/>
      <c r="AH188" s="144"/>
      <c r="AI188" s="180"/>
      <c r="AK188" s="125"/>
      <c r="AL188" s="176"/>
      <c r="AM188" s="176"/>
      <c r="AN188" s="177" t="s">
        <v>12</v>
      </c>
      <c r="AO188" s="178"/>
      <c r="AP188" s="177">
        <v>0</v>
      </c>
      <c r="AQ188" s="178"/>
      <c r="AS188" s="151"/>
      <c r="AT188" s="144"/>
      <c r="AU188" s="180"/>
      <c r="AW188" s="125"/>
      <c r="AX188" s="176"/>
      <c r="AY188" s="176"/>
      <c r="AZ188" s="177" t="s">
        <v>12</v>
      </c>
      <c r="BA188" s="178"/>
      <c r="BB188" s="199">
        <v>18</v>
      </c>
      <c r="BC188" s="200"/>
      <c r="BE188" s="151"/>
      <c r="BF188" s="144"/>
      <c r="BG188" s="180"/>
      <c r="BI188" s="125"/>
      <c r="BJ188" s="176"/>
      <c r="BK188" s="176"/>
      <c r="BL188" s="177" t="s">
        <v>12</v>
      </c>
      <c r="BM188" s="178"/>
      <c r="BN188" s="192">
        <v>0</v>
      </c>
      <c r="BO188" s="193"/>
      <c r="BQ188" s="151"/>
      <c r="BR188" s="144"/>
      <c r="BS188" s="180"/>
      <c r="BU188" s="125"/>
      <c r="BV188" s="176"/>
      <c r="BW188" s="176"/>
      <c r="BX188" s="177" t="s">
        <v>12</v>
      </c>
      <c r="BY188" s="178"/>
      <c r="BZ188" s="177">
        <v>0</v>
      </c>
      <c r="CA188" s="178"/>
      <c r="CC188" s="151"/>
      <c r="CD188" s="144"/>
      <c r="CE188" s="180"/>
      <c r="CG188" s="125"/>
      <c r="CH188" s="176"/>
      <c r="CI188" s="176"/>
      <c r="CJ188" s="177" t="s">
        <v>12</v>
      </c>
      <c r="CK188" s="178"/>
      <c r="CL188" s="177">
        <v>0</v>
      </c>
      <c r="CM188" s="178"/>
      <c r="CO188" s="151"/>
      <c r="CP188" s="144"/>
      <c r="CQ188" s="180"/>
      <c r="CS188" s="125"/>
      <c r="CT188" s="176"/>
      <c r="CU188" s="176"/>
      <c r="CV188" s="177" t="s">
        <v>12</v>
      </c>
      <c r="CW188" s="178"/>
      <c r="CX188" s="177">
        <v>0</v>
      </c>
      <c r="CY188" s="178"/>
      <c r="DA188" s="151"/>
      <c r="DB188" s="144"/>
      <c r="DC188" s="180"/>
      <c r="DD188" s="2"/>
      <c r="DE188" s="125"/>
      <c r="DF188" s="176"/>
      <c r="DG188" s="176"/>
      <c r="DH188" s="177" t="s">
        <v>12</v>
      </c>
      <c r="DI188" s="178"/>
      <c r="DJ188" s="192">
        <v>0</v>
      </c>
      <c r="DK188" s="193"/>
      <c r="DM188" s="151"/>
      <c r="DN188" s="144"/>
      <c r="DO188" s="180"/>
      <c r="DP188" s="2"/>
      <c r="DQ188" s="125"/>
      <c r="DR188" s="176"/>
      <c r="DS188" s="176"/>
      <c r="DT188" s="177" t="s">
        <v>12</v>
      </c>
      <c r="DU188" s="178"/>
      <c r="DV188" s="177">
        <v>0</v>
      </c>
      <c r="DW188" s="178"/>
      <c r="DY188" s="151"/>
      <c r="DZ188" s="144"/>
      <c r="EA188" s="180"/>
      <c r="EC188" s="125"/>
      <c r="ED188" s="176"/>
      <c r="EE188" s="176"/>
      <c r="EF188" s="177" t="s">
        <v>12</v>
      </c>
      <c r="EG188" s="178"/>
      <c r="EH188" s="177">
        <v>0</v>
      </c>
      <c r="EI188" s="178"/>
      <c r="EK188" s="151"/>
      <c r="EL188" s="144"/>
      <c r="EM188" s="180"/>
      <c r="EO188" s="125"/>
      <c r="EP188" s="176"/>
      <c r="EQ188" s="126"/>
      <c r="ER188" s="177" t="s">
        <v>12</v>
      </c>
      <c r="ES188" s="178"/>
      <c r="ET188" s="156">
        <f t="shared" si="14"/>
        <v>18</v>
      </c>
      <c r="EU188" s="157"/>
      <c r="EW188" s="123"/>
      <c r="EX188" s="237"/>
      <c r="EY188" s="237"/>
    </row>
    <row r="189" spans="1:155" ht="17.100000000000001" customHeight="1" thickTop="1" thickBot="1" x14ac:dyDescent="0.25">
      <c r="A189" s="158" t="s">
        <v>13</v>
      </c>
      <c r="B189" s="111" t="s">
        <v>14</v>
      </c>
      <c r="C189" s="174"/>
      <c r="D189" s="155" t="s">
        <v>29</v>
      </c>
      <c r="E189" s="141"/>
      <c r="F189" s="155">
        <v>0</v>
      </c>
      <c r="G189" s="141"/>
      <c r="I189" s="102" t="s">
        <v>15</v>
      </c>
      <c r="J189" s="143" t="s">
        <v>7</v>
      </c>
      <c r="K189" s="165">
        <v>0</v>
      </c>
      <c r="M189" s="158" t="s">
        <v>13</v>
      </c>
      <c r="N189" s="111" t="s">
        <v>14</v>
      </c>
      <c r="O189" s="174"/>
      <c r="P189" s="155" t="s">
        <v>29</v>
      </c>
      <c r="Q189" s="141"/>
      <c r="R189" s="190">
        <v>50</v>
      </c>
      <c r="S189" s="191"/>
      <c r="U189" s="102" t="s">
        <v>15</v>
      </c>
      <c r="V189" s="143" t="s">
        <v>7</v>
      </c>
      <c r="W189" s="165">
        <v>55</v>
      </c>
      <c r="Y189" s="158" t="s">
        <v>13</v>
      </c>
      <c r="Z189" s="111" t="s">
        <v>14</v>
      </c>
      <c r="AA189" s="174"/>
      <c r="AB189" s="155" t="s">
        <v>29</v>
      </c>
      <c r="AC189" s="141"/>
      <c r="AD189" s="190">
        <v>17</v>
      </c>
      <c r="AE189" s="191"/>
      <c r="AG189" s="102" t="s">
        <v>15</v>
      </c>
      <c r="AH189" s="143" t="s">
        <v>7</v>
      </c>
      <c r="AI189" s="165">
        <v>29</v>
      </c>
      <c r="AK189" s="158" t="s">
        <v>13</v>
      </c>
      <c r="AL189" s="111" t="s">
        <v>14</v>
      </c>
      <c r="AM189" s="174"/>
      <c r="AN189" s="155" t="s">
        <v>29</v>
      </c>
      <c r="AO189" s="141"/>
      <c r="AP189" s="155">
        <v>0</v>
      </c>
      <c r="AQ189" s="141"/>
      <c r="AS189" s="102" t="s">
        <v>15</v>
      </c>
      <c r="AT189" s="143" t="s">
        <v>7</v>
      </c>
      <c r="AU189" s="165">
        <v>0</v>
      </c>
      <c r="AW189" s="158" t="s">
        <v>13</v>
      </c>
      <c r="AX189" s="111" t="s">
        <v>14</v>
      </c>
      <c r="AY189" s="174"/>
      <c r="AZ189" s="155" t="s">
        <v>29</v>
      </c>
      <c r="BA189" s="141"/>
      <c r="BB189" s="197">
        <v>7</v>
      </c>
      <c r="BC189" s="198"/>
      <c r="BE189" s="102" t="s">
        <v>15</v>
      </c>
      <c r="BF189" s="143" t="s">
        <v>7</v>
      </c>
      <c r="BG189" s="165">
        <v>50</v>
      </c>
      <c r="BI189" s="158" t="s">
        <v>13</v>
      </c>
      <c r="BJ189" s="111" t="s">
        <v>14</v>
      </c>
      <c r="BK189" s="174"/>
      <c r="BL189" s="155" t="s">
        <v>29</v>
      </c>
      <c r="BM189" s="141"/>
      <c r="BN189" s="190">
        <v>17</v>
      </c>
      <c r="BO189" s="191"/>
      <c r="BQ189" s="102" t="s">
        <v>15</v>
      </c>
      <c r="BR189" s="143" t="s">
        <v>7</v>
      </c>
      <c r="BS189" s="165">
        <v>29</v>
      </c>
      <c r="BU189" s="158" t="s">
        <v>13</v>
      </c>
      <c r="BV189" s="111" t="s">
        <v>14</v>
      </c>
      <c r="BW189" s="174"/>
      <c r="BX189" s="155" t="s">
        <v>29</v>
      </c>
      <c r="BY189" s="141"/>
      <c r="BZ189" s="155">
        <v>0</v>
      </c>
      <c r="CA189" s="141"/>
      <c r="CC189" s="102" t="s">
        <v>15</v>
      </c>
      <c r="CD189" s="143" t="s">
        <v>7</v>
      </c>
      <c r="CE189" s="165">
        <v>0</v>
      </c>
      <c r="CG189" s="158" t="s">
        <v>13</v>
      </c>
      <c r="CH189" s="111" t="s">
        <v>14</v>
      </c>
      <c r="CI189" s="174"/>
      <c r="CJ189" s="155" t="s">
        <v>29</v>
      </c>
      <c r="CK189" s="141"/>
      <c r="CL189" s="155">
        <v>0</v>
      </c>
      <c r="CM189" s="141"/>
      <c r="CO189" s="102" t="s">
        <v>15</v>
      </c>
      <c r="CP189" s="143" t="s">
        <v>7</v>
      </c>
      <c r="CQ189" s="165">
        <v>0</v>
      </c>
      <c r="CS189" s="158" t="s">
        <v>13</v>
      </c>
      <c r="CT189" s="111" t="s">
        <v>14</v>
      </c>
      <c r="CU189" s="174"/>
      <c r="CV189" s="155" t="s">
        <v>29</v>
      </c>
      <c r="CW189" s="141"/>
      <c r="CX189" s="155">
        <v>0</v>
      </c>
      <c r="CY189" s="141"/>
      <c r="DA189" s="102" t="s">
        <v>15</v>
      </c>
      <c r="DB189" s="143" t="s">
        <v>7</v>
      </c>
      <c r="DC189" s="165">
        <v>0</v>
      </c>
      <c r="DD189" s="2"/>
      <c r="DE189" s="158" t="s">
        <v>13</v>
      </c>
      <c r="DF189" s="111" t="s">
        <v>14</v>
      </c>
      <c r="DG189" s="174"/>
      <c r="DH189" s="155" t="s">
        <v>29</v>
      </c>
      <c r="DI189" s="141"/>
      <c r="DJ189" s="190">
        <v>36</v>
      </c>
      <c r="DK189" s="191"/>
      <c r="DM189" s="102" t="s">
        <v>15</v>
      </c>
      <c r="DN189" s="143" t="s">
        <v>7</v>
      </c>
      <c r="DO189" s="165">
        <v>43</v>
      </c>
      <c r="DP189" s="2"/>
      <c r="DQ189" s="158" t="s">
        <v>13</v>
      </c>
      <c r="DR189" s="111" t="s">
        <v>14</v>
      </c>
      <c r="DS189" s="174"/>
      <c r="DT189" s="155" t="s">
        <v>29</v>
      </c>
      <c r="DU189" s="141"/>
      <c r="DV189" s="155">
        <v>0</v>
      </c>
      <c r="DW189" s="141"/>
      <c r="DY189" s="102" t="s">
        <v>15</v>
      </c>
      <c r="DZ189" s="143" t="s">
        <v>7</v>
      </c>
      <c r="EA189" s="165">
        <v>0</v>
      </c>
      <c r="EC189" s="158" t="s">
        <v>13</v>
      </c>
      <c r="ED189" s="111" t="s">
        <v>14</v>
      </c>
      <c r="EE189" s="174"/>
      <c r="EF189" s="155" t="s">
        <v>29</v>
      </c>
      <c r="EG189" s="141"/>
      <c r="EH189" s="155">
        <v>0</v>
      </c>
      <c r="EI189" s="141"/>
      <c r="EK189" s="102" t="s">
        <v>15</v>
      </c>
      <c r="EL189" s="143" t="s">
        <v>7</v>
      </c>
      <c r="EM189" s="165">
        <v>0</v>
      </c>
      <c r="EO189" s="232" t="s">
        <v>13</v>
      </c>
      <c r="EP189" s="111" t="s">
        <v>14</v>
      </c>
      <c r="EQ189" s="124"/>
      <c r="ER189" s="155" t="s">
        <v>29</v>
      </c>
      <c r="ES189" s="141"/>
      <c r="ET189" s="156">
        <f t="shared" si="14"/>
        <v>127</v>
      </c>
      <c r="EU189" s="157"/>
      <c r="EW189" s="121" t="s">
        <v>15</v>
      </c>
      <c r="EX189" s="229" t="s">
        <v>7</v>
      </c>
      <c r="EY189" s="229">
        <f>K189+W189+AI189+AU189+BG189+BS189+CE189+CQ189+DC189+DO189+EA189+EM189</f>
        <v>206</v>
      </c>
    </row>
    <row r="190" spans="1:155" ht="17.100000000000001" customHeight="1" thickBot="1" x14ac:dyDescent="0.25">
      <c r="A190" s="159"/>
      <c r="B190" s="113"/>
      <c r="C190" s="175"/>
      <c r="D190" s="154" t="s">
        <v>16</v>
      </c>
      <c r="E190" s="142"/>
      <c r="F190" s="154">
        <v>0</v>
      </c>
      <c r="G190" s="142"/>
      <c r="I190" s="103"/>
      <c r="J190" s="140"/>
      <c r="K190" s="166"/>
      <c r="M190" s="159"/>
      <c r="N190" s="113"/>
      <c r="O190" s="175"/>
      <c r="P190" s="154" t="s">
        <v>16</v>
      </c>
      <c r="Q190" s="142"/>
      <c r="R190" s="182">
        <v>3</v>
      </c>
      <c r="S190" s="183"/>
      <c r="U190" s="103"/>
      <c r="V190" s="140"/>
      <c r="W190" s="166"/>
      <c r="Y190" s="159"/>
      <c r="Z190" s="113"/>
      <c r="AA190" s="175"/>
      <c r="AB190" s="154" t="s">
        <v>16</v>
      </c>
      <c r="AC190" s="142"/>
      <c r="AD190" s="182">
        <v>5</v>
      </c>
      <c r="AE190" s="183"/>
      <c r="AG190" s="103"/>
      <c r="AH190" s="140"/>
      <c r="AI190" s="166"/>
      <c r="AK190" s="159"/>
      <c r="AL190" s="113"/>
      <c r="AM190" s="175"/>
      <c r="AN190" s="154" t="s">
        <v>16</v>
      </c>
      <c r="AO190" s="142"/>
      <c r="AP190" s="154">
        <v>0</v>
      </c>
      <c r="AQ190" s="142"/>
      <c r="AS190" s="103"/>
      <c r="AT190" s="140"/>
      <c r="AU190" s="166"/>
      <c r="AW190" s="159"/>
      <c r="AX190" s="113"/>
      <c r="AY190" s="175"/>
      <c r="AZ190" s="154" t="s">
        <v>16</v>
      </c>
      <c r="BA190" s="142"/>
      <c r="BB190" s="195">
        <v>12</v>
      </c>
      <c r="BC190" s="196"/>
      <c r="BE190" s="103"/>
      <c r="BF190" s="140"/>
      <c r="BG190" s="166"/>
      <c r="BI190" s="159"/>
      <c r="BJ190" s="113"/>
      <c r="BK190" s="175"/>
      <c r="BL190" s="154" t="s">
        <v>16</v>
      </c>
      <c r="BM190" s="142"/>
      <c r="BN190" s="182">
        <v>5</v>
      </c>
      <c r="BO190" s="183"/>
      <c r="BQ190" s="103"/>
      <c r="BR190" s="140"/>
      <c r="BS190" s="166"/>
      <c r="BU190" s="159"/>
      <c r="BV190" s="113"/>
      <c r="BW190" s="175"/>
      <c r="BX190" s="154" t="s">
        <v>16</v>
      </c>
      <c r="BY190" s="142"/>
      <c r="BZ190" s="154">
        <v>0</v>
      </c>
      <c r="CA190" s="142"/>
      <c r="CC190" s="103"/>
      <c r="CD190" s="140"/>
      <c r="CE190" s="166"/>
      <c r="CG190" s="159"/>
      <c r="CH190" s="113"/>
      <c r="CI190" s="175"/>
      <c r="CJ190" s="154" t="s">
        <v>16</v>
      </c>
      <c r="CK190" s="142"/>
      <c r="CL190" s="154">
        <v>0</v>
      </c>
      <c r="CM190" s="142"/>
      <c r="CO190" s="103"/>
      <c r="CP190" s="140"/>
      <c r="CQ190" s="166"/>
      <c r="CS190" s="159"/>
      <c r="CT190" s="113"/>
      <c r="CU190" s="175"/>
      <c r="CV190" s="154" t="s">
        <v>16</v>
      </c>
      <c r="CW190" s="142"/>
      <c r="CX190" s="154">
        <v>0</v>
      </c>
      <c r="CY190" s="142"/>
      <c r="DA190" s="103"/>
      <c r="DB190" s="140"/>
      <c r="DC190" s="166"/>
      <c r="DD190" s="2"/>
      <c r="DE190" s="159"/>
      <c r="DF190" s="113"/>
      <c r="DG190" s="175"/>
      <c r="DH190" s="154" t="s">
        <v>16</v>
      </c>
      <c r="DI190" s="142"/>
      <c r="DJ190" s="182">
        <v>13</v>
      </c>
      <c r="DK190" s="183"/>
      <c r="DM190" s="103"/>
      <c r="DN190" s="140"/>
      <c r="DO190" s="166"/>
      <c r="DP190" s="2"/>
      <c r="DQ190" s="159"/>
      <c r="DR190" s="113"/>
      <c r="DS190" s="175"/>
      <c r="DT190" s="154" t="s">
        <v>16</v>
      </c>
      <c r="DU190" s="142"/>
      <c r="DV190" s="154">
        <v>0</v>
      </c>
      <c r="DW190" s="142"/>
      <c r="DY190" s="103"/>
      <c r="DZ190" s="140"/>
      <c r="EA190" s="166"/>
      <c r="EC190" s="159"/>
      <c r="ED190" s="113"/>
      <c r="EE190" s="175"/>
      <c r="EF190" s="154" t="s">
        <v>16</v>
      </c>
      <c r="EG190" s="142"/>
      <c r="EH190" s="154">
        <v>0</v>
      </c>
      <c r="EI190" s="142"/>
      <c r="EK190" s="103"/>
      <c r="EL190" s="140"/>
      <c r="EM190" s="166"/>
      <c r="EO190" s="233"/>
      <c r="EP190" s="113"/>
      <c r="EQ190" s="112"/>
      <c r="ER190" s="154" t="s">
        <v>16</v>
      </c>
      <c r="ES190" s="142"/>
      <c r="ET190" s="156">
        <f t="shared" si="14"/>
        <v>38</v>
      </c>
      <c r="EU190" s="157"/>
      <c r="EW190" s="122"/>
      <c r="EX190" s="139"/>
      <c r="EY190" s="237"/>
    </row>
    <row r="191" spans="1:155" ht="17.100000000000001" customHeight="1" thickBot="1" x14ac:dyDescent="0.25">
      <c r="A191" s="159"/>
      <c r="B191" s="125"/>
      <c r="C191" s="176"/>
      <c r="D191" s="177" t="s">
        <v>17</v>
      </c>
      <c r="E191" s="178"/>
      <c r="F191" s="177">
        <v>0</v>
      </c>
      <c r="G191" s="178"/>
      <c r="I191" s="103"/>
      <c r="J191" s="140" t="s">
        <v>11</v>
      </c>
      <c r="K191" s="166">
        <v>0</v>
      </c>
      <c r="M191" s="159"/>
      <c r="N191" s="125"/>
      <c r="O191" s="176"/>
      <c r="P191" s="177" t="s">
        <v>17</v>
      </c>
      <c r="Q191" s="178"/>
      <c r="R191" s="192">
        <v>0</v>
      </c>
      <c r="S191" s="193"/>
      <c r="U191" s="103"/>
      <c r="V191" s="140" t="s">
        <v>11</v>
      </c>
      <c r="W191" s="166">
        <v>65</v>
      </c>
      <c r="Y191" s="159"/>
      <c r="Z191" s="125"/>
      <c r="AA191" s="176"/>
      <c r="AB191" s="177" t="s">
        <v>17</v>
      </c>
      <c r="AC191" s="178"/>
      <c r="AD191" s="192">
        <v>0</v>
      </c>
      <c r="AE191" s="193"/>
      <c r="AG191" s="103"/>
      <c r="AH191" s="140" t="s">
        <v>11</v>
      </c>
      <c r="AI191" s="166">
        <v>36</v>
      </c>
      <c r="AK191" s="159"/>
      <c r="AL191" s="125"/>
      <c r="AM191" s="176"/>
      <c r="AN191" s="177" t="s">
        <v>17</v>
      </c>
      <c r="AO191" s="178"/>
      <c r="AP191" s="177">
        <v>0</v>
      </c>
      <c r="AQ191" s="178"/>
      <c r="AS191" s="103"/>
      <c r="AT191" s="140" t="s">
        <v>11</v>
      </c>
      <c r="AU191" s="166">
        <v>0</v>
      </c>
      <c r="AW191" s="159"/>
      <c r="AX191" s="125"/>
      <c r="AY191" s="176"/>
      <c r="AZ191" s="177" t="s">
        <v>17</v>
      </c>
      <c r="BA191" s="178"/>
      <c r="BB191" s="199">
        <v>0</v>
      </c>
      <c r="BC191" s="200"/>
      <c r="BE191" s="103"/>
      <c r="BF191" s="140" t="s">
        <v>11</v>
      </c>
      <c r="BG191" s="166">
        <v>0</v>
      </c>
      <c r="BI191" s="159"/>
      <c r="BJ191" s="125"/>
      <c r="BK191" s="176"/>
      <c r="BL191" s="177" t="s">
        <v>17</v>
      </c>
      <c r="BM191" s="178"/>
      <c r="BN191" s="192">
        <v>0</v>
      </c>
      <c r="BO191" s="193"/>
      <c r="BQ191" s="103"/>
      <c r="BR191" s="140" t="s">
        <v>11</v>
      </c>
      <c r="BS191" s="166">
        <v>36</v>
      </c>
      <c r="BU191" s="159"/>
      <c r="BV191" s="125"/>
      <c r="BW191" s="176"/>
      <c r="BX191" s="177" t="s">
        <v>17</v>
      </c>
      <c r="BY191" s="178"/>
      <c r="BZ191" s="177">
        <v>0</v>
      </c>
      <c r="CA191" s="178"/>
      <c r="CC191" s="103"/>
      <c r="CD191" s="140" t="s">
        <v>11</v>
      </c>
      <c r="CE191" s="166">
        <v>0</v>
      </c>
      <c r="CG191" s="159"/>
      <c r="CH191" s="125"/>
      <c r="CI191" s="176"/>
      <c r="CJ191" s="177" t="s">
        <v>17</v>
      </c>
      <c r="CK191" s="178"/>
      <c r="CL191" s="177">
        <v>0</v>
      </c>
      <c r="CM191" s="178"/>
      <c r="CO191" s="103"/>
      <c r="CP191" s="140" t="s">
        <v>11</v>
      </c>
      <c r="CQ191" s="166">
        <v>0</v>
      </c>
      <c r="CS191" s="159"/>
      <c r="CT191" s="125"/>
      <c r="CU191" s="176"/>
      <c r="CV191" s="177" t="s">
        <v>17</v>
      </c>
      <c r="CW191" s="178"/>
      <c r="CX191" s="177">
        <v>0</v>
      </c>
      <c r="CY191" s="178"/>
      <c r="DA191" s="103"/>
      <c r="DB191" s="140" t="s">
        <v>11</v>
      </c>
      <c r="DC191" s="166">
        <v>0</v>
      </c>
      <c r="DD191" s="2"/>
      <c r="DE191" s="159"/>
      <c r="DF191" s="125"/>
      <c r="DG191" s="176"/>
      <c r="DH191" s="177" t="s">
        <v>17</v>
      </c>
      <c r="DI191" s="178"/>
      <c r="DJ191" s="192">
        <v>0</v>
      </c>
      <c r="DK191" s="193"/>
      <c r="DM191" s="103"/>
      <c r="DN191" s="140" t="s">
        <v>11</v>
      </c>
      <c r="DO191" s="166">
        <v>57</v>
      </c>
      <c r="DP191" s="2"/>
      <c r="DQ191" s="159"/>
      <c r="DR191" s="125"/>
      <c r="DS191" s="176"/>
      <c r="DT191" s="177" t="s">
        <v>17</v>
      </c>
      <c r="DU191" s="178"/>
      <c r="DV191" s="177">
        <v>0</v>
      </c>
      <c r="DW191" s="178"/>
      <c r="DY191" s="103"/>
      <c r="DZ191" s="140" t="s">
        <v>11</v>
      </c>
      <c r="EA191" s="166">
        <v>0</v>
      </c>
      <c r="EC191" s="159"/>
      <c r="ED191" s="125"/>
      <c r="EE191" s="176"/>
      <c r="EF191" s="177" t="s">
        <v>17</v>
      </c>
      <c r="EG191" s="178"/>
      <c r="EH191" s="177">
        <v>0</v>
      </c>
      <c r="EI191" s="178"/>
      <c r="EK191" s="103"/>
      <c r="EL191" s="140" t="s">
        <v>11</v>
      </c>
      <c r="EM191" s="166">
        <v>0</v>
      </c>
      <c r="EO191" s="233"/>
      <c r="EP191" s="125"/>
      <c r="EQ191" s="126"/>
      <c r="ER191" s="177" t="s">
        <v>17</v>
      </c>
      <c r="ES191" s="178"/>
      <c r="ET191" s="156">
        <f t="shared" si="14"/>
        <v>0</v>
      </c>
      <c r="EU191" s="157"/>
      <c r="EW191" s="122"/>
      <c r="EX191" s="238" t="s">
        <v>11</v>
      </c>
      <c r="EY191" s="229">
        <f>K191+W191+AI191+AU191+BG191+BS191+CE191+CQ191+DC191+DO191+EA191+EM191</f>
        <v>194</v>
      </c>
    </row>
    <row r="192" spans="1:155" ht="17.100000000000001" customHeight="1" thickTop="1" thickBot="1" x14ac:dyDescent="0.25">
      <c r="A192" s="159"/>
      <c r="B192" s="111" t="s">
        <v>18</v>
      </c>
      <c r="C192" s="174"/>
      <c r="D192" s="155" t="s">
        <v>19</v>
      </c>
      <c r="E192" s="141"/>
      <c r="F192" s="155">
        <v>0</v>
      </c>
      <c r="G192" s="141"/>
      <c r="I192" s="103"/>
      <c r="J192" s="144"/>
      <c r="K192" s="180"/>
      <c r="M192" s="159"/>
      <c r="N192" s="111" t="s">
        <v>18</v>
      </c>
      <c r="O192" s="174"/>
      <c r="P192" s="155" t="s">
        <v>19</v>
      </c>
      <c r="Q192" s="141"/>
      <c r="R192" s="190">
        <v>0</v>
      </c>
      <c r="S192" s="191"/>
      <c r="U192" s="103"/>
      <c r="V192" s="144"/>
      <c r="W192" s="180"/>
      <c r="Y192" s="159"/>
      <c r="Z192" s="111" t="s">
        <v>18</v>
      </c>
      <c r="AA192" s="174"/>
      <c r="AB192" s="155" t="s">
        <v>19</v>
      </c>
      <c r="AC192" s="141"/>
      <c r="AD192" s="190">
        <v>0</v>
      </c>
      <c r="AE192" s="191"/>
      <c r="AG192" s="103"/>
      <c r="AH192" s="144"/>
      <c r="AI192" s="180"/>
      <c r="AK192" s="159"/>
      <c r="AL192" s="111" t="s">
        <v>18</v>
      </c>
      <c r="AM192" s="174"/>
      <c r="AN192" s="155" t="s">
        <v>19</v>
      </c>
      <c r="AO192" s="141"/>
      <c r="AP192" s="155">
        <v>0</v>
      </c>
      <c r="AQ192" s="141"/>
      <c r="AS192" s="103"/>
      <c r="AT192" s="144"/>
      <c r="AU192" s="180"/>
      <c r="AW192" s="159"/>
      <c r="AX192" s="111" t="s">
        <v>18</v>
      </c>
      <c r="AY192" s="174"/>
      <c r="AZ192" s="155" t="s">
        <v>19</v>
      </c>
      <c r="BA192" s="141"/>
      <c r="BB192" s="197">
        <v>0</v>
      </c>
      <c r="BC192" s="198"/>
      <c r="BE192" s="103"/>
      <c r="BF192" s="144"/>
      <c r="BG192" s="180"/>
      <c r="BI192" s="159"/>
      <c r="BJ192" s="111" t="s">
        <v>18</v>
      </c>
      <c r="BK192" s="174"/>
      <c r="BL192" s="155" t="s">
        <v>19</v>
      </c>
      <c r="BM192" s="141"/>
      <c r="BN192" s="190">
        <v>0</v>
      </c>
      <c r="BO192" s="191"/>
      <c r="BQ192" s="103"/>
      <c r="BR192" s="144"/>
      <c r="BS192" s="180"/>
      <c r="BU192" s="159"/>
      <c r="BV192" s="111" t="s">
        <v>18</v>
      </c>
      <c r="BW192" s="174"/>
      <c r="BX192" s="155" t="s">
        <v>19</v>
      </c>
      <c r="BY192" s="141"/>
      <c r="BZ192" s="155">
        <v>0</v>
      </c>
      <c r="CA192" s="141"/>
      <c r="CC192" s="103"/>
      <c r="CD192" s="144"/>
      <c r="CE192" s="180"/>
      <c r="CG192" s="159"/>
      <c r="CH192" s="111" t="s">
        <v>18</v>
      </c>
      <c r="CI192" s="174"/>
      <c r="CJ192" s="155" t="s">
        <v>19</v>
      </c>
      <c r="CK192" s="141"/>
      <c r="CL192" s="155">
        <v>0</v>
      </c>
      <c r="CM192" s="141"/>
      <c r="CO192" s="103"/>
      <c r="CP192" s="144"/>
      <c r="CQ192" s="180"/>
      <c r="CS192" s="159"/>
      <c r="CT192" s="111" t="s">
        <v>18</v>
      </c>
      <c r="CU192" s="174"/>
      <c r="CV192" s="155" t="s">
        <v>19</v>
      </c>
      <c r="CW192" s="141"/>
      <c r="CX192" s="155">
        <v>0</v>
      </c>
      <c r="CY192" s="141"/>
      <c r="DA192" s="103"/>
      <c r="DB192" s="144"/>
      <c r="DC192" s="180"/>
      <c r="DD192" s="2"/>
      <c r="DE192" s="159"/>
      <c r="DF192" s="111" t="s">
        <v>18</v>
      </c>
      <c r="DG192" s="174"/>
      <c r="DH192" s="155" t="s">
        <v>19</v>
      </c>
      <c r="DI192" s="141"/>
      <c r="DJ192" s="190">
        <v>0</v>
      </c>
      <c r="DK192" s="191"/>
      <c r="DM192" s="103"/>
      <c r="DN192" s="144"/>
      <c r="DO192" s="180"/>
      <c r="DP192" s="2"/>
      <c r="DQ192" s="159"/>
      <c r="DR192" s="111" t="s">
        <v>18</v>
      </c>
      <c r="DS192" s="174"/>
      <c r="DT192" s="155" t="s">
        <v>19</v>
      </c>
      <c r="DU192" s="141"/>
      <c r="DV192" s="155">
        <v>0</v>
      </c>
      <c r="DW192" s="141"/>
      <c r="DY192" s="103"/>
      <c r="DZ192" s="144"/>
      <c r="EA192" s="180"/>
      <c r="EC192" s="159"/>
      <c r="ED192" s="111" t="s">
        <v>18</v>
      </c>
      <c r="EE192" s="174"/>
      <c r="EF192" s="155" t="s">
        <v>19</v>
      </c>
      <c r="EG192" s="141"/>
      <c r="EH192" s="155">
        <v>0</v>
      </c>
      <c r="EI192" s="141"/>
      <c r="EK192" s="103"/>
      <c r="EL192" s="144"/>
      <c r="EM192" s="180"/>
      <c r="EO192" s="233"/>
      <c r="EP192" s="111" t="s">
        <v>18</v>
      </c>
      <c r="EQ192" s="124"/>
      <c r="ER192" s="155" t="s">
        <v>19</v>
      </c>
      <c r="ES192" s="141"/>
      <c r="ET192" s="156">
        <f t="shared" si="14"/>
        <v>0</v>
      </c>
      <c r="EU192" s="157"/>
      <c r="EW192" s="123"/>
      <c r="EX192" s="237"/>
      <c r="EY192" s="139"/>
    </row>
    <row r="193" spans="1:155" ht="17.100000000000001" customHeight="1" thickBot="1" x14ac:dyDescent="0.25">
      <c r="A193" s="159"/>
      <c r="B193" s="125"/>
      <c r="C193" s="176"/>
      <c r="D193" s="177" t="s">
        <v>20</v>
      </c>
      <c r="E193" s="178"/>
      <c r="F193" s="177">
        <v>0</v>
      </c>
      <c r="G193" s="178"/>
      <c r="I193" s="167" t="s">
        <v>21</v>
      </c>
      <c r="J193" s="168"/>
      <c r="K193" s="172">
        <f>SUM(K185:K192)</f>
        <v>0</v>
      </c>
      <c r="M193" s="159"/>
      <c r="N193" s="125"/>
      <c r="O193" s="176"/>
      <c r="P193" s="177" t="s">
        <v>20</v>
      </c>
      <c r="Q193" s="178"/>
      <c r="R193" s="192">
        <v>0</v>
      </c>
      <c r="S193" s="193"/>
      <c r="U193" s="167" t="s">
        <v>21</v>
      </c>
      <c r="V193" s="168"/>
      <c r="W193" s="172">
        <f>SUM(W185:W192)</f>
        <v>471</v>
      </c>
      <c r="Y193" s="159"/>
      <c r="Z193" s="125"/>
      <c r="AA193" s="176"/>
      <c r="AB193" s="177" t="s">
        <v>20</v>
      </c>
      <c r="AC193" s="178"/>
      <c r="AD193" s="192">
        <v>0</v>
      </c>
      <c r="AE193" s="193"/>
      <c r="AG193" s="167" t="s">
        <v>21</v>
      </c>
      <c r="AH193" s="168"/>
      <c r="AI193" s="172">
        <f>SUM(AI185:AI192)</f>
        <v>408</v>
      </c>
      <c r="AK193" s="159"/>
      <c r="AL193" s="125"/>
      <c r="AM193" s="176"/>
      <c r="AN193" s="177" t="s">
        <v>20</v>
      </c>
      <c r="AO193" s="178"/>
      <c r="AP193" s="177">
        <v>0</v>
      </c>
      <c r="AQ193" s="178"/>
      <c r="AS193" s="167" t="s">
        <v>21</v>
      </c>
      <c r="AT193" s="168"/>
      <c r="AU193" s="172">
        <f>SUM(AU185:AU192)</f>
        <v>0</v>
      </c>
      <c r="AW193" s="159"/>
      <c r="AX193" s="125"/>
      <c r="AY193" s="176"/>
      <c r="AZ193" s="177" t="s">
        <v>20</v>
      </c>
      <c r="BA193" s="178"/>
      <c r="BB193" s="199">
        <v>0</v>
      </c>
      <c r="BC193" s="200"/>
      <c r="BE193" s="167" t="s">
        <v>21</v>
      </c>
      <c r="BF193" s="168"/>
      <c r="BG193" s="172">
        <f>SUM(BG185:BG192)</f>
        <v>407</v>
      </c>
      <c r="BI193" s="159"/>
      <c r="BJ193" s="125"/>
      <c r="BK193" s="176"/>
      <c r="BL193" s="177" t="s">
        <v>20</v>
      </c>
      <c r="BM193" s="178"/>
      <c r="BN193" s="192">
        <v>0</v>
      </c>
      <c r="BO193" s="193"/>
      <c r="BQ193" s="167" t="s">
        <v>21</v>
      </c>
      <c r="BR193" s="168"/>
      <c r="BS193" s="172">
        <f>SUM(BS185:BS192)</f>
        <v>431</v>
      </c>
      <c r="BU193" s="159"/>
      <c r="BV193" s="125"/>
      <c r="BW193" s="176"/>
      <c r="BX193" s="177" t="s">
        <v>20</v>
      </c>
      <c r="BY193" s="178"/>
      <c r="BZ193" s="177">
        <v>0</v>
      </c>
      <c r="CA193" s="178"/>
      <c r="CC193" s="167" t="s">
        <v>21</v>
      </c>
      <c r="CD193" s="168"/>
      <c r="CE193" s="172">
        <f>SUM(CE185:CE192)</f>
        <v>0</v>
      </c>
      <c r="CG193" s="159"/>
      <c r="CH193" s="125"/>
      <c r="CI193" s="176"/>
      <c r="CJ193" s="177" t="s">
        <v>20</v>
      </c>
      <c r="CK193" s="178"/>
      <c r="CL193" s="177">
        <v>0</v>
      </c>
      <c r="CM193" s="178"/>
      <c r="CO193" s="167" t="s">
        <v>21</v>
      </c>
      <c r="CP193" s="168"/>
      <c r="CQ193" s="172">
        <f>SUM(CQ185:CQ192)</f>
        <v>0</v>
      </c>
      <c r="CS193" s="159"/>
      <c r="CT193" s="125"/>
      <c r="CU193" s="176"/>
      <c r="CV193" s="177" t="s">
        <v>20</v>
      </c>
      <c r="CW193" s="178"/>
      <c r="CX193" s="177">
        <v>0</v>
      </c>
      <c r="CY193" s="178"/>
      <c r="DA193" s="167" t="s">
        <v>21</v>
      </c>
      <c r="DB193" s="168"/>
      <c r="DC193" s="172">
        <f>SUM(DC185:DC192)</f>
        <v>0</v>
      </c>
      <c r="DD193" s="2"/>
      <c r="DE193" s="159"/>
      <c r="DF193" s="125"/>
      <c r="DG193" s="176"/>
      <c r="DH193" s="177" t="s">
        <v>20</v>
      </c>
      <c r="DI193" s="178"/>
      <c r="DJ193" s="192">
        <v>0</v>
      </c>
      <c r="DK193" s="193"/>
      <c r="DM193" s="167" t="s">
        <v>21</v>
      </c>
      <c r="DN193" s="168"/>
      <c r="DO193" s="172">
        <f>SUM(DO185:DO192)</f>
        <v>455</v>
      </c>
      <c r="DP193" s="2"/>
      <c r="DQ193" s="159"/>
      <c r="DR193" s="125"/>
      <c r="DS193" s="176"/>
      <c r="DT193" s="177" t="s">
        <v>20</v>
      </c>
      <c r="DU193" s="178"/>
      <c r="DV193" s="177">
        <v>0</v>
      </c>
      <c r="DW193" s="178"/>
      <c r="DY193" s="167" t="s">
        <v>21</v>
      </c>
      <c r="DZ193" s="168"/>
      <c r="EA193" s="172">
        <f>SUM(EA185:EA192)</f>
        <v>0</v>
      </c>
      <c r="EC193" s="159"/>
      <c r="ED193" s="125"/>
      <c r="EE193" s="176"/>
      <c r="EF193" s="177" t="s">
        <v>20</v>
      </c>
      <c r="EG193" s="178"/>
      <c r="EH193" s="177">
        <v>0</v>
      </c>
      <c r="EI193" s="178"/>
      <c r="EK193" s="167" t="s">
        <v>21</v>
      </c>
      <c r="EL193" s="168"/>
      <c r="EM193" s="172">
        <f>SUM(EM185:EM192)</f>
        <v>0</v>
      </c>
      <c r="EO193" s="233"/>
      <c r="EP193" s="125"/>
      <c r="EQ193" s="126"/>
      <c r="ER193" s="177" t="s">
        <v>20</v>
      </c>
      <c r="ES193" s="178"/>
      <c r="ET193" s="156">
        <f t="shared" si="14"/>
        <v>0</v>
      </c>
      <c r="EU193" s="157"/>
      <c r="EW193" s="167" t="s">
        <v>21</v>
      </c>
      <c r="EX193" s="239"/>
      <c r="EY193" s="240">
        <f>SUM(EY185:EY192)</f>
        <v>2172</v>
      </c>
    </row>
    <row r="194" spans="1:155" ht="17.100000000000001" customHeight="1" thickTop="1" thickBot="1" x14ac:dyDescent="0.25">
      <c r="A194" s="159"/>
      <c r="B194" s="111" t="s">
        <v>22</v>
      </c>
      <c r="C194" s="174"/>
      <c r="D194" s="155" t="s">
        <v>23</v>
      </c>
      <c r="E194" s="141"/>
      <c r="F194" s="155">
        <v>0</v>
      </c>
      <c r="G194" s="141"/>
      <c r="I194" s="169"/>
      <c r="J194" s="168"/>
      <c r="K194" s="172"/>
      <c r="M194" s="159"/>
      <c r="N194" s="111" t="s">
        <v>22</v>
      </c>
      <c r="O194" s="174"/>
      <c r="P194" s="155" t="s">
        <v>23</v>
      </c>
      <c r="Q194" s="141"/>
      <c r="R194" s="190">
        <v>23</v>
      </c>
      <c r="S194" s="191"/>
      <c r="U194" s="169"/>
      <c r="V194" s="168"/>
      <c r="W194" s="172"/>
      <c r="Y194" s="159"/>
      <c r="Z194" s="111" t="s">
        <v>22</v>
      </c>
      <c r="AA194" s="174"/>
      <c r="AB194" s="155" t="s">
        <v>23</v>
      </c>
      <c r="AC194" s="141"/>
      <c r="AD194" s="190">
        <v>24</v>
      </c>
      <c r="AE194" s="191"/>
      <c r="AG194" s="169"/>
      <c r="AH194" s="168"/>
      <c r="AI194" s="172"/>
      <c r="AK194" s="159"/>
      <c r="AL194" s="111" t="s">
        <v>22</v>
      </c>
      <c r="AM194" s="174"/>
      <c r="AN194" s="155" t="s">
        <v>23</v>
      </c>
      <c r="AO194" s="141"/>
      <c r="AP194" s="155">
        <v>0</v>
      </c>
      <c r="AQ194" s="141"/>
      <c r="AS194" s="169"/>
      <c r="AT194" s="168"/>
      <c r="AU194" s="172"/>
      <c r="AW194" s="159"/>
      <c r="AX194" s="111" t="s">
        <v>22</v>
      </c>
      <c r="AY194" s="174"/>
      <c r="AZ194" s="155" t="s">
        <v>23</v>
      </c>
      <c r="BA194" s="141"/>
      <c r="BB194" s="197">
        <v>11</v>
      </c>
      <c r="BC194" s="198"/>
      <c r="BE194" s="169"/>
      <c r="BF194" s="168"/>
      <c r="BG194" s="172"/>
      <c r="BI194" s="159"/>
      <c r="BJ194" s="111" t="s">
        <v>22</v>
      </c>
      <c r="BK194" s="174"/>
      <c r="BL194" s="155" t="s">
        <v>23</v>
      </c>
      <c r="BM194" s="141"/>
      <c r="BN194" s="190">
        <v>24</v>
      </c>
      <c r="BO194" s="191"/>
      <c r="BQ194" s="169"/>
      <c r="BR194" s="168"/>
      <c r="BS194" s="172"/>
      <c r="BU194" s="159"/>
      <c r="BV194" s="111" t="s">
        <v>22</v>
      </c>
      <c r="BW194" s="174"/>
      <c r="BX194" s="155" t="s">
        <v>23</v>
      </c>
      <c r="BY194" s="141"/>
      <c r="BZ194" s="155">
        <v>0</v>
      </c>
      <c r="CA194" s="141"/>
      <c r="CC194" s="169"/>
      <c r="CD194" s="168"/>
      <c r="CE194" s="172"/>
      <c r="CG194" s="159"/>
      <c r="CH194" s="111" t="s">
        <v>22</v>
      </c>
      <c r="CI194" s="174"/>
      <c r="CJ194" s="155" t="s">
        <v>23</v>
      </c>
      <c r="CK194" s="141"/>
      <c r="CL194" s="155">
        <v>0</v>
      </c>
      <c r="CM194" s="141"/>
      <c r="CO194" s="169"/>
      <c r="CP194" s="168"/>
      <c r="CQ194" s="172"/>
      <c r="CS194" s="159"/>
      <c r="CT194" s="111" t="s">
        <v>22</v>
      </c>
      <c r="CU194" s="174"/>
      <c r="CV194" s="155" t="s">
        <v>23</v>
      </c>
      <c r="CW194" s="141"/>
      <c r="CX194" s="155">
        <v>0</v>
      </c>
      <c r="CY194" s="141"/>
      <c r="DA194" s="169"/>
      <c r="DB194" s="168"/>
      <c r="DC194" s="172"/>
      <c r="DD194" s="2"/>
      <c r="DE194" s="159"/>
      <c r="DF194" s="111" t="s">
        <v>22</v>
      </c>
      <c r="DG194" s="174"/>
      <c r="DH194" s="155" t="s">
        <v>23</v>
      </c>
      <c r="DI194" s="141"/>
      <c r="DJ194" s="190">
        <v>17</v>
      </c>
      <c r="DK194" s="191"/>
      <c r="DM194" s="169"/>
      <c r="DN194" s="168"/>
      <c r="DO194" s="172"/>
      <c r="DP194" s="2"/>
      <c r="DQ194" s="159"/>
      <c r="DR194" s="111" t="s">
        <v>22</v>
      </c>
      <c r="DS194" s="174"/>
      <c r="DT194" s="155" t="s">
        <v>23</v>
      </c>
      <c r="DU194" s="141"/>
      <c r="DV194" s="155">
        <v>0</v>
      </c>
      <c r="DW194" s="141"/>
      <c r="DY194" s="169"/>
      <c r="DZ194" s="168"/>
      <c r="EA194" s="172"/>
      <c r="EC194" s="159"/>
      <c r="ED194" s="111" t="s">
        <v>22</v>
      </c>
      <c r="EE194" s="174"/>
      <c r="EF194" s="155" t="s">
        <v>23</v>
      </c>
      <c r="EG194" s="141"/>
      <c r="EH194" s="155">
        <v>0</v>
      </c>
      <c r="EI194" s="141"/>
      <c r="EK194" s="169"/>
      <c r="EL194" s="168"/>
      <c r="EM194" s="172"/>
      <c r="EO194" s="233"/>
      <c r="EP194" s="111" t="s">
        <v>22</v>
      </c>
      <c r="EQ194" s="124"/>
      <c r="ER194" s="155" t="s">
        <v>23</v>
      </c>
      <c r="ES194" s="141"/>
      <c r="ET194" s="156">
        <f t="shared" si="14"/>
        <v>99</v>
      </c>
      <c r="EU194" s="157"/>
      <c r="EW194" s="169"/>
      <c r="EX194" s="168"/>
      <c r="EY194" s="172"/>
    </row>
    <row r="195" spans="1:155" ht="17.100000000000001" customHeight="1" thickBot="1" x14ac:dyDescent="0.25">
      <c r="A195" s="159"/>
      <c r="B195" s="113"/>
      <c r="C195" s="175"/>
      <c r="D195" s="154" t="s">
        <v>24</v>
      </c>
      <c r="E195" s="142"/>
      <c r="F195" s="154">
        <v>0</v>
      </c>
      <c r="G195" s="142"/>
      <c r="I195" s="170"/>
      <c r="J195" s="171"/>
      <c r="K195" s="173"/>
      <c r="M195" s="159"/>
      <c r="N195" s="113"/>
      <c r="O195" s="175"/>
      <c r="P195" s="154" t="s">
        <v>24</v>
      </c>
      <c r="Q195" s="142"/>
      <c r="R195" s="182">
        <v>0</v>
      </c>
      <c r="S195" s="183"/>
      <c r="U195" s="170"/>
      <c r="V195" s="171"/>
      <c r="W195" s="173"/>
      <c r="Y195" s="159"/>
      <c r="Z195" s="113"/>
      <c r="AA195" s="175"/>
      <c r="AB195" s="154" t="s">
        <v>24</v>
      </c>
      <c r="AC195" s="142"/>
      <c r="AD195" s="182">
        <v>0</v>
      </c>
      <c r="AE195" s="183"/>
      <c r="AG195" s="170"/>
      <c r="AH195" s="171"/>
      <c r="AI195" s="173"/>
      <c r="AK195" s="159"/>
      <c r="AL195" s="113"/>
      <c r="AM195" s="175"/>
      <c r="AN195" s="154" t="s">
        <v>24</v>
      </c>
      <c r="AO195" s="142"/>
      <c r="AP195" s="154">
        <v>0</v>
      </c>
      <c r="AQ195" s="142"/>
      <c r="AS195" s="170"/>
      <c r="AT195" s="171"/>
      <c r="AU195" s="173"/>
      <c r="AW195" s="159"/>
      <c r="AX195" s="113"/>
      <c r="AY195" s="175"/>
      <c r="AZ195" s="154" t="s">
        <v>24</v>
      </c>
      <c r="BA195" s="142"/>
      <c r="BB195" s="195">
        <v>0</v>
      </c>
      <c r="BC195" s="196"/>
      <c r="BE195" s="170"/>
      <c r="BF195" s="171"/>
      <c r="BG195" s="173"/>
      <c r="BI195" s="159"/>
      <c r="BJ195" s="113"/>
      <c r="BK195" s="175"/>
      <c r="BL195" s="154" t="s">
        <v>24</v>
      </c>
      <c r="BM195" s="142"/>
      <c r="BN195" s="182">
        <v>0</v>
      </c>
      <c r="BO195" s="183"/>
      <c r="BQ195" s="170"/>
      <c r="BR195" s="171"/>
      <c r="BS195" s="173"/>
      <c r="BU195" s="159"/>
      <c r="BV195" s="113"/>
      <c r="BW195" s="175"/>
      <c r="BX195" s="154" t="s">
        <v>24</v>
      </c>
      <c r="BY195" s="142"/>
      <c r="BZ195" s="154">
        <v>0</v>
      </c>
      <c r="CA195" s="142"/>
      <c r="CC195" s="170"/>
      <c r="CD195" s="171"/>
      <c r="CE195" s="173"/>
      <c r="CG195" s="159"/>
      <c r="CH195" s="113"/>
      <c r="CI195" s="175"/>
      <c r="CJ195" s="154" t="s">
        <v>24</v>
      </c>
      <c r="CK195" s="142"/>
      <c r="CL195" s="154">
        <v>0</v>
      </c>
      <c r="CM195" s="142"/>
      <c r="CO195" s="170"/>
      <c r="CP195" s="171"/>
      <c r="CQ195" s="173"/>
      <c r="CS195" s="159"/>
      <c r="CT195" s="113"/>
      <c r="CU195" s="175"/>
      <c r="CV195" s="154" t="s">
        <v>24</v>
      </c>
      <c r="CW195" s="142"/>
      <c r="CX195" s="154">
        <v>0</v>
      </c>
      <c r="CY195" s="142"/>
      <c r="DA195" s="170"/>
      <c r="DB195" s="171"/>
      <c r="DC195" s="173"/>
      <c r="DD195" s="2"/>
      <c r="DE195" s="159"/>
      <c r="DF195" s="113"/>
      <c r="DG195" s="175"/>
      <c r="DH195" s="154" t="s">
        <v>24</v>
      </c>
      <c r="DI195" s="142"/>
      <c r="DJ195" s="182">
        <v>0</v>
      </c>
      <c r="DK195" s="183"/>
      <c r="DM195" s="170"/>
      <c r="DN195" s="171"/>
      <c r="DO195" s="173"/>
      <c r="DP195" s="2"/>
      <c r="DQ195" s="159"/>
      <c r="DR195" s="113"/>
      <c r="DS195" s="175"/>
      <c r="DT195" s="154" t="s">
        <v>24</v>
      </c>
      <c r="DU195" s="142"/>
      <c r="DV195" s="154">
        <v>0</v>
      </c>
      <c r="DW195" s="142"/>
      <c r="DY195" s="170"/>
      <c r="DZ195" s="171"/>
      <c r="EA195" s="173"/>
      <c r="EC195" s="159"/>
      <c r="ED195" s="113"/>
      <c r="EE195" s="175"/>
      <c r="EF195" s="154" t="s">
        <v>24</v>
      </c>
      <c r="EG195" s="142"/>
      <c r="EH195" s="154">
        <v>0</v>
      </c>
      <c r="EI195" s="142"/>
      <c r="EK195" s="170"/>
      <c r="EL195" s="171"/>
      <c r="EM195" s="173"/>
      <c r="EO195" s="233"/>
      <c r="EP195" s="113"/>
      <c r="EQ195" s="112"/>
      <c r="ER195" s="154" t="s">
        <v>24</v>
      </c>
      <c r="ES195" s="142"/>
      <c r="ET195" s="156">
        <f t="shared" si="14"/>
        <v>0</v>
      </c>
      <c r="EU195" s="157"/>
      <c r="EW195" s="170"/>
      <c r="EX195" s="171"/>
      <c r="EY195" s="173"/>
    </row>
    <row r="196" spans="1:155" ht="17.100000000000001" customHeight="1" thickBot="1" x14ac:dyDescent="0.25">
      <c r="A196" s="159"/>
      <c r="B196" s="113"/>
      <c r="C196" s="175"/>
      <c r="D196" s="154" t="s">
        <v>25</v>
      </c>
      <c r="E196" s="142"/>
      <c r="F196" s="154">
        <v>0</v>
      </c>
      <c r="G196" s="142"/>
      <c r="I196" s="111" t="s">
        <v>26</v>
      </c>
      <c r="J196" s="124"/>
      <c r="K196" s="162">
        <v>0</v>
      </c>
      <c r="M196" s="159"/>
      <c r="N196" s="113"/>
      <c r="O196" s="175"/>
      <c r="P196" s="154" t="s">
        <v>25</v>
      </c>
      <c r="Q196" s="142"/>
      <c r="R196" s="182">
        <v>109</v>
      </c>
      <c r="S196" s="183"/>
      <c r="U196" s="111" t="s">
        <v>26</v>
      </c>
      <c r="V196" s="124"/>
      <c r="W196" s="162">
        <v>471</v>
      </c>
      <c r="Y196" s="159"/>
      <c r="Z196" s="113"/>
      <c r="AA196" s="175"/>
      <c r="AB196" s="154" t="s">
        <v>25</v>
      </c>
      <c r="AC196" s="142"/>
      <c r="AD196" s="182">
        <v>63</v>
      </c>
      <c r="AE196" s="183"/>
      <c r="AG196" s="111" t="s">
        <v>26</v>
      </c>
      <c r="AH196" s="124"/>
      <c r="AI196" s="162">
        <v>408</v>
      </c>
      <c r="AK196" s="159"/>
      <c r="AL196" s="113"/>
      <c r="AM196" s="175"/>
      <c r="AN196" s="154" t="s">
        <v>25</v>
      </c>
      <c r="AO196" s="142"/>
      <c r="AP196" s="154">
        <v>0</v>
      </c>
      <c r="AQ196" s="142"/>
      <c r="AS196" s="111" t="s">
        <v>26</v>
      </c>
      <c r="AT196" s="124"/>
      <c r="AU196" s="162">
        <v>0</v>
      </c>
      <c r="AW196" s="159"/>
      <c r="AX196" s="113"/>
      <c r="AY196" s="175"/>
      <c r="AZ196" s="154" t="s">
        <v>25</v>
      </c>
      <c r="BA196" s="142"/>
      <c r="BB196" s="195">
        <v>135</v>
      </c>
      <c r="BC196" s="196"/>
      <c r="BE196" s="111" t="s">
        <v>26</v>
      </c>
      <c r="BF196" s="124"/>
      <c r="BG196" s="162">
        <v>407</v>
      </c>
      <c r="BI196" s="159"/>
      <c r="BJ196" s="113"/>
      <c r="BK196" s="175"/>
      <c r="BL196" s="154" t="s">
        <v>25</v>
      </c>
      <c r="BM196" s="142"/>
      <c r="BN196" s="182">
        <v>63</v>
      </c>
      <c r="BO196" s="183"/>
      <c r="BQ196" s="111" t="s">
        <v>26</v>
      </c>
      <c r="BR196" s="124"/>
      <c r="BS196" s="162">
        <v>431</v>
      </c>
      <c r="BU196" s="159"/>
      <c r="BV196" s="113"/>
      <c r="BW196" s="175"/>
      <c r="BX196" s="154" t="s">
        <v>25</v>
      </c>
      <c r="BY196" s="142"/>
      <c r="BZ196" s="154">
        <v>0</v>
      </c>
      <c r="CA196" s="142"/>
      <c r="CC196" s="111" t="s">
        <v>26</v>
      </c>
      <c r="CD196" s="124"/>
      <c r="CE196" s="162">
        <v>0</v>
      </c>
      <c r="CG196" s="159"/>
      <c r="CH196" s="113"/>
      <c r="CI196" s="175"/>
      <c r="CJ196" s="154" t="s">
        <v>25</v>
      </c>
      <c r="CK196" s="142"/>
      <c r="CL196" s="154">
        <v>0</v>
      </c>
      <c r="CM196" s="142"/>
      <c r="CO196" s="111" t="s">
        <v>26</v>
      </c>
      <c r="CP196" s="124"/>
      <c r="CQ196" s="162">
        <v>0</v>
      </c>
      <c r="CS196" s="159"/>
      <c r="CT196" s="113"/>
      <c r="CU196" s="175"/>
      <c r="CV196" s="154" t="s">
        <v>25</v>
      </c>
      <c r="CW196" s="142"/>
      <c r="CX196" s="154">
        <v>0</v>
      </c>
      <c r="CY196" s="142"/>
      <c r="DA196" s="111" t="s">
        <v>26</v>
      </c>
      <c r="DB196" s="124"/>
      <c r="DC196" s="162">
        <v>0</v>
      </c>
      <c r="DD196" s="2"/>
      <c r="DE196" s="159"/>
      <c r="DF196" s="113"/>
      <c r="DG196" s="175"/>
      <c r="DH196" s="154" t="s">
        <v>25</v>
      </c>
      <c r="DI196" s="142"/>
      <c r="DJ196" s="182">
        <v>39</v>
      </c>
      <c r="DK196" s="183"/>
      <c r="DM196" s="111" t="s">
        <v>26</v>
      </c>
      <c r="DN196" s="124"/>
      <c r="DO196" s="162">
        <v>446</v>
      </c>
      <c r="DP196" s="2"/>
      <c r="DQ196" s="159"/>
      <c r="DR196" s="113"/>
      <c r="DS196" s="175"/>
      <c r="DT196" s="154" t="s">
        <v>25</v>
      </c>
      <c r="DU196" s="142"/>
      <c r="DV196" s="154">
        <v>0</v>
      </c>
      <c r="DW196" s="142"/>
      <c r="DY196" s="111" t="s">
        <v>26</v>
      </c>
      <c r="DZ196" s="124"/>
      <c r="EA196" s="162">
        <v>0</v>
      </c>
      <c r="EC196" s="159"/>
      <c r="ED196" s="113"/>
      <c r="EE196" s="175"/>
      <c r="EF196" s="154" t="s">
        <v>25</v>
      </c>
      <c r="EG196" s="142"/>
      <c r="EH196" s="154">
        <v>0</v>
      </c>
      <c r="EI196" s="142"/>
      <c r="EK196" s="111" t="s">
        <v>26</v>
      </c>
      <c r="EL196" s="124"/>
      <c r="EM196" s="162">
        <v>0</v>
      </c>
      <c r="EO196" s="233"/>
      <c r="EP196" s="113"/>
      <c r="EQ196" s="112"/>
      <c r="ER196" s="154" t="s">
        <v>25</v>
      </c>
      <c r="ES196" s="142"/>
      <c r="ET196" s="156">
        <f t="shared" si="14"/>
        <v>409</v>
      </c>
      <c r="EU196" s="157"/>
      <c r="EW196" s="111" t="s">
        <v>26</v>
      </c>
      <c r="EX196" s="124"/>
      <c r="EY196" s="162">
        <f>K196+W196+AI196+AU196+BG196+BS196+CE196+CQ196+DC196+DO196+EA196+EM196</f>
        <v>2163</v>
      </c>
    </row>
    <row r="197" spans="1:155" ht="17.100000000000001" customHeight="1" thickBot="1" x14ac:dyDescent="0.25">
      <c r="A197" s="159"/>
      <c r="B197" s="125"/>
      <c r="C197" s="176"/>
      <c r="D197" s="177" t="s">
        <v>27</v>
      </c>
      <c r="E197" s="178"/>
      <c r="F197" s="177">
        <v>0</v>
      </c>
      <c r="G197" s="178"/>
      <c r="I197" s="113"/>
      <c r="J197" s="112"/>
      <c r="K197" s="163"/>
      <c r="M197" s="159"/>
      <c r="N197" s="125"/>
      <c r="O197" s="176"/>
      <c r="P197" s="177" t="s">
        <v>27</v>
      </c>
      <c r="Q197" s="178"/>
      <c r="R197" s="192">
        <v>31</v>
      </c>
      <c r="S197" s="193"/>
      <c r="U197" s="113"/>
      <c r="V197" s="112"/>
      <c r="W197" s="163"/>
      <c r="Y197" s="159"/>
      <c r="Z197" s="125"/>
      <c r="AA197" s="176"/>
      <c r="AB197" s="177" t="s">
        <v>27</v>
      </c>
      <c r="AC197" s="178"/>
      <c r="AD197" s="192">
        <v>31</v>
      </c>
      <c r="AE197" s="193"/>
      <c r="AG197" s="113"/>
      <c r="AH197" s="112"/>
      <c r="AI197" s="163"/>
      <c r="AK197" s="159"/>
      <c r="AL197" s="125"/>
      <c r="AM197" s="176"/>
      <c r="AN197" s="177" t="s">
        <v>27</v>
      </c>
      <c r="AO197" s="178"/>
      <c r="AP197" s="177">
        <v>0</v>
      </c>
      <c r="AQ197" s="178"/>
      <c r="AS197" s="113"/>
      <c r="AT197" s="112"/>
      <c r="AU197" s="163"/>
      <c r="AW197" s="159"/>
      <c r="AX197" s="125"/>
      <c r="AY197" s="176"/>
      <c r="AZ197" s="177" t="s">
        <v>27</v>
      </c>
      <c r="BA197" s="178"/>
      <c r="BB197" s="199">
        <v>188</v>
      </c>
      <c r="BC197" s="200"/>
      <c r="BE197" s="113"/>
      <c r="BF197" s="112"/>
      <c r="BG197" s="163"/>
      <c r="BI197" s="159"/>
      <c r="BJ197" s="125"/>
      <c r="BK197" s="176"/>
      <c r="BL197" s="177" t="s">
        <v>27</v>
      </c>
      <c r="BM197" s="178"/>
      <c r="BN197" s="192">
        <v>31</v>
      </c>
      <c r="BO197" s="193"/>
      <c r="BQ197" s="113"/>
      <c r="BR197" s="112"/>
      <c r="BS197" s="163"/>
      <c r="BU197" s="159"/>
      <c r="BV197" s="125"/>
      <c r="BW197" s="176"/>
      <c r="BX197" s="177" t="s">
        <v>27</v>
      </c>
      <c r="BY197" s="178"/>
      <c r="BZ197" s="177">
        <v>0</v>
      </c>
      <c r="CA197" s="178"/>
      <c r="CC197" s="113"/>
      <c r="CD197" s="112"/>
      <c r="CE197" s="163"/>
      <c r="CG197" s="159"/>
      <c r="CH197" s="125"/>
      <c r="CI197" s="176"/>
      <c r="CJ197" s="177" t="s">
        <v>27</v>
      </c>
      <c r="CK197" s="178"/>
      <c r="CL197" s="177">
        <v>0</v>
      </c>
      <c r="CM197" s="178"/>
      <c r="CO197" s="113"/>
      <c r="CP197" s="112"/>
      <c r="CQ197" s="163"/>
      <c r="CS197" s="159"/>
      <c r="CT197" s="125"/>
      <c r="CU197" s="176"/>
      <c r="CV197" s="177" t="s">
        <v>27</v>
      </c>
      <c r="CW197" s="178"/>
      <c r="CX197" s="177">
        <v>0</v>
      </c>
      <c r="CY197" s="178"/>
      <c r="DA197" s="113"/>
      <c r="DB197" s="112"/>
      <c r="DC197" s="163"/>
      <c r="DD197" s="2"/>
      <c r="DE197" s="159"/>
      <c r="DF197" s="125"/>
      <c r="DG197" s="176"/>
      <c r="DH197" s="177" t="s">
        <v>27</v>
      </c>
      <c r="DI197" s="178"/>
      <c r="DJ197" s="192">
        <v>96</v>
      </c>
      <c r="DK197" s="193"/>
      <c r="DM197" s="113"/>
      <c r="DN197" s="112"/>
      <c r="DO197" s="163"/>
      <c r="DP197" s="2"/>
      <c r="DQ197" s="159"/>
      <c r="DR197" s="125"/>
      <c r="DS197" s="176"/>
      <c r="DT197" s="177" t="s">
        <v>27</v>
      </c>
      <c r="DU197" s="178"/>
      <c r="DV197" s="177">
        <v>0</v>
      </c>
      <c r="DW197" s="178"/>
      <c r="DY197" s="113"/>
      <c r="DZ197" s="112"/>
      <c r="EA197" s="163"/>
      <c r="EC197" s="159"/>
      <c r="ED197" s="125"/>
      <c r="EE197" s="176"/>
      <c r="EF197" s="177" t="s">
        <v>27</v>
      </c>
      <c r="EG197" s="178"/>
      <c r="EH197" s="177">
        <v>0</v>
      </c>
      <c r="EI197" s="178"/>
      <c r="EK197" s="113"/>
      <c r="EL197" s="112"/>
      <c r="EM197" s="163"/>
      <c r="EO197" s="233"/>
      <c r="EP197" s="125"/>
      <c r="EQ197" s="126"/>
      <c r="ER197" s="177" t="s">
        <v>27</v>
      </c>
      <c r="ES197" s="178"/>
      <c r="ET197" s="156">
        <f t="shared" si="14"/>
        <v>377</v>
      </c>
      <c r="EU197" s="157"/>
      <c r="EW197" s="113"/>
      <c r="EX197" s="112"/>
      <c r="EY197" s="163"/>
    </row>
    <row r="198" spans="1:155" ht="17.100000000000001" customHeight="1" thickTop="1" thickBot="1" x14ac:dyDescent="0.25">
      <c r="A198" s="159"/>
      <c r="B198" s="111" t="s">
        <v>28</v>
      </c>
      <c r="C198" s="174"/>
      <c r="D198" s="155" t="s">
        <v>29</v>
      </c>
      <c r="E198" s="141"/>
      <c r="F198" s="155">
        <v>0</v>
      </c>
      <c r="G198" s="141"/>
      <c r="I198" s="125"/>
      <c r="J198" s="126"/>
      <c r="K198" s="164"/>
      <c r="M198" s="159"/>
      <c r="N198" s="111" t="s">
        <v>28</v>
      </c>
      <c r="O198" s="174"/>
      <c r="P198" s="155" t="s">
        <v>29</v>
      </c>
      <c r="Q198" s="141"/>
      <c r="R198" s="190">
        <v>0</v>
      </c>
      <c r="S198" s="191"/>
      <c r="U198" s="125"/>
      <c r="V198" s="126"/>
      <c r="W198" s="164"/>
      <c r="Y198" s="159"/>
      <c r="Z198" s="111" t="s">
        <v>28</v>
      </c>
      <c r="AA198" s="174"/>
      <c r="AB198" s="155" t="s">
        <v>29</v>
      </c>
      <c r="AC198" s="141"/>
      <c r="AD198" s="190">
        <v>1</v>
      </c>
      <c r="AE198" s="191"/>
      <c r="AG198" s="125"/>
      <c r="AH198" s="126"/>
      <c r="AI198" s="164"/>
      <c r="AK198" s="159"/>
      <c r="AL198" s="111" t="s">
        <v>28</v>
      </c>
      <c r="AM198" s="174"/>
      <c r="AN198" s="155" t="s">
        <v>29</v>
      </c>
      <c r="AO198" s="141"/>
      <c r="AP198" s="155">
        <v>0</v>
      </c>
      <c r="AQ198" s="141"/>
      <c r="AS198" s="125"/>
      <c r="AT198" s="126"/>
      <c r="AU198" s="164"/>
      <c r="AW198" s="159"/>
      <c r="AX198" s="111" t="s">
        <v>28</v>
      </c>
      <c r="AY198" s="174"/>
      <c r="AZ198" s="155" t="s">
        <v>29</v>
      </c>
      <c r="BA198" s="141"/>
      <c r="BB198" s="197">
        <v>0</v>
      </c>
      <c r="BC198" s="198"/>
      <c r="BE198" s="125"/>
      <c r="BF198" s="126"/>
      <c r="BG198" s="164"/>
      <c r="BI198" s="159"/>
      <c r="BJ198" s="111" t="s">
        <v>28</v>
      </c>
      <c r="BK198" s="174"/>
      <c r="BL198" s="155" t="s">
        <v>29</v>
      </c>
      <c r="BM198" s="141"/>
      <c r="BN198" s="190">
        <v>1</v>
      </c>
      <c r="BO198" s="191"/>
      <c r="BQ198" s="125"/>
      <c r="BR198" s="126"/>
      <c r="BS198" s="164"/>
      <c r="BU198" s="159"/>
      <c r="BV198" s="111" t="s">
        <v>28</v>
      </c>
      <c r="BW198" s="174"/>
      <c r="BX198" s="155" t="s">
        <v>29</v>
      </c>
      <c r="BY198" s="141"/>
      <c r="BZ198" s="155">
        <v>0</v>
      </c>
      <c r="CA198" s="141"/>
      <c r="CC198" s="125"/>
      <c r="CD198" s="126"/>
      <c r="CE198" s="164"/>
      <c r="CG198" s="159"/>
      <c r="CH198" s="111" t="s">
        <v>28</v>
      </c>
      <c r="CI198" s="174"/>
      <c r="CJ198" s="155" t="s">
        <v>29</v>
      </c>
      <c r="CK198" s="141"/>
      <c r="CL198" s="155">
        <v>0</v>
      </c>
      <c r="CM198" s="141"/>
      <c r="CO198" s="125"/>
      <c r="CP198" s="126"/>
      <c r="CQ198" s="164"/>
      <c r="CS198" s="159"/>
      <c r="CT198" s="111" t="s">
        <v>28</v>
      </c>
      <c r="CU198" s="174"/>
      <c r="CV198" s="155" t="s">
        <v>29</v>
      </c>
      <c r="CW198" s="141"/>
      <c r="CX198" s="155">
        <v>0</v>
      </c>
      <c r="CY198" s="141"/>
      <c r="DA198" s="125"/>
      <c r="DB198" s="126"/>
      <c r="DC198" s="164"/>
      <c r="DD198" s="2"/>
      <c r="DE198" s="159"/>
      <c r="DF198" s="111" t="s">
        <v>28</v>
      </c>
      <c r="DG198" s="174"/>
      <c r="DH198" s="155" t="s">
        <v>29</v>
      </c>
      <c r="DI198" s="141"/>
      <c r="DJ198" s="190">
        <v>0</v>
      </c>
      <c r="DK198" s="191"/>
      <c r="DM198" s="125"/>
      <c r="DN198" s="126"/>
      <c r="DO198" s="164"/>
      <c r="DP198" s="2"/>
      <c r="DQ198" s="159"/>
      <c r="DR198" s="111" t="s">
        <v>28</v>
      </c>
      <c r="DS198" s="174"/>
      <c r="DT198" s="155" t="s">
        <v>29</v>
      </c>
      <c r="DU198" s="141"/>
      <c r="DV198" s="155">
        <v>0</v>
      </c>
      <c r="DW198" s="141"/>
      <c r="DY198" s="125"/>
      <c r="DZ198" s="126"/>
      <c r="EA198" s="164"/>
      <c r="EC198" s="159"/>
      <c r="ED198" s="111" t="s">
        <v>28</v>
      </c>
      <c r="EE198" s="174"/>
      <c r="EF198" s="155" t="s">
        <v>29</v>
      </c>
      <c r="EG198" s="141"/>
      <c r="EH198" s="155">
        <v>0</v>
      </c>
      <c r="EI198" s="141"/>
      <c r="EK198" s="125"/>
      <c r="EL198" s="126"/>
      <c r="EM198" s="164"/>
      <c r="EO198" s="233"/>
      <c r="EP198" s="111" t="s">
        <v>28</v>
      </c>
      <c r="EQ198" s="124"/>
      <c r="ER198" s="155" t="s">
        <v>29</v>
      </c>
      <c r="ES198" s="141"/>
      <c r="ET198" s="156">
        <f t="shared" si="14"/>
        <v>2</v>
      </c>
      <c r="EU198" s="157"/>
      <c r="EW198" s="125"/>
      <c r="EX198" s="126"/>
      <c r="EY198" s="164"/>
    </row>
    <row r="199" spans="1:155" ht="17.100000000000001" customHeight="1" thickBot="1" x14ac:dyDescent="0.25">
      <c r="A199" s="159"/>
      <c r="B199" s="113"/>
      <c r="C199" s="175"/>
      <c r="D199" s="154" t="s">
        <v>30</v>
      </c>
      <c r="E199" s="142"/>
      <c r="F199" s="154">
        <v>0</v>
      </c>
      <c r="G199" s="142"/>
      <c r="I199" s="111" t="s">
        <v>31</v>
      </c>
      <c r="J199" s="124"/>
      <c r="K199" s="162">
        <v>0</v>
      </c>
      <c r="M199" s="159"/>
      <c r="N199" s="113"/>
      <c r="O199" s="175"/>
      <c r="P199" s="154" t="s">
        <v>30</v>
      </c>
      <c r="Q199" s="142"/>
      <c r="R199" s="182">
        <v>32</v>
      </c>
      <c r="S199" s="183"/>
      <c r="U199" s="111" t="s">
        <v>31</v>
      </c>
      <c r="V199" s="124"/>
      <c r="W199" s="162">
        <v>0</v>
      </c>
      <c r="Y199" s="159"/>
      <c r="Z199" s="113"/>
      <c r="AA199" s="175"/>
      <c r="AB199" s="154" t="s">
        <v>30</v>
      </c>
      <c r="AC199" s="142"/>
      <c r="AD199" s="182">
        <v>18</v>
      </c>
      <c r="AE199" s="183"/>
      <c r="AG199" s="111" t="s">
        <v>31</v>
      </c>
      <c r="AH199" s="124"/>
      <c r="AI199" s="162">
        <v>0</v>
      </c>
      <c r="AK199" s="159"/>
      <c r="AL199" s="113"/>
      <c r="AM199" s="175"/>
      <c r="AN199" s="154" t="s">
        <v>30</v>
      </c>
      <c r="AO199" s="142"/>
      <c r="AP199" s="154">
        <v>0</v>
      </c>
      <c r="AQ199" s="142"/>
      <c r="AS199" s="111" t="s">
        <v>31</v>
      </c>
      <c r="AT199" s="124"/>
      <c r="AU199" s="162">
        <v>0</v>
      </c>
      <c r="AW199" s="159"/>
      <c r="AX199" s="113"/>
      <c r="AY199" s="175"/>
      <c r="AZ199" s="154" t="s">
        <v>30</v>
      </c>
      <c r="BA199" s="142"/>
      <c r="BB199" s="195">
        <v>6</v>
      </c>
      <c r="BC199" s="196"/>
      <c r="BE199" s="111" t="s">
        <v>31</v>
      </c>
      <c r="BF199" s="124"/>
      <c r="BG199" s="162">
        <v>0</v>
      </c>
      <c r="BI199" s="159"/>
      <c r="BJ199" s="113"/>
      <c r="BK199" s="175"/>
      <c r="BL199" s="154" t="s">
        <v>30</v>
      </c>
      <c r="BM199" s="142"/>
      <c r="BN199" s="182">
        <v>18</v>
      </c>
      <c r="BO199" s="183"/>
      <c r="BQ199" s="111" t="s">
        <v>31</v>
      </c>
      <c r="BR199" s="124"/>
      <c r="BS199" s="162">
        <v>0</v>
      </c>
      <c r="BU199" s="159"/>
      <c r="BV199" s="113"/>
      <c r="BW199" s="175"/>
      <c r="BX199" s="154" t="s">
        <v>30</v>
      </c>
      <c r="BY199" s="142"/>
      <c r="BZ199" s="154">
        <v>0</v>
      </c>
      <c r="CA199" s="142"/>
      <c r="CC199" s="111" t="s">
        <v>31</v>
      </c>
      <c r="CD199" s="124"/>
      <c r="CE199" s="162">
        <v>0</v>
      </c>
      <c r="CG199" s="159"/>
      <c r="CH199" s="113"/>
      <c r="CI199" s="175"/>
      <c r="CJ199" s="154" t="s">
        <v>30</v>
      </c>
      <c r="CK199" s="142"/>
      <c r="CL199" s="154">
        <v>0</v>
      </c>
      <c r="CM199" s="142"/>
      <c r="CO199" s="111" t="s">
        <v>31</v>
      </c>
      <c r="CP199" s="124"/>
      <c r="CQ199" s="162">
        <v>0</v>
      </c>
      <c r="CS199" s="159"/>
      <c r="CT199" s="113"/>
      <c r="CU199" s="175"/>
      <c r="CV199" s="154" t="s">
        <v>30</v>
      </c>
      <c r="CW199" s="142"/>
      <c r="CX199" s="154">
        <v>0</v>
      </c>
      <c r="CY199" s="142"/>
      <c r="DA199" s="111" t="s">
        <v>31</v>
      </c>
      <c r="DB199" s="124"/>
      <c r="DC199" s="162">
        <v>0</v>
      </c>
      <c r="DD199" s="2"/>
      <c r="DE199" s="159"/>
      <c r="DF199" s="113"/>
      <c r="DG199" s="175"/>
      <c r="DH199" s="154" t="s">
        <v>30</v>
      </c>
      <c r="DI199" s="142"/>
      <c r="DJ199" s="182">
        <v>17</v>
      </c>
      <c r="DK199" s="183"/>
      <c r="DM199" s="111" t="s">
        <v>31</v>
      </c>
      <c r="DN199" s="124"/>
      <c r="DO199" s="162">
        <v>0</v>
      </c>
      <c r="DP199" s="2"/>
      <c r="DQ199" s="159"/>
      <c r="DR199" s="113"/>
      <c r="DS199" s="175"/>
      <c r="DT199" s="154" t="s">
        <v>30</v>
      </c>
      <c r="DU199" s="142"/>
      <c r="DV199" s="154">
        <v>0</v>
      </c>
      <c r="DW199" s="142"/>
      <c r="DY199" s="111" t="s">
        <v>31</v>
      </c>
      <c r="DZ199" s="124"/>
      <c r="EA199" s="162">
        <v>0</v>
      </c>
      <c r="EC199" s="159"/>
      <c r="ED199" s="113"/>
      <c r="EE199" s="175"/>
      <c r="EF199" s="154" t="s">
        <v>30</v>
      </c>
      <c r="EG199" s="142"/>
      <c r="EH199" s="154">
        <v>0</v>
      </c>
      <c r="EI199" s="142"/>
      <c r="EK199" s="111" t="s">
        <v>31</v>
      </c>
      <c r="EL199" s="124"/>
      <c r="EM199" s="162">
        <v>0</v>
      </c>
      <c r="EO199" s="233"/>
      <c r="EP199" s="113"/>
      <c r="EQ199" s="112"/>
      <c r="ER199" s="154" t="s">
        <v>30</v>
      </c>
      <c r="ES199" s="142"/>
      <c r="ET199" s="156">
        <f t="shared" si="14"/>
        <v>91</v>
      </c>
      <c r="EU199" s="157"/>
      <c r="EW199" s="111" t="s">
        <v>31</v>
      </c>
      <c r="EX199" s="124"/>
      <c r="EY199" s="162">
        <f>K199+W199+AI199+AU199+BG199+BS199+CE199+CQ199+DC199+DO199+EA199+EM199</f>
        <v>0</v>
      </c>
    </row>
    <row r="200" spans="1:155" ht="17.100000000000001" customHeight="1" thickBot="1" x14ac:dyDescent="0.25">
      <c r="A200" s="159"/>
      <c r="B200" s="125"/>
      <c r="C200" s="176"/>
      <c r="D200" s="177" t="s">
        <v>32</v>
      </c>
      <c r="E200" s="178"/>
      <c r="F200" s="177">
        <v>0</v>
      </c>
      <c r="G200" s="178"/>
      <c r="I200" s="113"/>
      <c r="J200" s="112"/>
      <c r="K200" s="163"/>
      <c r="M200" s="159"/>
      <c r="N200" s="125"/>
      <c r="O200" s="176"/>
      <c r="P200" s="177" t="s">
        <v>32</v>
      </c>
      <c r="Q200" s="178"/>
      <c r="R200" s="192">
        <v>0</v>
      </c>
      <c r="S200" s="193"/>
      <c r="U200" s="113"/>
      <c r="V200" s="112"/>
      <c r="W200" s="163"/>
      <c r="Y200" s="159"/>
      <c r="Z200" s="125"/>
      <c r="AA200" s="176"/>
      <c r="AB200" s="177" t="s">
        <v>32</v>
      </c>
      <c r="AC200" s="178"/>
      <c r="AD200" s="192">
        <v>0</v>
      </c>
      <c r="AE200" s="193"/>
      <c r="AG200" s="113"/>
      <c r="AH200" s="112"/>
      <c r="AI200" s="163"/>
      <c r="AK200" s="159"/>
      <c r="AL200" s="125"/>
      <c r="AM200" s="176"/>
      <c r="AN200" s="177" t="s">
        <v>32</v>
      </c>
      <c r="AO200" s="178"/>
      <c r="AP200" s="177">
        <v>0</v>
      </c>
      <c r="AQ200" s="178"/>
      <c r="AS200" s="113"/>
      <c r="AT200" s="112"/>
      <c r="AU200" s="163"/>
      <c r="AW200" s="159"/>
      <c r="AX200" s="125"/>
      <c r="AY200" s="176"/>
      <c r="AZ200" s="177" t="s">
        <v>32</v>
      </c>
      <c r="BA200" s="178"/>
      <c r="BB200" s="199">
        <v>0</v>
      </c>
      <c r="BC200" s="200"/>
      <c r="BE200" s="113"/>
      <c r="BF200" s="112"/>
      <c r="BG200" s="163"/>
      <c r="BI200" s="159"/>
      <c r="BJ200" s="125"/>
      <c r="BK200" s="176"/>
      <c r="BL200" s="177" t="s">
        <v>32</v>
      </c>
      <c r="BM200" s="178"/>
      <c r="BN200" s="192">
        <v>0</v>
      </c>
      <c r="BO200" s="193"/>
      <c r="BQ200" s="113"/>
      <c r="BR200" s="112"/>
      <c r="BS200" s="163"/>
      <c r="BU200" s="159"/>
      <c r="BV200" s="125"/>
      <c r="BW200" s="176"/>
      <c r="BX200" s="177" t="s">
        <v>32</v>
      </c>
      <c r="BY200" s="178"/>
      <c r="BZ200" s="177">
        <v>0</v>
      </c>
      <c r="CA200" s="178"/>
      <c r="CC200" s="113"/>
      <c r="CD200" s="112"/>
      <c r="CE200" s="163"/>
      <c r="CG200" s="159"/>
      <c r="CH200" s="125"/>
      <c r="CI200" s="176"/>
      <c r="CJ200" s="177" t="s">
        <v>32</v>
      </c>
      <c r="CK200" s="178"/>
      <c r="CL200" s="177">
        <v>0</v>
      </c>
      <c r="CM200" s="178"/>
      <c r="CO200" s="113"/>
      <c r="CP200" s="112"/>
      <c r="CQ200" s="163"/>
      <c r="CS200" s="159"/>
      <c r="CT200" s="125"/>
      <c r="CU200" s="176"/>
      <c r="CV200" s="177" t="s">
        <v>32</v>
      </c>
      <c r="CW200" s="178"/>
      <c r="CX200" s="177">
        <v>0</v>
      </c>
      <c r="CY200" s="178"/>
      <c r="DA200" s="113"/>
      <c r="DB200" s="112"/>
      <c r="DC200" s="163"/>
      <c r="DD200" s="2"/>
      <c r="DE200" s="159"/>
      <c r="DF200" s="125"/>
      <c r="DG200" s="176"/>
      <c r="DH200" s="177" t="s">
        <v>32</v>
      </c>
      <c r="DI200" s="178"/>
      <c r="DJ200" s="192">
        <v>0</v>
      </c>
      <c r="DK200" s="193"/>
      <c r="DM200" s="113"/>
      <c r="DN200" s="112"/>
      <c r="DO200" s="163"/>
      <c r="DP200" s="2"/>
      <c r="DQ200" s="159"/>
      <c r="DR200" s="125"/>
      <c r="DS200" s="176"/>
      <c r="DT200" s="177" t="s">
        <v>32</v>
      </c>
      <c r="DU200" s="178"/>
      <c r="DV200" s="177">
        <v>0</v>
      </c>
      <c r="DW200" s="178"/>
      <c r="DY200" s="113"/>
      <c r="DZ200" s="112"/>
      <c r="EA200" s="163"/>
      <c r="EC200" s="159"/>
      <c r="ED200" s="125"/>
      <c r="EE200" s="176"/>
      <c r="EF200" s="177" t="s">
        <v>32</v>
      </c>
      <c r="EG200" s="178"/>
      <c r="EH200" s="177">
        <v>0</v>
      </c>
      <c r="EI200" s="178"/>
      <c r="EK200" s="113"/>
      <c r="EL200" s="112"/>
      <c r="EM200" s="163"/>
      <c r="EO200" s="233"/>
      <c r="EP200" s="125"/>
      <c r="EQ200" s="126"/>
      <c r="ER200" s="177" t="s">
        <v>32</v>
      </c>
      <c r="ES200" s="178"/>
      <c r="ET200" s="156">
        <f t="shared" si="14"/>
        <v>0</v>
      </c>
      <c r="EU200" s="157"/>
      <c r="EW200" s="113"/>
      <c r="EX200" s="112"/>
      <c r="EY200" s="163"/>
    </row>
    <row r="201" spans="1:155" ht="17.100000000000001" customHeight="1" thickTop="1" thickBot="1" x14ac:dyDescent="0.25">
      <c r="A201" s="159"/>
      <c r="B201" s="111" t="s">
        <v>33</v>
      </c>
      <c r="C201" s="174"/>
      <c r="D201" s="155" t="s">
        <v>34</v>
      </c>
      <c r="E201" s="141"/>
      <c r="F201" s="155">
        <v>0</v>
      </c>
      <c r="G201" s="141"/>
      <c r="I201" s="125"/>
      <c r="J201" s="126"/>
      <c r="K201" s="164"/>
      <c r="M201" s="159"/>
      <c r="N201" s="111" t="s">
        <v>33</v>
      </c>
      <c r="O201" s="174"/>
      <c r="P201" s="155" t="s">
        <v>34</v>
      </c>
      <c r="Q201" s="141"/>
      <c r="R201" s="190">
        <v>56</v>
      </c>
      <c r="S201" s="191"/>
      <c r="U201" s="125"/>
      <c r="V201" s="126"/>
      <c r="W201" s="164"/>
      <c r="Y201" s="159"/>
      <c r="Z201" s="111" t="s">
        <v>33</v>
      </c>
      <c r="AA201" s="174"/>
      <c r="AB201" s="155" t="s">
        <v>34</v>
      </c>
      <c r="AC201" s="141"/>
      <c r="AD201" s="190">
        <v>39</v>
      </c>
      <c r="AE201" s="191"/>
      <c r="AG201" s="125"/>
      <c r="AH201" s="126"/>
      <c r="AI201" s="164"/>
      <c r="AK201" s="159"/>
      <c r="AL201" s="111" t="s">
        <v>33</v>
      </c>
      <c r="AM201" s="174"/>
      <c r="AN201" s="155" t="s">
        <v>34</v>
      </c>
      <c r="AO201" s="141"/>
      <c r="AP201" s="155">
        <v>0</v>
      </c>
      <c r="AQ201" s="141"/>
      <c r="AS201" s="125"/>
      <c r="AT201" s="126"/>
      <c r="AU201" s="164"/>
      <c r="AW201" s="159"/>
      <c r="AX201" s="111" t="s">
        <v>33</v>
      </c>
      <c r="AY201" s="174"/>
      <c r="AZ201" s="155" t="s">
        <v>34</v>
      </c>
      <c r="BA201" s="141"/>
      <c r="BB201" s="197">
        <v>46</v>
      </c>
      <c r="BC201" s="198"/>
      <c r="BE201" s="125"/>
      <c r="BF201" s="126"/>
      <c r="BG201" s="164"/>
      <c r="BI201" s="159"/>
      <c r="BJ201" s="111" t="s">
        <v>33</v>
      </c>
      <c r="BK201" s="174"/>
      <c r="BL201" s="155" t="s">
        <v>34</v>
      </c>
      <c r="BM201" s="141"/>
      <c r="BN201" s="190">
        <v>39</v>
      </c>
      <c r="BO201" s="191"/>
      <c r="BQ201" s="125"/>
      <c r="BR201" s="126"/>
      <c r="BS201" s="164"/>
      <c r="BU201" s="159"/>
      <c r="BV201" s="111" t="s">
        <v>33</v>
      </c>
      <c r="BW201" s="174"/>
      <c r="BX201" s="155" t="s">
        <v>34</v>
      </c>
      <c r="BY201" s="141"/>
      <c r="BZ201" s="155">
        <v>0</v>
      </c>
      <c r="CA201" s="141"/>
      <c r="CC201" s="125"/>
      <c r="CD201" s="126"/>
      <c r="CE201" s="164"/>
      <c r="CG201" s="159"/>
      <c r="CH201" s="111" t="s">
        <v>33</v>
      </c>
      <c r="CI201" s="174"/>
      <c r="CJ201" s="155" t="s">
        <v>34</v>
      </c>
      <c r="CK201" s="141"/>
      <c r="CL201" s="155">
        <v>0</v>
      </c>
      <c r="CM201" s="141"/>
      <c r="CO201" s="125"/>
      <c r="CP201" s="126"/>
      <c r="CQ201" s="164"/>
      <c r="CS201" s="159"/>
      <c r="CT201" s="111" t="s">
        <v>33</v>
      </c>
      <c r="CU201" s="174"/>
      <c r="CV201" s="155" t="s">
        <v>34</v>
      </c>
      <c r="CW201" s="141"/>
      <c r="CX201" s="155">
        <v>0</v>
      </c>
      <c r="CY201" s="141"/>
      <c r="DA201" s="125"/>
      <c r="DB201" s="126"/>
      <c r="DC201" s="164"/>
      <c r="DD201" s="2"/>
      <c r="DE201" s="159"/>
      <c r="DF201" s="111" t="s">
        <v>33</v>
      </c>
      <c r="DG201" s="174"/>
      <c r="DH201" s="155" t="s">
        <v>34</v>
      </c>
      <c r="DI201" s="141"/>
      <c r="DJ201" s="190">
        <v>24</v>
      </c>
      <c r="DK201" s="191"/>
      <c r="DM201" s="125"/>
      <c r="DN201" s="126"/>
      <c r="DO201" s="164"/>
      <c r="DP201" s="2"/>
      <c r="DQ201" s="159"/>
      <c r="DR201" s="111" t="s">
        <v>33</v>
      </c>
      <c r="DS201" s="174"/>
      <c r="DT201" s="155" t="s">
        <v>34</v>
      </c>
      <c r="DU201" s="141"/>
      <c r="DV201" s="155">
        <v>0</v>
      </c>
      <c r="DW201" s="141"/>
      <c r="DY201" s="125"/>
      <c r="DZ201" s="126"/>
      <c r="EA201" s="164"/>
      <c r="EC201" s="159"/>
      <c r="ED201" s="111" t="s">
        <v>33</v>
      </c>
      <c r="EE201" s="174"/>
      <c r="EF201" s="155" t="s">
        <v>34</v>
      </c>
      <c r="EG201" s="141"/>
      <c r="EH201" s="155">
        <v>0</v>
      </c>
      <c r="EI201" s="141"/>
      <c r="EK201" s="125"/>
      <c r="EL201" s="126"/>
      <c r="EM201" s="164"/>
      <c r="EO201" s="233"/>
      <c r="EP201" s="111" t="s">
        <v>33</v>
      </c>
      <c r="EQ201" s="124"/>
      <c r="ER201" s="155" t="s">
        <v>34</v>
      </c>
      <c r="ES201" s="141"/>
      <c r="ET201" s="156">
        <f t="shared" si="14"/>
        <v>204</v>
      </c>
      <c r="EU201" s="157"/>
      <c r="EW201" s="125"/>
      <c r="EX201" s="126"/>
      <c r="EY201" s="164"/>
    </row>
    <row r="202" spans="1:155" ht="17.100000000000001" customHeight="1" thickBot="1" x14ac:dyDescent="0.25">
      <c r="A202" s="159"/>
      <c r="B202" s="125"/>
      <c r="C202" s="176"/>
      <c r="D202" s="177" t="s">
        <v>35</v>
      </c>
      <c r="E202" s="178"/>
      <c r="F202" s="177">
        <v>0</v>
      </c>
      <c r="G202" s="178"/>
      <c r="I202" s="7"/>
      <c r="J202" s="8"/>
      <c r="K202" s="9">
        <f>SUM(K196:K201)</f>
        <v>0</v>
      </c>
      <c r="M202" s="159"/>
      <c r="N202" s="125"/>
      <c r="O202" s="176"/>
      <c r="P202" s="177" t="s">
        <v>35</v>
      </c>
      <c r="Q202" s="178"/>
      <c r="R202" s="192">
        <v>0</v>
      </c>
      <c r="S202" s="193"/>
      <c r="U202" s="7"/>
      <c r="V202" s="8"/>
      <c r="W202" s="9">
        <v>471</v>
      </c>
      <c r="Y202" s="159"/>
      <c r="Z202" s="125"/>
      <c r="AA202" s="176"/>
      <c r="AB202" s="177" t="s">
        <v>35</v>
      </c>
      <c r="AC202" s="178"/>
      <c r="AD202" s="192">
        <v>0</v>
      </c>
      <c r="AE202" s="193"/>
      <c r="AG202" s="7"/>
      <c r="AH202" s="8"/>
      <c r="AI202" s="9">
        <f>SUM(AI196:AI201)</f>
        <v>408</v>
      </c>
      <c r="AK202" s="159"/>
      <c r="AL202" s="125"/>
      <c r="AM202" s="176"/>
      <c r="AN202" s="177" t="s">
        <v>35</v>
      </c>
      <c r="AO202" s="178"/>
      <c r="AP202" s="177">
        <v>0</v>
      </c>
      <c r="AQ202" s="178"/>
      <c r="AS202" s="7"/>
      <c r="AT202" s="8"/>
      <c r="AU202" s="9">
        <f>SUM(AU196:AU201)</f>
        <v>0</v>
      </c>
      <c r="AW202" s="159"/>
      <c r="AX202" s="125"/>
      <c r="AY202" s="176"/>
      <c r="AZ202" s="177" t="s">
        <v>35</v>
      </c>
      <c r="BA202" s="178"/>
      <c r="BB202" s="199">
        <v>0</v>
      </c>
      <c r="BC202" s="200"/>
      <c r="BE202" s="7"/>
      <c r="BF202" s="8"/>
      <c r="BG202" s="9">
        <f>SUM(BG196:BG201)</f>
        <v>407</v>
      </c>
      <c r="BI202" s="159"/>
      <c r="BJ202" s="125"/>
      <c r="BK202" s="176"/>
      <c r="BL202" s="177" t="s">
        <v>35</v>
      </c>
      <c r="BM202" s="178"/>
      <c r="BN202" s="192">
        <v>0</v>
      </c>
      <c r="BO202" s="193"/>
      <c r="BQ202" s="7"/>
      <c r="BR202" s="8"/>
      <c r="BS202" s="9">
        <f>SUM(BS196:BS201)</f>
        <v>431</v>
      </c>
      <c r="BU202" s="159"/>
      <c r="BV202" s="125"/>
      <c r="BW202" s="176"/>
      <c r="BX202" s="177" t="s">
        <v>35</v>
      </c>
      <c r="BY202" s="178"/>
      <c r="BZ202" s="177">
        <v>0</v>
      </c>
      <c r="CA202" s="178"/>
      <c r="CC202" s="7"/>
      <c r="CD202" s="8"/>
      <c r="CE202" s="9">
        <f>SUM(CE196:CE201)</f>
        <v>0</v>
      </c>
      <c r="CG202" s="159"/>
      <c r="CH202" s="125"/>
      <c r="CI202" s="176"/>
      <c r="CJ202" s="177" t="s">
        <v>35</v>
      </c>
      <c r="CK202" s="178"/>
      <c r="CL202" s="177">
        <v>0</v>
      </c>
      <c r="CM202" s="178"/>
      <c r="CO202" s="7"/>
      <c r="CP202" s="8"/>
      <c r="CQ202" s="9">
        <f>SUM(CQ196:CQ201)</f>
        <v>0</v>
      </c>
      <c r="CS202" s="159"/>
      <c r="CT202" s="125"/>
      <c r="CU202" s="176"/>
      <c r="CV202" s="177" t="s">
        <v>35</v>
      </c>
      <c r="CW202" s="178"/>
      <c r="CX202" s="177">
        <v>0</v>
      </c>
      <c r="CY202" s="178"/>
      <c r="DA202" s="7"/>
      <c r="DB202" s="8"/>
      <c r="DC202" s="9">
        <f>SUM(DC196:DC201)</f>
        <v>0</v>
      </c>
      <c r="DD202" s="2"/>
      <c r="DE202" s="159"/>
      <c r="DF202" s="125"/>
      <c r="DG202" s="176"/>
      <c r="DH202" s="177" t="s">
        <v>35</v>
      </c>
      <c r="DI202" s="178"/>
      <c r="DJ202" s="192">
        <v>0</v>
      </c>
      <c r="DK202" s="193"/>
      <c r="DM202" s="7"/>
      <c r="DN202" s="8"/>
      <c r="DO202" s="9">
        <f>SUM(DO196:DO201)</f>
        <v>446</v>
      </c>
      <c r="DP202" s="2"/>
      <c r="DQ202" s="159"/>
      <c r="DR202" s="125"/>
      <c r="DS202" s="176"/>
      <c r="DT202" s="177" t="s">
        <v>35</v>
      </c>
      <c r="DU202" s="178"/>
      <c r="DV202" s="177">
        <v>0</v>
      </c>
      <c r="DW202" s="178"/>
      <c r="DY202" s="7"/>
      <c r="DZ202" s="8"/>
      <c r="EA202" s="9">
        <f>SUM(EA196:EA201)</f>
        <v>0</v>
      </c>
      <c r="EC202" s="159"/>
      <c r="ED202" s="125"/>
      <c r="EE202" s="176"/>
      <c r="EF202" s="177" t="s">
        <v>35</v>
      </c>
      <c r="EG202" s="178"/>
      <c r="EH202" s="177">
        <v>0</v>
      </c>
      <c r="EI202" s="178"/>
      <c r="EK202" s="7"/>
      <c r="EL202" s="8"/>
      <c r="EM202" s="9">
        <f>SUM(EM196:EM201)</f>
        <v>0</v>
      </c>
      <c r="EO202" s="233"/>
      <c r="EP202" s="125"/>
      <c r="EQ202" s="126"/>
      <c r="ER202" s="177" t="s">
        <v>35</v>
      </c>
      <c r="ES202" s="178"/>
      <c r="ET202" s="156">
        <f t="shared" si="14"/>
        <v>0</v>
      </c>
      <c r="EU202" s="157"/>
      <c r="EW202" s="7"/>
      <c r="EX202" s="8"/>
      <c r="EY202" s="9">
        <f>SUM(EY196:EY201)</f>
        <v>2163</v>
      </c>
    </row>
    <row r="203" spans="1:155" ht="17.100000000000001" customHeight="1" thickTop="1" thickBot="1" x14ac:dyDescent="0.25">
      <c r="A203" s="160"/>
      <c r="B203" s="102" t="s">
        <v>36</v>
      </c>
      <c r="C203" s="148"/>
      <c r="D203" s="148"/>
      <c r="E203" s="128"/>
      <c r="F203" s="156">
        <v>0</v>
      </c>
      <c r="G203" s="157"/>
      <c r="I203" s="111" t="s">
        <v>37</v>
      </c>
      <c r="J203" s="124"/>
      <c r="K203" s="162">
        <v>0</v>
      </c>
      <c r="M203" s="160"/>
      <c r="N203" s="102" t="s">
        <v>36</v>
      </c>
      <c r="O203" s="148"/>
      <c r="P203" s="148"/>
      <c r="Q203" s="128"/>
      <c r="R203" s="184">
        <v>0</v>
      </c>
      <c r="S203" s="185"/>
      <c r="U203" s="111" t="s">
        <v>37</v>
      </c>
      <c r="V203" s="124"/>
      <c r="W203" s="162">
        <v>211</v>
      </c>
      <c r="Y203" s="160"/>
      <c r="Z203" s="102" t="s">
        <v>36</v>
      </c>
      <c r="AA203" s="148"/>
      <c r="AB203" s="148"/>
      <c r="AC203" s="128"/>
      <c r="AD203" s="184">
        <v>0</v>
      </c>
      <c r="AE203" s="185"/>
      <c r="AG203" s="111" t="s">
        <v>37</v>
      </c>
      <c r="AH203" s="124"/>
      <c r="AI203" s="162">
        <v>0</v>
      </c>
      <c r="AK203" s="160"/>
      <c r="AL203" s="102" t="s">
        <v>36</v>
      </c>
      <c r="AM203" s="148"/>
      <c r="AN203" s="148"/>
      <c r="AO203" s="128"/>
      <c r="AP203" s="156">
        <v>0</v>
      </c>
      <c r="AQ203" s="157"/>
      <c r="AS203" s="111" t="s">
        <v>37</v>
      </c>
      <c r="AT203" s="124"/>
      <c r="AU203" s="162">
        <v>0</v>
      </c>
      <c r="AW203" s="160"/>
      <c r="AX203" s="102" t="s">
        <v>36</v>
      </c>
      <c r="AY203" s="148"/>
      <c r="AZ203" s="148"/>
      <c r="BA203" s="128"/>
      <c r="BB203" s="218">
        <v>0</v>
      </c>
      <c r="BC203" s="219"/>
      <c r="BE203" s="111" t="s">
        <v>37</v>
      </c>
      <c r="BF203" s="124"/>
      <c r="BG203" s="162">
        <v>321</v>
      </c>
      <c r="BI203" s="160"/>
      <c r="BJ203" s="102" t="s">
        <v>36</v>
      </c>
      <c r="BK203" s="148"/>
      <c r="BL203" s="148"/>
      <c r="BM203" s="128"/>
      <c r="BN203" s="184">
        <v>0</v>
      </c>
      <c r="BO203" s="185"/>
      <c r="BQ203" s="111" t="s">
        <v>37</v>
      </c>
      <c r="BR203" s="124"/>
      <c r="BS203" s="162">
        <v>200</v>
      </c>
      <c r="BU203" s="160"/>
      <c r="BV203" s="102" t="s">
        <v>36</v>
      </c>
      <c r="BW203" s="148"/>
      <c r="BX203" s="148"/>
      <c r="BY203" s="128"/>
      <c r="BZ203" s="156">
        <v>0</v>
      </c>
      <c r="CA203" s="157"/>
      <c r="CC203" s="111" t="s">
        <v>37</v>
      </c>
      <c r="CD203" s="124"/>
      <c r="CE203" s="162">
        <v>0</v>
      </c>
      <c r="CG203" s="160"/>
      <c r="CH203" s="102" t="s">
        <v>36</v>
      </c>
      <c r="CI203" s="148"/>
      <c r="CJ203" s="148"/>
      <c r="CK203" s="128"/>
      <c r="CL203" s="156">
        <v>0</v>
      </c>
      <c r="CM203" s="157"/>
      <c r="CO203" s="111" t="s">
        <v>37</v>
      </c>
      <c r="CP203" s="124"/>
      <c r="CQ203" s="162">
        <v>0</v>
      </c>
      <c r="CS203" s="160"/>
      <c r="CT203" s="102" t="s">
        <v>36</v>
      </c>
      <c r="CU203" s="148"/>
      <c r="CV203" s="148"/>
      <c r="CW203" s="128"/>
      <c r="CX203" s="156">
        <v>0</v>
      </c>
      <c r="CY203" s="157"/>
      <c r="DA203" s="111" t="s">
        <v>37</v>
      </c>
      <c r="DB203" s="124"/>
      <c r="DC203" s="162">
        <v>0</v>
      </c>
      <c r="DD203" s="2"/>
      <c r="DE203" s="160"/>
      <c r="DF203" s="102" t="s">
        <v>36</v>
      </c>
      <c r="DG203" s="148"/>
      <c r="DH203" s="148"/>
      <c r="DI203" s="128"/>
      <c r="DJ203" s="184">
        <v>0</v>
      </c>
      <c r="DK203" s="185"/>
      <c r="DM203" s="111" t="s">
        <v>37</v>
      </c>
      <c r="DN203" s="124"/>
      <c r="DO203" s="162">
        <v>0</v>
      </c>
      <c r="DP203" s="2"/>
      <c r="DQ203" s="160"/>
      <c r="DR203" s="102" t="s">
        <v>36</v>
      </c>
      <c r="DS203" s="148"/>
      <c r="DT203" s="148"/>
      <c r="DU203" s="128"/>
      <c r="DV203" s="156">
        <v>0</v>
      </c>
      <c r="DW203" s="157"/>
      <c r="DY203" s="111" t="s">
        <v>37</v>
      </c>
      <c r="DZ203" s="124"/>
      <c r="EA203" s="162">
        <v>0</v>
      </c>
      <c r="EC203" s="160"/>
      <c r="ED203" s="102" t="s">
        <v>36</v>
      </c>
      <c r="EE203" s="148"/>
      <c r="EF203" s="148"/>
      <c r="EG203" s="128"/>
      <c r="EH203" s="156">
        <v>0</v>
      </c>
      <c r="EI203" s="157"/>
      <c r="EK203" s="111" t="s">
        <v>37</v>
      </c>
      <c r="EL203" s="124"/>
      <c r="EM203" s="162">
        <v>0</v>
      </c>
      <c r="EO203" s="234"/>
      <c r="EP203" s="156" t="s">
        <v>36</v>
      </c>
      <c r="EQ203" s="187"/>
      <c r="ER203" s="187"/>
      <c r="ES203" s="157"/>
      <c r="ET203" s="156">
        <f t="shared" si="14"/>
        <v>0</v>
      </c>
      <c r="EU203" s="157"/>
      <c r="EW203" s="111" t="s">
        <v>37</v>
      </c>
      <c r="EX203" s="124"/>
      <c r="EY203" s="162">
        <f>K203+W203+AI203+AU203+BG203+BS203+CE203+CQ203+DC203+DO203+EA203+EM203</f>
        <v>732</v>
      </c>
    </row>
    <row r="204" spans="1:155" ht="17.100000000000001" customHeight="1" thickTop="1" thickBot="1" x14ac:dyDescent="0.25">
      <c r="A204" s="111" t="s">
        <v>38</v>
      </c>
      <c r="B204" s="174"/>
      <c r="C204" s="124"/>
      <c r="D204" s="155" t="s">
        <v>39</v>
      </c>
      <c r="E204" s="161"/>
      <c r="F204" s="155">
        <v>0</v>
      </c>
      <c r="G204" s="141"/>
      <c r="I204" s="113"/>
      <c r="J204" s="112"/>
      <c r="K204" s="163"/>
      <c r="M204" s="111" t="s">
        <v>38</v>
      </c>
      <c r="N204" s="174"/>
      <c r="O204" s="124"/>
      <c r="P204" s="155" t="s">
        <v>39</v>
      </c>
      <c r="Q204" s="161"/>
      <c r="R204" s="190">
        <v>471</v>
      </c>
      <c r="S204" s="191"/>
      <c r="U204" s="113"/>
      <c r="V204" s="112"/>
      <c r="W204" s="163"/>
      <c r="Y204" s="111" t="s">
        <v>38</v>
      </c>
      <c r="Z204" s="174"/>
      <c r="AA204" s="124"/>
      <c r="AB204" s="155" t="s">
        <v>39</v>
      </c>
      <c r="AC204" s="161"/>
      <c r="AD204" s="190">
        <v>431</v>
      </c>
      <c r="AE204" s="191"/>
      <c r="AG204" s="113"/>
      <c r="AH204" s="112"/>
      <c r="AI204" s="163"/>
      <c r="AK204" s="111" t="s">
        <v>38</v>
      </c>
      <c r="AL204" s="174"/>
      <c r="AM204" s="124"/>
      <c r="AN204" s="155" t="s">
        <v>39</v>
      </c>
      <c r="AO204" s="161"/>
      <c r="AP204" s="155">
        <v>0</v>
      </c>
      <c r="AQ204" s="141"/>
      <c r="AS204" s="113"/>
      <c r="AT204" s="112"/>
      <c r="AU204" s="163"/>
      <c r="AW204" s="111" t="s">
        <v>38</v>
      </c>
      <c r="AX204" s="174"/>
      <c r="AY204" s="124"/>
      <c r="AZ204" s="155" t="s">
        <v>39</v>
      </c>
      <c r="BA204" s="161"/>
      <c r="BB204" s="197">
        <v>311</v>
      </c>
      <c r="BC204" s="198"/>
      <c r="BE204" s="113"/>
      <c r="BF204" s="112"/>
      <c r="BG204" s="163"/>
      <c r="BI204" s="111" t="s">
        <v>38</v>
      </c>
      <c r="BJ204" s="174"/>
      <c r="BK204" s="124"/>
      <c r="BL204" s="155" t="s">
        <v>39</v>
      </c>
      <c r="BM204" s="161"/>
      <c r="BN204" s="190">
        <v>431</v>
      </c>
      <c r="BO204" s="191"/>
      <c r="BQ204" s="113"/>
      <c r="BR204" s="112"/>
      <c r="BS204" s="163"/>
      <c r="BU204" s="111" t="s">
        <v>38</v>
      </c>
      <c r="BV204" s="174"/>
      <c r="BW204" s="124"/>
      <c r="BX204" s="155" t="s">
        <v>39</v>
      </c>
      <c r="BY204" s="161"/>
      <c r="BZ204" s="155">
        <v>0</v>
      </c>
      <c r="CA204" s="141"/>
      <c r="CC204" s="113"/>
      <c r="CD204" s="112"/>
      <c r="CE204" s="163"/>
      <c r="CG204" s="111" t="s">
        <v>38</v>
      </c>
      <c r="CH204" s="174"/>
      <c r="CI204" s="124"/>
      <c r="CJ204" s="155" t="s">
        <v>39</v>
      </c>
      <c r="CK204" s="161"/>
      <c r="CL204" s="155">
        <v>0</v>
      </c>
      <c r="CM204" s="141"/>
      <c r="CO204" s="113"/>
      <c r="CP204" s="112"/>
      <c r="CQ204" s="163"/>
      <c r="CS204" s="111" t="s">
        <v>38</v>
      </c>
      <c r="CT204" s="174"/>
      <c r="CU204" s="124"/>
      <c r="CV204" s="155" t="s">
        <v>39</v>
      </c>
      <c r="CW204" s="161"/>
      <c r="CX204" s="155">
        <v>0</v>
      </c>
      <c r="CY204" s="141"/>
      <c r="DA204" s="113"/>
      <c r="DB204" s="112"/>
      <c r="DC204" s="163"/>
      <c r="DD204" s="2"/>
      <c r="DE204" s="111" t="s">
        <v>38</v>
      </c>
      <c r="DF204" s="174"/>
      <c r="DG204" s="124"/>
      <c r="DH204" s="155" t="s">
        <v>39</v>
      </c>
      <c r="DI204" s="161"/>
      <c r="DJ204" s="190">
        <v>446</v>
      </c>
      <c r="DK204" s="191"/>
      <c r="DM204" s="113"/>
      <c r="DN204" s="112"/>
      <c r="DO204" s="163"/>
      <c r="DP204" s="2"/>
      <c r="DQ204" s="111" t="s">
        <v>38</v>
      </c>
      <c r="DR204" s="174"/>
      <c r="DS204" s="124"/>
      <c r="DT204" s="155" t="s">
        <v>39</v>
      </c>
      <c r="DU204" s="161"/>
      <c r="DV204" s="155">
        <v>0</v>
      </c>
      <c r="DW204" s="141"/>
      <c r="DY204" s="113"/>
      <c r="DZ204" s="112"/>
      <c r="EA204" s="163"/>
      <c r="EC204" s="111" t="s">
        <v>38</v>
      </c>
      <c r="ED204" s="174"/>
      <c r="EE204" s="124"/>
      <c r="EF204" s="155" t="s">
        <v>39</v>
      </c>
      <c r="EG204" s="161"/>
      <c r="EH204" s="155">
        <v>0</v>
      </c>
      <c r="EI204" s="141"/>
      <c r="EK204" s="113"/>
      <c r="EL204" s="112"/>
      <c r="EM204" s="163"/>
      <c r="EO204" s="111" t="s">
        <v>38</v>
      </c>
      <c r="EP204" s="174"/>
      <c r="EQ204" s="124"/>
      <c r="ER204" s="155" t="s">
        <v>39</v>
      </c>
      <c r="ES204" s="141"/>
      <c r="ET204" s="156">
        <f t="shared" si="14"/>
        <v>2090</v>
      </c>
      <c r="EU204" s="157"/>
      <c r="EW204" s="113"/>
      <c r="EX204" s="112"/>
      <c r="EY204" s="163"/>
    </row>
    <row r="205" spans="1:155" ht="17.100000000000001" customHeight="1" thickBot="1" x14ac:dyDescent="0.25">
      <c r="A205" s="113"/>
      <c r="B205" s="175"/>
      <c r="C205" s="112"/>
      <c r="D205" s="154" t="s">
        <v>40</v>
      </c>
      <c r="E205" s="181"/>
      <c r="F205" s="154">
        <v>0</v>
      </c>
      <c r="G205" s="142"/>
      <c r="I205" s="125"/>
      <c r="J205" s="126"/>
      <c r="K205" s="164"/>
      <c r="M205" s="113"/>
      <c r="N205" s="175"/>
      <c r="O205" s="112"/>
      <c r="P205" s="154" t="s">
        <v>40</v>
      </c>
      <c r="Q205" s="181"/>
      <c r="R205" s="182">
        <v>2</v>
      </c>
      <c r="S205" s="183"/>
      <c r="U205" s="125"/>
      <c r="V205" s="126"/>
      <c r="W205" s="164"/>
      <c r="Y205" s="113"/>
      <c r="Z205" s="175"/>
      <c r="AA205" s="112"/>
      <c r="AB205" s="154" t="s">
        <v>40</v>
      </c>
      <c r="AC205" s="181"/>
      <c r="AD205" s="182">
        <v>0</v>
      </c>
      <c r="AE205" s="183"/>
      <c r="AG205" s="125"/>
      <c r="AH205" s="126"/>
      <c r="AI205" s="164"/>
      <c r="AK205" s="113"/>
      <c r="AL205" s="175"/>
      <c r="AM205" s="112"/>
      <c r="AN205" s="154" t="s">
        <v>40</v>
      </c>
      <c r="AO205" s="181"/>
      <c r="AP205" s="154">
        <v>0</v>
      </c>
      <c r="AQ205" s="142"/>
      <c r="AS205" s="125"/>
      <c r="AT205" s="126"/>
      <c r="AU205" s="164"/>
      <c r="AW205" s="113"/>
      <c r="AX205" s="175"/>
      <c r="AY205" s="112"/>
      <c r="AZ205" s="154" t="s">
        <v>40</v>
      </c>
      <c r="BA205" s="181"/>
      <c r="BB205" s="195">
        <v>0</v>
      </c>
      <c r="BC205" s="196"/>
      <c r="BE205" s="125"/>
      <c r="BF205" s="126"/>
      <c r="BG205" s="164"/>
      <c r="BI205" s="113"/>
      <c r="BJ205" s="175"/>
      <c r="BK205" s="112"/>
      <c r="BL205" s="154" t="s">
        <v>40</v>
      </c>
      <c r="BM205" s="181"/>
      <c r="BN205" s="182">
        <v>0</v>
      </c>
      <c r="BO205" s="183"/>
      <c r="BQ205" s="125"/>
      <c r="BR205" s="126"/>
      <c r="BS205" s="164"/>
      <c r="BU205" s="113"/>
      <c r="BV205" s="175"/>
      <c r="BW205" s="112"/>
      <c r="BX205" s="154" t="s">
        <v>40</v>
      </c>
      <c r="BY205" s="181"/>
      <c r="BZ205" s="154">
        <v>0</v>
      </c>
      <c r="CA205" s="142"/>
      <c r="CC205" s="125"/>
      <c r="CD205" s="126"/>
      <c r="CE205" s="164"/>
      <c r="CG205" s="113"/>
      <c r="CH205" s="175"/>
      <c r="CI205" s="112"/>
      <c r="CJ205" s="154" t="s">
        <v>40</v>
      </c>
      <c r="CK205" s="181"/>
      <c r="CL205" s="154">
        <v>0</v>
      </c>
      <c r="CM205" s="142"/>
      <c r="CO205" s="125"/>
      <c r="CP205" s="126"/>
      <c r="CQ205" s="164"/>
      <c r="CS205" s="113"/>
      <c r="CT205" s="175"/>
      <c r="CU205" s="112"/>
      <c r="CV205" s="154" t="s">
        <v>40</v>
      </c>
      <c r="CW205" s="181"/>
      <c r="CX205" s="154">
        <v>0</v>
      </c>
      <c r="CY205" s="142"/>
      <c r="DA205" s="125"/>
      <c r="DB205" s="126"/>
      <c r="DC205" s="164"/>
      <c r="DD205" s="2"/>
      <c r="DE205" s="113"/>
      <c r="DF205" s="175"/>
      <c r="DG205" s="112"/>
      <c r="DH205" s="154" t="s">
        <v>40</v>
      </c>
      <c r="DI205" s="181"/>
      <c r="DJ205" s="182">
        <v>0</v>
      </c>
      <c r="DK205" s="183"/>
      <c r="DM205" s="125"/>
      <c r="DN205" s="126"/>
      <c r="DO205" s="164"/>
      <c r="DP205" s="2"/>
      <c r="DQ205" s="113"/>
      <c r="DR205" s="175"/>
      <c r="DS205" s="112"/>
      <c r="DT205" s="154" t="s">
        <v>40</v>
      </c>
      <c r="DU205" s="181"/>
      <c r="DV205" s="154">
        <v>0</v>
      </c>
      <c r="DW205" s="142"/>
      <c r="DY205" s="125"/>
      <c r="DZ205" s="126"/>
      <c r="EA205" s="164"/>
      <c r="EC205" s="113"/>
      <c r="ED205" s="175"/>
      <c r="EE205" s="112"/>
      <c r="EF205" s="154" t="s">
        <v>40</v>
      </c>
      <c r="EG205" s="181"/>
      <c r="EH205" s="154">
        <v>0</v>
      </c>
      <c r="EI205" s="142"/>
      <c r="EK205" s="125"/>
      <c r="EL205" s="126"/>
      <c r="EM205" s="164"/>
      <c r="EO205" s="113"/>
      <c r="EP205" s="175"/>
      <c r="EQ205" s="112"/>
      <c r="ER205" s="154" t="s">
        <v>40</v>
      </c>
      <c r="ES205" s="142"/>
      <c r="ET205" s="156">
        <f t="shared" si="14"/>
        <v>2</v>
      </c>
      <c r="EU205" s="157"/>
      <c r="EW205" s="125"/>
      <c r="EX205" s="126"/>
      <c r="EY205" s="164"/>
    </row>
    <row r="206" spans="1:155" ht="17.100000000000001" customHeight="1" thickBot="1" x14ac:dyDescent="0.25">
      <c r="A206" s="113"/>
      <c r="B206" s="175"/>
      <c r="C206" s="112"/>
      <c r="D206" s="154" t="s">
        <v>41</v>
      </c>
      <c r="E206" s="181"/>
      <c r="F206" s="154">
        <v>0</v>
      </c>
      <c r="G206" s="142"/>
      <c r="I206" s="111" t="s">
        <v>20</v>
      </c>
      <c r="J206" s="124"/>
      <c r="K206" s="162">
        <v>0</v>
      </c>
      <c r="M206" s="113"/>
      <c r="N206" s="175"/>
      <c r="O206" s="112"/>
      <c r="P206" s="154" t="s">
        <v>41</v>
      </c>
      <c r="Q206" s="181"/>
      <c r="R206" s="182">
        <v>0</v>
      </c>
      <c r="S206" s="183"/>
      <c r="U206" s="111" t="s">
        <v>20</v>
      </c>
      <c r="V206" s="124"/>
      <c r="W206" s="162">
        <v>260</v>
      </c>
      <c r="Y206" s="113"/>
      <c r="Z206" s="175"/>
      <c r="AA206" s="112"/>
      <c r="AB206" s="154" t="s">
        <v>41</v>
      </c>
      <c r="AC206" s="181"/>
      <c r="AD206" s="182">
        <v>0</v>
      </c>
      <c r="AE206" s="183"/>
      <c r="AG206" s="111" t="s">
        <v>20</v>
      </c>
      <c r="AH206" s="124"/>
      <c r="AI206" s="162">
        <v>0</v>
      </c>
      <c r="AK206" s="113"/>
      <c r="AL206" s="175"/>
      <c r="AM206" s="112"/>
      <c r="AN206" s="154" t="s">
        <v>41</v>
      </c>
      <c r="AO206" s="181"/>
      <c r="AP206" s="154">
        <v>0</v>
      </c>
      <c r="AQ206" s="142"/>
      <c r="AS206" s="111" t="s">
        <v>20</v>
      </c>
      <c r="AT206" s="124"/>
      <c r="AU206" s="162">
        <v>0</v>
      </c>
      <c r="AW206" s="113"/>
      <c r="AX206" s="175"/>
      <c r="AY206" s="112"/>
      <c r="AZ206" s="154" t="s">
        <v>41</v>
      </c>
      <c r="BA206" s="181"/>
      <c r="BB206" s="195">
        <v>0</v>
      </c>
      <c r="BC206" s="196"/>
      <c r="BE206" s="111" t="s">
        <v>20</v>
      </c>
      <c r="BF206" s="124"/>
      <c r="BG206" s="162">
        <v>86</v>
      </c>
      <c r="BI206" s="113"/>
      <c r="BJ206" s="175"/>
      <c r="BK206" s="112"/>
      <c r="BL206" s="154" t="s">
        <v>41</v>
      </c>
      <c r="BM206" s="181"/>
      <c r="BN206" s="182">
        <v>0</v>
      </c>
      <c r="BO206" s="183"/>
      <c r="BQ206" s="111" t="s">
        <v>20</v>
      </c>
      <c r="BR206" s="124"/>
      <c r="BS206" s="162">
        <v>231</v>
      </c>
      <c r="BU206" s="113"/>
      <c r="BV206" s="175"/>
      <c r="BW206" s="112"/>
      <c r="BX206" s="154" t="s">
        <v>41</v>
      </c>
      <c r="BY206" s="181"/>
      <c r="BZ206" s="154">
        <v>0</v>
      </c>
      <c r="CA206" s="142"/>
      <c r="CC206" s="111" t="s">
        <v>20</v>
      </c>
      <c r="CD206" s="124"/>
      <c r="CE206" s="162">
        <v>0</v>
      </c>
      <c r="CG206" s="113"/>
      <c r="CH206" s="175"/>
      <c r="CI206" s="112"/>
      <c r="CJ206" s="154" t="s">
        <v>41</v>
      </c>
      <c r="CK206" s="181"/>
      <c r="CL206" s="154">
        <v>0</v>
      </c>
      <c r="CM206" s="142"/>
      <c r="CO206" s="111" t="s">
        <v>20</v>
      </c>
      <c r="CP206" s="124"/>
      <c r="CQ206" s="162">
        <v>0</v>
      </c>
      <c r="CS206" s="113"/>
      <c r="CT206" s="175"/>
      <c r="CU206" s="112"/>
      <c r="CV206" s="154" t="s">
        <v>41</v>
      </c>
      <c r="CW206" s="181"/>
      <c r="CX206" s="154">
        <v>0</v>
      </c>
      <c r="CY206" s="142"/>
      <c r="DA206" s="111" t="s">
        <v>20</v>
      </c>
      <c r="DB206" s="124"/>
      <c r="DC206" s="162">
        <v>0</v>
      </c>
      <c r="DD206" s="2"/>
      <c r="DE206" s="113"/>
      <c r="DF206" s="175"/>
      <c r="DG206" s="112"/>
      <c r="DH206" s="154" t="s">
        <v>41</v>
      </c>
      <c r="DI206" s="181"/>
      <c r="DJ206" s="182">
        <v>2</v>
      </c>
      <c r="DK206" s="183"/>
      <c r="DM206" s="111" t="s">
        <v>20</v>
      </c>
      <c r="DN206" s="124"/>
      <c r="DO206" s="162">
        <v>0</v>
      </c>
      <c r="DP206" s="2"/>
      <c r="DQ206" s="113"/>
      <c r="DR206" s="175"/>
      <c r="DS206" s="112"/>
      <c r="DT206" s="154" t="s">
        <v>41</v>
      </c>
      <c r="DU206" s="181"/>
      <c r="DV206" s="154">
        <v>0</v>
      </c>
      <c r="DW206" s="142"/>
      <c r="DY206" s="111" t="s">
        <v>20</v>
      </c>
      <c r="DZ206" s="124"/>
      <c r="EA206" s="162">
        <v>0</v>
      </c>
      <c r="EC206" s="113"/>
      <c r="ED206" s="175"/>
      <c r="EE206" s="112"/>
      <c r="EF206" s="154" t="s">
        <v>41</v>
      </c>
      <c r="EG206" s="181"/>
      <c r="EH206" s="154">
        <v>0</v>
      </c>
      <c r="EI206" s="142"/>
      <c r="EK206" s="111" t="s">
        <v>20</v>
      </c>
      <c r="EL206" s="124"/>
      <c r="EM206" s="162">
        <v>0</v>
      </c>
      <c r="EO206" s="113"/>
      <c r="EP206" s="175"/>
      <c r="EQ206" s="112"/>
      <c r="ER206" s="154" t="s">
        <v>41</v>
      </c>
      <c r="ES206" s="142"/>
      <c r="ET206" s="156">
        <f t="shared" si="14"/>
        <v>2</v>
      </c>
      <c r="EU206" s="157"/>
      <c r="EW206" s="111" t="s">
        <v>20</v>
      </c>
      <c r="EX206" s="124"/>
      <c r="EY206" s="162">
        <f>K206+W206+AI206+AU206+BG206+BS206+CE206+CQ206+DC206+DO206+EA206+EM206</f>
        <v>577</v>
      </c>
    </row>
    <row r="207" spans="1:155" ht="17.100000000000001" customHeight="1" thickBot="1" x14ac:dyDescent="0.25">
      <c r="A207" s="125"/>
      <c r="B207" s="175"/>
      <c r="C207" s="112"/>
      <c r="D207" s="188" t="s">
        <v>42</v>
      </c>
      <c r="E207" s="189"/>
      <c r="F207" s="188">
        <v>0</v>
      </c>
      <c r="G207" s="194"/>
      <c r="I207" s="113"/>
      <c r="J207" s="112"/>
      <c r="K207" s="163"/>
      <c r="M207" s="125"/>
      <c r="N207" s="175"/>
      <c r="O207" s="112"/>
      <c r="P207" s="188" t="s">
        <v>42</v>
      </c>
      <c r="Q207" s="189"/>
      <c r="R207" s="192">
        <v>14</v>
      </c>
      <c r="S207" s="193"/>
      <c r="U207" s="113"/>
      <c r="V207" s="112"/>
      <c r="W207" s="163"/>
      <c r="Y207" s="125"/>
      <c r="Z207" s="175"/>
      <c r="AA207" s="112"/>
      <c r="AB207" s="188" t="s">
        <v>42</v>
      </c>
      <c r="AC207" s="189"/>
      <c r="AD207" s="192">
        <v>19</v>
      </c>
      <c r="AE207" s="193"/>
      <c r="AG207" s="113"/>
      <c r="AH207" s="112"/>
      <c r="AI207" s="163"/>
      <c r="AK207" s="125"/>
      <c r="AL207" s="175"/>
      <c r="AM207" s="112"/>
      <c r="AN207" s="188" t="s">
        <v>42</v>
      </c>
      <c r="AO207" s="189"/>
      <c r="AP207" s="188">
        <v>0</v>
      </c>
      <c r="AQ207" s="194"/>
      <c r="AS207" s="113"/>
      <c r="AT207" s="112"/>
      <c r="AU207" s="163"/>
      <c r="AW207" s="125"/>
      <c r="AX207" s="175"/>
      <c r="AY207" s="112"/>
      <c r="AZ207" s="188" t="s">
        <v>42</v>
      </c>
      <c r="BA207" s="189"/>
      <c r="BB207" s="199">
        <v>50</v>
      </c>
      <c r="BC207" s="200"/>
      <c r="BE207" s="113"/>
      <c r="BF207" s="112"/>
      <c r="BG207" s="163"/>
      <c r="BI207" s="125"/>
      <c r="BJ207" s="175"/>
      <c r="BK207" s="112"/>
      <c r="BL207" s="188" t="s">
        <v>42</v>
      </c>
      <c r="BM207" s="189"/>
      <c r="BN207" s="192">
        <v>19</v>
      </c>
      <c r="BO207" s="193"/>
      <c r="BQ207" s="113"/>
      <c r="BR207" s="112"/>
      <c r="BS207" s="163"/>
      <c r="BU207" s="125"/>
      <c r="BV207" s="175"/>
      <c r="BW207" s="112"/>
      <c r="BX207" s="188" t="s">
        <v>42</v>
      </c>
      <c r="BY207" s="189"/>
      <c r="BZ207" s="188">
        <v>0</v>
      </c>
      <c r="CA207" s="194"/>
      <c r="CC207" s="113"/>
      <c r="CD207" s="112"/>
      <c r="CE207" s="163"/>
      <c r="CG207" s="125"/>
      <c r="CH207" s="175"/>
      <c r="CI207" s="112"/>
      <c r="CJ207" s="188" t="s">
        <v>42</v>
      </c>
      <c r="CK207" s="189"/>
      <c r="CL207" s="188">
        <v>0</v>
      </c>
      <c r="CM207" s="194"/>
      <c r="CO207" s="113"/>
      <c r="CP207" s="112"/>
      <c r="CQ207" s="163"/>
      <c r="CS207" s="125"/>
      <c r="CT207" s="175"/>
      <c r="CU207" s="112"/>
      <c r="CV207" s="188" t="s">
        <v>42</v>
      </c>
      <c r="CW207" s="189"/>
      <c r="CX207" s="188">
        <v>0</v>
      </c>
      <c r="CY207" s="194"/>
      <c r="DA207" s="113"/>
      <c r="DB207" s="112"/>
      <c r="DC207" s="163"/>
      <c r="DD207" s="2"/>
      <c r="DE207" s="125"/>
      <c r="DF207" s="175"/>
      <c r="DG207" s="112"/>
      <c r="DH207" s="188" t="s">
        <v>42</v>
      </c>
      <c r="DI207" s="189"/>
      <c r="DJ207" s="192">
        <v>8</v>
      </c>
      <c r="DK207" s="193"/>
      <c r="DM207" s="113"/>
      <c r="DN207" s="112"/>
      <c r="DO207" s="163"/>
      <c r="DP207" s="2"/>
      <c r="DQ207" s="125"/>
      <c r="DR207" s="175"/>
      <c r="DS207" s="112"/>
      <c r="DT207" s="188" t="s">
        <v>42</v>
      </c>
      <c r="DU207" s="189"/>
      <c r="DV207" s="188">
        <v>0</v>
      </c>
      <c r="DW207" s="194"/>
      <c r="DY207" s="113"/>
      <c r="DZ207" s="112"/>
      <c r="EA207" s="163"/>
      <c r="EC207" s="125"/>
      <c r="ED207" s="175"/>
      <c r="EE207" s="112"/>
      <c r="EF207" s="188" t="s">
        <v>42</v>
      </c>
      <c r="EG207" s="189"/>
      <c r="EH207" s="188">
        <v>0</v>
      </c>
      <c r="EI207" s="194"/>
      <c r="EK207" s="113"/>
      <c r="EL207" s="112"/>
      <c r="EM207" s="163"/>
      <c r="EO207" s="125"/>
      <c r="EP207" s="176"/>
      <c r="EQ207" s="126"/>
      <c r="ER207" s="177" t="s">
        <v>42</v>
      </c>
      <c r="ES207" s="178"/>
      <c r="ET207" s="156">
        <f t="shared" si="14"/>
        <v>110</v>
      </c>
      <c r="EU207" s="157"/>
      <c r="EW207" s="113"/>
      <c r="EX207" s="112"/>
      <c r="EY207" s="163"/>
    </row>
    <row r="208" spans="1:155" ht="17.100000000000001" customHeight="1" thickBot="1" x14ac:dyDescent="0.25">
      <c r="A208" s="111" t="s">
        <v>43</v>
      </c>
      <c r="B208" s="61">
        <f>1</f>
        <v>1</v>
      </c>
      <c r="C208" s="62">
        <v>2</v>
      </c>
      <c r="D208" s="62">
        <v>3</v>
      </c>
      <c r="E208" s="62">
        <v>4</v>
      </c>
      <c r="F208" s="62">
        <v>5</v>
      </c>
      <c r="G208" s="80">
        <v>6</v>
      </c>
      <c r="I208" s="125"/>
      <c r="J208" s="126"/>
      <c r="K208" s="164"/>
      <c r="M208" s="111" t="s">
        <v>43</v>
      </c>
      <c r="N208" s="61">
        <f>1</f>
        <v>1</v>
      </c>
      <c r="O208" s="62">
        <v>2</v>
      </c>
      <c r="P208" s="62">
        <v>3</v>
      </c>
      <c r="Q208" s="62">
        <v>4</v>
      </c>
      <c r="R208" s="62">
        <v>5</v>
      </c>
      <c r="S208" s="80">
        <v>6</v>
      </c>
      <c r="U208" s="125"/>
      <c r="V208" s="126"/>
      <c r="W208" s="164"/>
      <c r="Y208" s="111" t="s">
        <v>43</v>
      </c>
      <c r="Z208" s="61">
        <f>1</f>
        <v>1</v>
      </c>
      <c r="AA208" s="62">
        <v>2</v>
      </c>
      <c r="AB208" s="62">
        <v>3</v>
      </c>
      <c r="AC208" s="62">
        <v>4</v>
      </c>
      <c r="AD208" s="62">
        <v>5</v>
      </c>
      <c r="AE208" s="80">
        <v>6</v>
      </c>
      <c r="AG208" s="125"/>
      <c r="AH208" s="126"/>
      <c r="AI208" s="164"/>
      <c r="AK208" s="111" t="s">
        <v>43</v>
      </c>
      <c r="AL208" s="61">
        <f>1</f>
        <v>1</v>
      </c>
      <c r="AM208" s="62">
        <v>2</v>
      </c>
      <c r="AN208" s="62">
        <v>3</v>
      </c>
      <c r="AO208" s="62">
        <v>4</v>
      </c>
      <c r="AP208" s="62">
        <v>5</v>
      </c>
      <c r="AQ208" s="80">
        <v>6</v>
      </c>
      <c r="AS208" s="125"/>
      <c r="AT208" s="126"/>
      <c r="AU208" s="164"/>
      <c r="AW208" s="111" t="s">
        <v>43</v>
      </c>
      <c r="AX208" s="61">
        <f>1</f>
        <v>1</v>
      </c>
      <c r="AY208" s="62">
        <v>2</v>
      </c>
      <c r="AZ208" s="62">
        <v>3</v>
      </c>
      <c r="BA208" s="62">
        <v>4</v>
      </c>
      <c r="BB208" s="62">
        <v>5</v>
      </c>
      <c r="BC208" s="80">
        <v>6</v>
      </c>
      <c r="BE208" s="125"/>
      <c r="BF208" s="126"/>
      <c r="BG208" s="164"/>
      <c r="BI208" s="111" t="s">
        <v>43</v>
      </c>
      <c r="BJ208" s="61">
        <f>1</f>
        <v>1</v>
      </c>
      <c r="BK208" s="62">
        <v>2</v>
      </c>
      <c r="BL208" s="62">
        <v>3</v>
      </c>
      <c r="BM208" s="62">
        <v>4</v>
      </c>
      <c r="BN208" s="62">
        <v>5</v>
      </c>
      <c r="BO208" s="80">
        <v>6</v>
      </c>
      <c r="BQ208" s="125"/>
      <c r="BR208" s="126"/>
      <c r="BS208" s="164"/>
      <c r="BU208" s="111" t="s">
        <v>43</v>
      </c>
      <c r="BV208" s="61">
        <f>1</f>
        <v>1</v>
      </c>
      <c r="BW208" s="62">
        <v>2</v>
      </c>
      <c r="BX208" s="62">
        <v>3</v>
      </c>
      <c r="BY208" s="62">
        <v>4</v>
      </c>
      <c r="BZ208" s="62">
        <v>5</v>
      </c>
      <c r="CA208" s="80">
        <v>6</v>
      </c>
      <c r="CC208" s="125"/>
      <c r="CD208" s="126"/>
      <c r="CE208" s="164"/>
      <c r="CG208" s="111" t="s">
        <v>43</v>
      </c>
      <c r="CH208" s="61">
        <f>1</f>
        <v>1</v>
      </c>
      <c r="CI208" s="62">
        <v>2</v>
      </c>
      <c r="CJ208" s="62">
        <v>3</v>
      </c>
      <c r="CK208" s="62">
        <v>4</v>
      </c>
      <c r="CL208" s="62">
        <v>5</v>
      </c>
      <c r="CM208" s="80">
        <v>6</v>
      </c>
      <c r="CO208" s="125"/>
      <c r="CP208" s="126"/>
      <c r="CQ208" s="164"/>
      <c r="CS208" s="111" t="s">
        <v>43</v>
      </c>
      <c r="CT208" s="61">
        <f>1</f>
        <v>1</v>
      </c>
      <c r="CU208" s="62">
        <v>2</v>
      </c>
      <c r="CV208" s="62">
        <v>3</v>
      </c>
      <c r="CW208" s="62">
        <v>4</v>
      </c>
      <c r="CX208" s="62">
        <v>5</v>
      </c>
      <c r="CY208" s="80">
        <v>6</v>
      </c>
      <c r="DA208" s="125"/>
      <c r="DB208" s="126"/>
      <c r="DC208" s="164"/>
      <c r="DD208" s="2"/>
      <c r="DE208" s="111" t="s">
        <v>43</v>
      </c>
      <c r="DF208" s="61">
        <f>1</f>
        <v>1</v>
      </c>
      <c r="DG208" s="62">
        <v>2</v>
      </c>
      <c r="DH208" s="62">
        <v>3</v>
      </c>
      <c r="DI208" s="62">
        <v>4</v>
      </c>
      <c r="DJ208" s="62">
        <v>5</v>
      </c>
      <c r="DK208" s="80">
        <v>6</v>
      </c>
      <c r="DM208" s="125"/>
      <c r="DN208" s="126"/>
      <c r="DO208" s="164"/>
      <c r="DP208" s="2"/>
      <c r="DQ208" s="111" t="s">
        <v>43</v>
      </c>
      <c r="DR208" s="61">
        <f>1</f>
        <v>1</v>
      </c>
      <c r="DS208" s="62">
        <v>2</v>
      </c>
      <c r="DT208" s="62">
        <v>3</v>
      </c>
      <c r="DU208" s="62">
        <v>4</v>
      </c>
      <c r="DV208" s="62">
        <v>5</v>
      </c>
      <c r="DW208" s="80">
        <v>6</v>
      </c>
      <c r="DY208" s="125"/>
      <c r="DZ208" s="126"/>
      <c r="EA208" s="164"/>
      <c r="EC208" s="111" t="s">
        <v>43</v>
      </c>
      <c r="ED208" s="61">
        <f>1</f>
        <v>1</v>
      </c>
      <c r="EE208" s="62">
        <v>2</v>
      </c>
      <c r="EF208" s="62">
        <v>3</v>
      </c>
      <c r="EG208" s="62">
        <v>4</v>
      </c>
      <c r="EH208" s="62">
        <v>5</v>
      </c>
      <c r="EI208" s="80">
        <v>6</v>
      </c>
      <c r="EK208" s="125"/>
      <c r="EL208" s="126"/>
      <c r="EM208" s="164"/>
      <c r="EO208" s="229" t="s">
        <v>43</v>
      </c>
      <c r="EP208" s="61">
        <f>1</f>
        <v>1</v>
      </c>
      <c r="EQ208" s="62">
        <v>2</v>
      </c>
      <c r="ER208" s="62">
        <v>3</v>
      </c>
      <c r="ES208" s="62">
        <v>4</v>
      </c>
      <c r="ET208" s="62">
        <v>5</v>
      </c>
      <c r="EU208" s="80">
        <v>6</v>
      </c>
      <c r="EW208" s="125"/>
      <c r="EX208" s="126"/>
      <c r="EY208" s="164"/>
    </row>
    <row r="209" spans="1:155" ht="17.100000000000001" customHeight="1" thickTop="1" thickBot="1" x14ac:dyDescent="0.25">
      <c r="A209" s="125"/>
      <c r="B209" s="10">
        <v>0</v>
      </c>
      <c r="C209" s="11">
        <v>0</v>
      </c>
      <c r="D209" s="11">
        <v>0</v>
      </c>
      <c r="E209" s="11">
        <v>0</v>
      </c>
      <c r="F209" s="11">
        <v>0</v>
      </c>
      <c r="G209" s="12">
        <v>0</v>
      </c>
      <c r="H209" s="13"/>
      <c r="I209" s="14"/>
      <c r="J209" s="14"/>
      <c r="K209" s="9">
        <f>SUM(K203:K208)</f>
        <v>0</v>
      </c>
      <c r="M209" s="125"/>
      <c r="N209" s="10">
        <v>0</v>
      </c>
      <c r="O209" s="11">
        <v>0</v>
      </c>
      <c r="P209" s="11">
        <v>0</v>
      </c>
      <c r="Q209" s="11">
        <v>0</v>
      </c>
      <c r="R209" s="11">
        <v>0</v>
      </c>
      <c r="S209" s="12">
        <v>0</v>
      </c>
      <c r="T209" s="13"/>
      <c r="U209" s="14"/>
      <c r="V209" s="14"/>
      <c r="W209" s="9">
        <f>SUM(W203:W208)</f>
        <v>471</v>
      </c>
      <c r="Y209" s="125"/>
      <c r="Z209" s="94">
        <v>54</v>
      </c>
      <c r="AA209" s="95">
        <v>42</v>
      </c>
      <c r="AB209" s="95">
        <v>13</v>
      </c>
      <c r="AC209" s="95">
        <v>0</v>
      </c>
      <c r="AD209" s="95">
        <v>0</v>
      </c>
      <c r="AE209" s="96">
        <v>0</v>
      </c>
      <c r="AF209" s="13"/>
      <c r="AG209" s="14"/>
      <c r="AH209" s="14"/>
      <c r="AI209" s="9">
        <f>SUM(AI203:AI208)</f>
        <v>0</v>
      </c>
      <c r="AK209" s="125"/>
      <c r="AL209" s="10">
        <v>0</v>
      </c>
      <c r="AM209" s="11">
        <v>0</v>
      </c>
      <c r="AN209" s="11">
        <v>0</v>
      </c>
      <c r="AO209" s="11">
        <v>0</v>
      </c>
      <c r="AP209" s="11">
        <v>0</v>
      </c>
      <c r="AQ209" s="12">
        <v>0</v>
      </c>
      <c r="AR209" s="13"/>
      <c r="AS209" s="14"/>
      <c r="AT209" s="14"/>
      <c r="AU209" s="9">
        <f>SUM(AU203:AU208)</f>
        <v>0</v>
      </c>
      <c r="AW209" s="125"/>
      <c r="AX209" s="10">
        <v>0</v>
      </c>
      <c r="AY209" s="11">
        <v>0</v>
      </c>
      <c r="AZ209" s="11">
        <v>0</v>
      </c>
      <c r="BA209" s="11">
        <v>0</v>
      </c>
      <c r="BB209" s="11">
        <v>0</v>
      </c>
      <c r="BC209" s="12">
        <v>0</v>
      </c>
      <c r="BD209" s="13"/>
      <c r="BE209" s="14"/>
      <c r="BF209" s="14"/>
      <c r="BG209" s="9">
        <f>SUM(BG203:BG208)</f>
        <v>407</v>
      </c>
      <c r="BI209" s="125"/>
      <c r="BJ209" s="10">
        <v>54</v>
      </c>
      <c r="BK209" s="11">
        <v>42</v>
      </c>
      <c r="BL209" s="11">
        <v>13</v>
      </c>
      <c r="BM209" s="11">
        <v>0</v>
      </c>
      <c r="BN209" s="11">
        <v>0</v>
      </c>
      <c r="BO209" s="12">
        <v>0</v>
      </c>
      <c r="BP209" s="13"/>
      <c r="BQ209" s="14"/>
      <c r="BR209" s="14"/>
      <c r="BS209" s="9">
        <f>SUM(BS203:BS208)</f>
        <v>431</v>
      </c>
      <c r="BU209" s="125"/>
      <c r="BV209" s="10">
        <v>0</v>
      </c>
      <c r="BW209" s="11">
        <v>0</v>
      </c>
      <c r="BX209" s="11">
        <v>0</v>
      </c>
      <c r="BY209" s="11">
        <v>0</v>
      </c>
      <c r="BZ209" s="11">
        <v>0</v>
      </c>
      <c r="CA209" s="12">
        <v>0</v>
      </c>
      <c r="CB209" s="13"/>
      <c r="CC209" s="14"/>
      <c r="CD209" s="14"/>
      <c r="CE209" s="9">
        <f>SUM(CE203:CE208)</f>
        <v>0</v>
      </c>
      <c r="CG209" s="125"/>
      <c r="CH209" s="10">
        <v>0</v>
      </c>
      <c r="CI209" s="11">
        <v>0</v>
      </c>
      <c r="CJ209" s="11">
        <v>0</v>
      </c>
      <c r="CK209" s="11">
        <v>0</v>
      </c>
      <c r="CL209" s="11">
        <v>0</v>
      </c>
      <c r="CM209" s="12">
        <v>0</v>
      </c>
      <c r="CN209" s="13"/>
      <c r="CO209" s="14"/>
      <c r="CP209" s="14"/>
      <c r="CQ209" s="9">
        <f>SUM(CQ203:CQ208)</f>
        <v>0</v>
      </c>
      <c r="CS209" s="125"/>
      <c r="CT209" s="10">
        <v>0</v>
      </c>
      <c r="CU209" s="11">
        <v>0</v>
      </c>
      <c r="CV209" s="11">
        <v>0</v>
      </c>
      <c r="CW209" s="11">
        <v>0</v>
      </c>
      <c r="CX209" s="11">
        <v>0</v>
      </c>
      <c r="CY209" s="12">
        <v>0</v>
      </c>
      <c r="CZ209" s="13"/>
      <c r="DA209" s="14"/>
      <c r="DB209" s="14"/>
      <c r="DC209" s="9">
        <f>SUM(DC203:DC208)</f>
        <v>0</v>
      </c>
      <c r="DD209" s="2"/>
      <c r="DE209" s="125"/>
      <c r="DF209" s="10">
        <v>30</v>
      </c>
      <c r="DG209" s="11">
        <v>51</v>
      </c>
      <c r="DH209" s="11">
        <v>6</v>
      </c>
      <c r="DI209" s="11">
        <v>0</v>
      </c>
      <c r="DJ209" s="11">
        <v>0</v>
      </c>
      <c r="DK209" s="12">
        <v>0</v>
      </c>
      <c r="DL209" s="13"/>
      <c r="DM209" s="14"/>
      <c r="DN209" s="14"/>
      <c r="DO209" s="9">
        <f>SUM(DO203:DO208)</f>
        <v>0</v>
      </c>
      <c r="DP209" s="2"/>
      <c r="DQ209" s="125"/>
      <c r="DR209" s="10">
        <v>0</v>
      </c>
      <c r="DS209" s="11">
        <v>0</v>
      </c>
      <c r="DT209" s="11">
        <v>0</v>
      </c>
      <c r="DU209" s="11">
        <v>0</v>
      </c>
      <c r="DV209" s="11">
        <v>0</v>
      </c>
      <c r="DW209" s="12">
        <v>0</v>
      </c>
      <c r="DX209" s="13"/>
      <c r="DY209" s="14"/>
      <c r="DZ209" s="14"/>
      <c r="EA209" s="9">
        <f>SUM(EA203:EA208)</f>
        <v>0</v>
      </c>
      <c r="EC209" s="125"/>
      <c r="ED209" s="10">
        <v>0</v>
      </c>
      <c r="EE209" s="11">
        <v>0</v>
      </c>
      <c r="EF209" s="11">
        <v>0</v>
      </c>
      <c r="EG209" s="11">
        <v>0</v>
      </c>
      <c r="EH209" s="11">
        <v>0</v>
      </c>
      <c r="EI209" s="12">
        <v>0</v>
      </c>
      <c r="EJ209" s="13"/>
      <c r="EK209" s="14"/>
      <c r="EL209" s="14"/>
      <c r="EM209" s="9">
        <f>SUM(EM203:EM208)</f>
        <v>0</v>
      </c>
      <c r="EO209" s="237"/>
      <c r="EP209" s="10">
        <f t="shared" ref="EP209:EU209" si="15">B209+N209+Z209+AL209+AX209+BJ209+BV209+CH209+CT209+DF209+DR209+ED209</f>
        <v>138</v>
      </c>
      <c r="EQ209" s="10">
        <f t="shared" si="15"/>
        <v>135</v>
      </c>
      <c r="ER209" s="10">
        <f t="shared" si="15"/>
        <v>32</v>
      </c>
      <c r="ES209" s="10">
        <f t="shared" si="15"/>
        <v>0</v>
      </c>
      <c r="ET209" s="10">
        <f t="shared" si="15"/>
        <v>0</v>
      </c>
      <c r="EU209" s="10">
        <f t="shared" si="15"/>
        <v>0</v>
      </c>
      <c r="EV209" s="13"/>
      <c r="EW209" s="14"/>
      <c r="EX209" s="14"/>
      <c r="EY209" s="9">
        <f>SUM(EY203:EY208)</f>
        <v>1309</v>
      </c>
    </row>
    <row r="210" spans="1:155" ht="18" customHeight="1" thickBot="1" x14ac:dyDescent="0.25">
      <c r="A210" s="59" t="s">
        <v>3</v>
      </c>
      <c r="B210" s="59"/>
      <c r="C210" s="179"/>
      <c r="D210" s="179"/>
      <c r="E210" s="179"/>
      <c r="G210" s="64"/>
      <c r="H210" s="186"/>
      <c r="I210" s="186"/>
      <c r="J210" s="15"/>
      <c r="M210" s="59" t="s">
        <v>3</v>
      </c>
      <c r="N210" s="59"/>
      <c r="O210" s="179"/>
      <c r="P210" s="179"/>
      <c r="Q210" s="179"/>
      <c r="S210" s="64"/>
      <c r="T210" s="186"/>
      <c r="U210" s="186"/>
      <c r="V210" s="15"/>
      <c r="Y210" s="59" t="s">
        <v>3</v>
      </c>
      <c r="Z210" s="59"/>
      <c r="AA210" s="179"/>
      <c r="AB210" s="179"/>
      <c r="AC210" s="179"/>
      <c r="AE210" s="64"/>
      <c r="AF210" s="186"/>
      <c r="AG210" s="186"/>
      <c r="AH210" s="15"/>
      <c r="AK210" s="59" t="s">
        <v>3</v>
      </c>
      <c r="AL210" s="59"/>
      <c r="AM210" s="179"/>
      <c r="AN210" s="179"/>
      <c r="AO210" s="179"/>
      <c r="AQ210" s="64"/>
      <c r="AR210" s="186"/>
      <c r="AS210" s="186"/>
      <c r="AT210" s="15"/>
      <c r="AW210" s="59" t="s">
        <v>3</v>
      </c>
      <c r="AX210" s="59"/>
      <c r="AY210" s="179"/>
      <c r="AZ210" s="179"/>
      <c r="BA210" s="179"/>
      <c r="BC210" s="64"/>
      <c r="BD210" s="186"/>
      <c r="BE210" s="186"/>
      <c r="BF210" s="15"/>
      <c r="BI210" s="59" t="s">
        <v>3</v>
      </c>
      <c r="BJ210" s="59"/>
      <c r="BK210" s="179"/>
      <c r="BL210" s="179"/>
      <c r="BM210" s="179"/>
      <c r="BO210" s="64"/>
      <c r="BP210" s="186"/>
      <c r="BQ210" s="186"/>
      <c r="BR210" s="15"/>
      <c r="BU210" s="59" t="s">
        <v>3</v>
      </c>
      <c r="BV210" s="59"/>
      <c r="BW210" s="179"/>
      <c r="BX210" s="179"/>
      <c r="BY210" s="179"/>
      <c r="CA210" s="64"/>
      <c r="CB210" s="186"/>
      <c r="CC210" s="186"/>
      <c r="CD210" s="15"/>
      <c r="CG210" s="59" t="s">
        <v>3</v>
      </c>
      <c r="CH210" s="59"/>
      <c r="CI210" s="179"/>
      <c r="CJ210" s="179"/>
      <c r="CK210" s="179"/>
      <c r="CM210" s="64"/>
      <c r="CN210" s="186"/>
      <c r="CO210" s="186"/>
      <c r="CP210" s="15"/>
      <c r="CS210" s="59" t="s">
        <v>3</v>
      </c>
      <c r="CT210" s="59"/>
      <c r="CU210" s="179"/>
      <c r="CV210" s="179"/>
      <c r="CW210" s="179"/>
      <c r="CY210" s="64"/>
      <c r="CZ210" s="186"/>
      <c r="DA210" s="186"/>
      <c r="DB210" s="15"/>
      <c r="DD210" s="2"/>
      <c r="DE210" s="59" t="s">
        <v>3</v>
      </c>
      <c r="DF210" s="59"/>
      <c r="DG210" s="179"/>
      <c r="DH210" s="179"/>
      <c r="DI210" s="179"/>
      <c r="DK210" s="64"/>
      <c r="DL210" s="186"/>
      <c r="DM210" s="186"/>
      <c r="DN210" s="15"/>
      <c r="DP210" s="2"/>
      <c r="DQ210" s="59" t="s">
        <v>3</v>
      </c>
      <c r="DR210" s="59"/>
      <c r="DS210" s="179"/>
      <c r="DT210" s="179"/>
      <c r="DU210" s="179"/>
      <c r="DW210" s="64"/>
      <c r="DX210" s="186"/>
      <c r="DY210" s="186"/>
      <c r="DZ210" s="15"/>
      <c r="EC210" s="59" t="s">
        <v>3</v>
      </c>
      <c r="ED210" s="59"/>
      <c r="EE210" s="179"/>
      <c r="EF210" s="179"/>
      <c r="EG210" s="179"/>
      <c r="EI210" s="64"/>
      <c r="EJ210" s="186"/>
      <c r="EK210" s="186"/>
      <c r="EL210" s="15"/>
      <c r="EO210" s="59" t="s">
        <v>3</v>
      </c>
      <c r="EP210" s="59"/>
      <c r="EQ210" s="230">
        <f>EE210</f>
        <v>0</v>
      </c>
      <c r="ER210" s="230"/>
      <c r="ES210" s="230"/>
      <c r="EU210" s="64"/>
      <c r="EV210" s="148"/>
      <c r="EW210" s="148"/>
      <c r="EX210" s="15"/>
    </row>
    <row r="211" spans="1:155" ht="17.100000000000001" customHeight="1" thickBot="1" x14ac:dyDescent="0.25">
      <c r="A211" s="156" t="s">
        <v>4</v>
      </c>
      <c r="B211" s="187"/>
      <c r="C211" s="187"/>
      <c r="D211" s="187"/>
      <c r="E211" s="157"/>
      <c r="F211" s="156" t="s">
        <v>5</v>
      </c>
      <c r="G211" s="157"/>
      <c r="I211" s="102" t="s">
        <v>6</v>
      </c>
      <c r="J211" s="143" t="s">
        <v>7</v>
      </c>
      <c r="K211" s="165">
        <v>0</v>
      </c>
      <c r="M211" s="156" t="s">
        <v>4</v>
      </c>
      <c r="N211" s="187"/>
      <c r="O211" s="187"/>
      <c r="P211" s="187"/>
      <c r="Q211" s="157"/>
      <c r="R211" s="156" t="s">
        <v>5</v>
      </c>
      <c r="S211" s="157"/>
      <c r="U211" s="102" t="s">
        <v>6</v>
      </c>
      <c r="V211" s="143" t="s">
        <v>7</v>
      </c>
      <c r="W211" s="165">
        <v>0</v>
      </c>
      <c r="Y211" s="156" t="s">
        <v>4</v>
      </c>
      <c r="Z211" s="187"/>
      <c r="AA211" s="187"/>
      <c r="AB211" s="187"/>
      <c r="AC211" s="157"/>
      <c r="AD211" s="156" t="s">
        <v>5</v>
      </c>
      <c r="AE211" s="157"/>
      <c r="AG211" s="102" t="s">
        <v>6</v>
      </c>
      <c r="AH211" s="143" t="s">
        <v>7</v>
      </c>
      <c r="AI211" s="165">
        <v>0</v>
      </c>
      <c r="AK211" s="156" t="s">
        <v>4</v>
      </c>
      <c r="AL211" s="187"/>
      <c r="AM211" s="187"/>
      <c r="AN211" s="187"/>
      <c r="AO211" s="157"/>
      <c r="AP211" s="156" t="s">
        <v>5</v>
      </c>
      <c r="AQ211" s="157"/>
      <c r="AS211" s="102" t="s">
        <v>6</v>
      </c>
      <c r="AT211" s="143" t="s">
        <v>7</v>
      </c>
      <c r="AU211" s="165">
        <v>0</v>
      </c>
      <c r="AW211" s="156" t="s">
        <v>4</v>
      </c>
      <c r="AX211" s="187"/>
      <c r="AY211" s="187"/>
      <c r="AZ211" s="187"/>
      <c r="BA211" s="157"/>
      <c r="BB211" s="156" t="s">
        <v>5</v>
      </c>
      <c r="BC211" s="157"/>
      <c r="BE211" s="102" t="s">
        <v>6</v>
      </c>
      <c r="BF211" s="143" t="s">
        <v>7</v>
      </c>
      <c r="BG211" s="165">
        <v>0</v>
      </c>
      <c r="BI211" s="156" t="s">
        <v>4</v>
      </c>
      <c r="BJ211" s="187"/>
      <c r="BK211" s="187"/>
      <c r="BL211" s="187"/>
      <c r="BM211" s="157"/>
      <c r="BN211" s="156" t="s">
        <v>5</v>
      </c>
      <c r="BO211" s="157"/>
      <c r="BQ211" s="102" t="s">
        <v>6</v>
      </c>
      <c r="BR211" s="143" t="s">
        <v>7</v>
      </c>
      <c r="BS211" s="165">
        <v>0</v>
      </c>
      <c r="BU211" s="156" t="s">
        <v>4</v>
      </c>
      <c r="BV211" s="187"/>
      <c r="BW211" s="187"/>
      <c r="BX211" s="187"/>
      <c r="BY211" s="157"/>
      <c r="BZ211" s="156" t="s">
        <v>5</v>
      </c>
      <c r="CA211" s="157"/>
      <c r="CC211" s="102" t="s">
        <v>6</v>
      </c>
      <c r="CD211" s="143" t="s">
        <v>7</v>
      </c>
      <c r="CE211" s="165">
        <v>0</v>
      </c>
      <c r="CG211" s="156" t="s">
        <v>4</v>
      </c>
      <c r="CH211" s="187"/>
      <c r="CI211" s="187"/>
      <c r="CJ211" s="187"/>
      <c r="CK211" s="157"/>
      <c r="CL211" s="156" t="s">
        <v>5</v>
      </c>
      <c r="CM211" s="157"/>
      <c r="CO211" s="102" t="s">
        <v>6</v>
      </c>
      <c r="CP211" s="143" t="s">
        <v>7</v>
      </c>
      <c r="CQ211" s="165">
        <v>0</v>
      </c>
      <c r="CS211" s="156" t="s">
        <v>4</v>
      </c>
      <c r="CT211" s="187"/>
      <c r="CU211" s="187"/>
      <c r="CV211" s="187"/>
      <c r="CW211" s="157"/>
      <c r="CX211" s="156" t="s">
        <v>5</v>
      </c>
      <c r="CY211" s="157"/>
      <c r="DA211" s="102" t="s">
        <v>6</v>
      </c>
      <c r="DB211" s="143" t="s">
        <v>7</v>
      </c>
      <c r="DC211" s="165">
        <v>0</v>
      </c>
      <c r="DD211" s="2"/>
      <c r="DE211" s="156" t="s">
        <v>4</v>
      </c>
      <c r="DF211" s="187"/>
      <c r="DG211" s="187"/>
      <c r="DH211" s="187"/>
      <c r="DI211" s="157"/>
      <c r="DJ211" s="156" t="s">
        <v>5</v>
      </c>
      <c r="DK211" s="157"/>
      <c r="DM211" s="102" t="s">
        <v>6</v>
      </c>
      <c r="DN211" s="143" t="s">
        <v>7</v>
      </c>
      <c r="DO211" s="165">
        <v>0</v>
      </c>
      <c r="DP211" s="2"/>
      <c r="DQ211" s="156" t="s">
        <v>4</v>
      </c>
      <c r="DR211" s="187"/>
      <c r="DS211" s="187"/>
      <c r="DT211" s="187"/>
      <c r="DU211" s="157"/>
      <c r="DV211" s="156" t="s">
        <v>5</v>
      </c>
      <c r="DW211" s="157"/>
      <c r="DY211" s="102" t="s">
        <v>6</v>
      </c>
      <c r="DZ211" s="143" t="s">
        <v>7</v>
      </c>
      <c r="EA211" s="165">
        <v>0</v>
      </c>
      <c r="EC211" s="156" t="s">
        <v>4</v>
      </c>
      <c r="ED211" s="187"/>
      <c r="EE211" s="187"/>
      <c r="EF211" s="187"/>
      <c r="EG211" s="157"/>
      <c r="EH211" s="156" t="s">
        <v>5</v>
      </c>
      <c r="EI211" s="157"/>
      <c r="EK211" s="102" t="s">
        <v>6</v>
      </c>
      <c r="EL211" s="143" t="s">
        <v>7</v>
      </c>
      <c r="EM211" s="165">
        <v>0</v>
      </c>
      <c r="EO211" s="156" t="s">
        <v>4</v>
      </c>
      <c r="EP211" s="187"/>
      <c r="EQ211" s="187"/>
      <c r="ER211" s="187"/>
      <c r="ES211" s="157"/>
      <c r="ET211" s="156" t="s">
        <v>5</v>
      </c>
      <c r="EU211" s="157"/>
      <c r="EW211" s="121" t="s">
        <v>6</v>
      </c>
      <c r="EX211" s="229" t="s">
        <v>7</v>
      </c>
      <c r="EY211" s="229">
        <f>K211+W211+AI211+AU211+BG211+BS211+CE211+CQ211+DC211+DO211+EA211+EM211</f>
        <v>0</v>
      </c>
    </row>
    <row r="212" spans="1:155" ht="17.100000000000001" customHeight="1" thickBot="1" x14ac:dyDescent="0.25">
      <c r="A212" s="111" t="s">
        <v>8</v>
      </c>
      <c r="B212" s="174"/>
      <c r="C212" s="174"/>
      <c r="D212" s="155" t="s">
        <v>9</v>
      </c>
      <c r="E212" s="141"/>
      <c r="F212" s="155">
        <v>0</v>
      </c>
      <c r="G212" s="141"/>
      <c r="I212" s="103"/>
      <c r="J212" s="140"/>
      <c r="K212" s="166"/>
      <c r="M212" s="111" t="s">
        <v>8</v>
      </c>
      <c r="N212" s="174"/>
      <c r="O212" s="174"/>
      <c r="P212" s="155" t="s">
        <v>9</v>
      </c>
      <c r="Q212" s="141"/>
      <c r="R212" s="155">
        <v>0</v>
      </c>
      <c r="S212" s="141"/>
      <c r="U212" s="103"/>
      <c r="V212" s="140"/>
      <c r="W212" s="166"/>
      <c r="Y212" s="111" t="s">
        <v>8</v>
      </c>
      <c r="Z212" s="174"/>
      <c r="AA212" s="174"/>
      <c r="AB212" s="155" t="s">
        <v>9</v>
      </c>
      <c r="AC212" s="141"/>
      <c r="AD212" s="155">
        <v>0</v>
      </c>
      <c r="AE212" s="141"/>
      <c r="AG212" s="103"/>
      <c r="AH212" s="140"/>
      <c r="AI212" s="166"/>
      <c r="AK212" s="111" t="s">
        <v>8</v>
      </c>
      <c r="AL212" s="174"/>
      <c r="AM212" s="174"/>
      <c r="AN212" s="155" t="s">
        <v>9</v>
      </c>
      <c r="AO212" s="141"/>
      <c r="AP212" s="155">
        <v>0</v>
      </c>
      <c r="AQ212" s="141"/>
      <c r="AS212" s="103"/>
      <c r="AT212" s="140"/>
      <c r="AU212" s="166"/>
      <c r="AW212" s="111" t="s">
        <v>8</v>
      </c>
      <c r="AX212" s="174"/>
      <c r="AY212" s="174"/>
      <c r="AZ212" s="155" t="s">
        <v>9</v>
      </c>
      <c r="BA212" s="141"/>
      <c r="BB212" s="155">
        <v>0</v>
      </c>
      <c r="BC212" s="141"/>
      <c r="BE212" s="103"/>
      <c r="BF212" s="140"/>
      <c r="BG212" s="166"/>
      <c r="BI212" s="111" t="s">
        <v>8</v>
      </c>
      <c r="BJ212" s="174"/>
      <c r="BK212" s="174"/>
      <c r="BL212" s="155" t="s">
        <v>9</v>
      </c>
      <c r="BM212" s="141"/>
      <c r="BN212" s="155">
        <v>0</v>
      </c>
      <c r="BO212" s="141"/>
      <c r="BQ212" s="103"/>
      <c r="BR212" s="140"/>
      <c r="BS212" s="166"/>
      <c r="BU212" s="111" t="s">
        <v>8</v>
      </c>
      <c r="BV212" s="174"/>
      <c r="BW212" s="174"/>
      <c r="BX212" s="155" t="s">
        <v>9</v>
      </c>
      <c r="BY212" s="141"/>
      <c r="BZ212" s="155">
        <v>0</v>
      </c>
      <c r="CA212" s="141"/>
      <c r="CC212" s="103"/>
      <c r="CD212" s="140"/>
      <c r="CE212" s="166"/>
      <c r="CG212" s="111" t="s">
        <v>8</v>
      </c>
      <c r="CH212" s="174"/>
      <c r="CI212" s="174"/>
      <c r="CJ212" s="155" t="s">
        <v>9</v>
      </c>
      <c r="CK212" s="141"/>
      <c r="CL212" s="155">
        <v>0</v>
      </c>
      <c r="CM212" s="141"/>
      <c r="CO212" s="103"/>
      <c r="CP212" s="140"/>
      <c r="CQ212" s="166"/>
      <c r="CS212" s="111" t="s">
        <v>8</v>
      </c>
      <c r="CT212" s="174"/>
      <c r="CU212" s="174"/>
      <c r="CV212" s="155" t="s">
        <v>9</v>
      </c>
      <c r="CW212" s="141"/>
      <c r="CX212" s="155">
        <v>0</v>
      </c>
      <c r="CY212" s="141"/>
      <c r="DA212" s="103"/>
      <c r="DB212" s="140"/>
      <c r="DC212" s="166"/>
      <c r="DD212" s="2"/>
      <c r="DE212" s="111" t="s">
        <v>8</v>
      </c>
      <c r="DF212" s="174"/>
      <c r="DG212" s="174"/>
      <c r="DH212" s="155" t="s">
        <v>9</v>
      </c>
      <c r="DI212" s="141"/>
      <c r="DJ212" s="155">
        <v>0</v>
      </c>
      <c r="DK212" s="141"/>
      <c r="DM212" s="103"/>
      <c r="DN212" s="140"/>
      <c r="DO212" s="166"/>
      <c r="DP212" s="2"/>
      <c r="DQ212" s="111" t="s">
        <v>8</v>
      </c>
      <c r="DR212" s="174"/>
      <c r="DS212" s="174"/>
      <c r="DT212" s="155" t="s">
        <v>9</v>
      </c>
      <c r="DU212" s="141"/>
      <c r="DV212" s="155">
        <v>0</v>
      </c>
      <c r="DW212" s="141"/>
      <c r="DY212" s="103"/>
      <c r="DZ212" s="140"/>
      <c r="EA212" s="166"/>
      <c r="EC212" s="111" t="s">
        <v>8</v>
      </c>
      <c r="ED212" s="174"/>
      <c r="EE212" s="174"/>
      <c r="EF212" s="155" t="s">
        <v>9</v>
      </c>
      <c r="EG212" s="141"/>
      <c r="EH212" s="155">
        <v>0</v>
      </c>
      <c r="EI212" s="141"/>
      <c r="EK212" s="103"/>
      <c r="EL212" s="140"/>
      <c r="EM212" s="166"/>
      <c r="EO212" s="111" t="s">
        <v>8</v>
      </c>
      <c r="EP212" s="174"/>
      <c r="EQ212" s="124"/>
      <c r="ER212" s="155" t="s">
        <v>9</v>
      </c>
      <c r="ES212" s="141"/>
      <c r="ET212" s="156">
        <f>F212+R212+AD212+AP212+BB212+BN212+BZ212+CL212+CX212+DJ212+DV212+EH212</f>
        <v>0</v>
      </c>
      <c r="EU212" s="157"/>
      <c r="EW212" s="122"/>
      <c r="EX212" s="139"/>
      <c r="EY212" s="237"/>
    </row>
    <row r="213" spans="1:155" ht="17.100000000000001" customHeight="1" thickBot="1" x14ac:dyDescent="0.25">
      <c r="A213" s="113"/>
      <c r="B213" s="175"/>
      <c r="C213" s="175"/>
      <c r="D213" s="154" t="s">
        <v>10</v>
      </c>
      <c r="E213" s="142"/>
      <c r="F213" s="154">
        <v>0</v>
      </c>
      <c r="G213" s="142"/>
      <c r="I213" s="103"/>
      <c r="J213" s="140" t="s">
        <v>11</v>
      </c>
      <c r="K213" s="166">
        <v>0</v>
      </c>
      <c r="M213" s="113"/>
      <c r="N213" s="175"/>
      <c r="O213" s="175"/>
      <c r="P213" s="154" t="s">
        <v>10</v>
      </c>
      <c r="Q213" s="142"/>
      <c r="R213" s="154">
        <v>0</v>
      </c>
      <c r="S213" s="142"/>
      <c r="U213" s="103"/>
      <c r="V213" s="140" t="s">
        <v>11</v>
      </c>
      <c r="W213" s="166">
        <v>0</v>
      </c>
      <c r="Y213" s="113"/>
      <c r="Z213" s="175"/>
      <c r="AA213" s="175"/>
      <c r="AB213" s="154" t="s">
        <v>10</v>
      </c>
      <c r="AC213" s="142"/>
      <c r="AD213" s="154">
        <v>0</v>
      </c>
      <c r="AE213" s="142"/>
      <c r="AG213" s="103"/>
      <c r="AH213" s="140" t="s">
        <v>11</v>
      </c>
      <c r="AI213" s="166">
        <v>0</v>
      </c>
      <c r="AK213" s="113"/>
      <c r="AL213" s="175"/>
      <c r="AM213" s="175"/>
      <c r="AN213" s="154" t="s">
        <v>10</v>
      </c>
      <c r="AO213" s="142"/>
      <c r="AP213" s="154">
        <v>0</v>
      </c>
      <c r="AQ213" s="142"/>
      <c r="AS213" s="103"/>
      <c r="AT213" s="140" t="s">
        <v>11</v>
      </c>
      <c r="AU213" s="166">
        <v>0</v>
      </c>
      <c r="AW213" s="113"/>
      <c r="AX213" s="175"/>
      <c r="AY213" s="175"/>
      <c r="AZ213" s="154" t="s">
        <v>10</v>
      </c>
      <c r="BA213" s="142"/>
      <c r="BB213" s="154">
        <v>0</v>
      </c>
      <c r="BC213" s="142"/>
      <c r="BE213" s="103"/>
      <c r="BF213" s="140" t="s">
        <v>11</v>
      </c>
      <c r="BG213" s="166">
        <v>0</v>
      </c>
      <c r="BI213" s="113"/>
      <c r="BJ213" s="175"/>
      <c r="BK213" s="175"/>
      <c r="BL213" s="154" t="s">
        <v>10</v>
      </c>
      <c r="BM213" s="142"/>
      <c r="BN213" s="154">
        <v>0</v>
      </c>
      <c r="BO213" s="142"/>
      <c r="BQ213" s="103"/>
      <c r="BR213" s="140" t="s">
        <v>11</v>
      </c>
      <c r="BS213" s="166">
        <v>0</v>
      </c>
      <c r="BU213" s="113"/>
      <c r="BV213" s="175"/>
      <c r="BW213" s="175"/>
      <c r="BX213" s="154" t="s">
        <v>10</v>
      </c>
      <c r="BY213" s="142"/>
      <c r="BZ213" s="154">
        <v>0</v>
      </c>
      <c r="CA213" s="142"/>
      <c r="CC213" s="103"/>
      <c r="CD213" s="140" t="s">
        <v>11</v>
      </c>
      <c r="CE213" s="166">
        <v>0</v>
      </c>
      <c r="CG213" s="113"/>
      <c r="CH213" s="175"/>
      <c r="CI213" s="175"/>
      <c r="CJ213" s="154" t="s">
        <v>10</v>
      </c>
      <c r="CK213" s="142"/>
      <c r="CL213" s="154">
        <v>0</v>
      </c>
      <c r="CM213" s="142"/>
      <c r="CO213" s="103"/>
      <c r="CP213" s="140" t="s">
        <v>11</v>
      </c>
      <c r="CQ213" s="166">
        <v>0</v>
      </c>
      <c r="CS213" s="113"/>
      <c r="CT213" s="175"/>
      <c r="CU213" s="175"/>
      <c r="CV213" s="154" t="s">
        <v>10</v>
      </c>
      <c r="CW213" s="142"/>
      <c r="CX213" s="154">
        <v>0</v>
      </c>
      <c r="CY213" s="142"/>
      <c r="DA213" s="103"/>
      <c r="DB213" s="140" t="s">
        <v>11</v>
      </c>
      <c r="DC213" s="166">
        <v>0</v>
      </c>
      <c r="DD213" s="2"/>
      <c r="DE213" s="113"/>
      <c r="DF213" s="175"/>
      <c r="DG213" s="175"/>
      <c r="DH213" s="154" t="s">
        <v>10</v>
      </c>
      <c r="DI213" s="142"/>
      <c r="DJ213" s="154">
        <v>0</v>
      </c>
      <c r="DK213" s="142"/>
      <c r="DM213" s="103"/>
      <c r="DN213" s="140" t="s">
        <v>11</v>
      </c>
      <c r="DO213" s="166">
        <v>0</v>
      </c>
      <c r="DP213" s="2"/>
      <c r="DQ213" s="113"/>
      <c r="DR213" s="175"/>
      <c r="DS213" s="175"/>
      <c r="DT213" s="154" t="s">
        <v>10</v>
      </c>
      <c r="DU213" s="142"/>
      <c r="DV213" s="154">
        <v>0</v>
      </c>
      <c r="DW213" s="142"/>
      <c r="DY213" s="103"/>
      <c r="DZ213" s="140" t="s">
        <v>11</v>
      </c>
      <c r="EA213" s="166">
        <v>0</v>
      </c>
      <c r="EC213" s="113"/>
      <c r="ED213" s="175"/>
      <c r="EE213" s="175"/>
      <c r="EF213" s="154" t="s">
        <v>10</v>
      </c>
      <c r="EG213" s="142"/>
      <c r="EH213" s="154">
        <v>0</v>
      </c>
      <c r="EI213" s="142"/>
      <c r="EK213" s="103"/>
      <c r="EL213" s="140" t="s">
        <v>11</v>
      </c>
      <c r="EM213" s="166">
        <v>0</v>
      </c>
      <c r="EO213" s="113"/>
      <c r="EP213" s="175"/>
      <c r="EQ213" s="112"/>
      <c r="ER213" s="154" t="s">
        <v>10</v>
      </c>
      <c r="ES213" s="142"/>
      <c r="ET213" s="156">
        <f t="shared" ref="ET213:ET233" si="16">F213+R213+AD213+AP213+BB213+BN213+BZ213+CL213+CX213+DJ213+DV213+EH213</f>
        <v>0</v>
      </c>
      <c r="EU213" s="157"/>
      <c r="EW213" s="122"/>
      <c r="EX213" s="238" t="s">
        <v>11</v>
      </c>
      <c r="EY213" s="229">
        <f>K213+W213+AI213+AU213+BG213+BS213+CE213+CQ213+DC213+DO213+EA213+EM213</f>
        <v>0</v>
      </c>
    </row>
    <row r="214" spans="1:155" ht="17.100000000000001" customHeight="1" thickBot="1" x14ac:dyDescent="0.25">
      <c r="A214" s="125"/>
      <c r="B214" s="176"/>
      <c r="C214" s="176"/>
      <c r="D214" s="177" t="s">
        <v>12</v>
      </c>
      <c r="E214" s="178"/>
      <c r="F214" s="177">
        <v>0</v>
      </c>
      <c r="G214" s="178"/>
      <c r="I214" s="151"/>
      <c r="J214" s="144"/>
      <c r="K214" s="180"/>
      <c r="M214" s="125"/>
      <c r="N214" s="176"/>
      <c r="O214" s="176"/>
      <c r="P214" s="177" t="s">
        <v>12</v>
      </c>
      <c r="Q214" s="178"/>
      <c r="R214" s="177">
        <v>0</v>
      </c>
      <c r="S214" s="178"/>
      <c r="U214" s="151"/>
      <c r="V214" s="144"/>
      <c r="W214" s="180"/>
      <c r="Y214" s="125"/>
      <c r="Z214" s="176"/>
      <c r="AA214" s="176"/>
      <c r="AB214" s="177" t="s">
        <v>12</v>
      </c>
      <c r="AC214" s="178"/>
      <c r="AD214" s="177">
        <v>0</v>
      </c>
      <c r="AE214" s="178"/>
      <c r="AG214" s="151"/>
      <c r="AH214" s="144"/>
      <c r="AI214" s="180"/>
      <c r="AK214" s="125"/>
      <c r="AL214" s="176"/>
      <c r="AM214" s="176"/>
      <c r="AN214" s="177" t="s">
        <v>12</v>
      </c>
      <c r="AO214" s="178"/>
      <c r="AP214" s="177">
        <v>0</v>
      </c>
      <c r="AQ214" s="178"/>
      <c r="AS214" s="151"/>
      <c r="AT214" s="144"/>
      <c r="AU214" s="180"/>
      <c r="AW214" s="125"/>
      <c r="AX214" s="176"/>
      <c r="AY214" s="176"/>
      <c r="AZ214" s="177" t="s">
        <v>12</v>
      </c>
      <c r="BA214" s="178"/>
      <c r="BB214" s="177">
        <v>0</v>
      </c>
      <c r="BC214" s="178"/>
      <c r="BE214" s="151"/>
      <c r="BF214" s="144"/>
      <c r="BG214" s="180"/>
      <c r="BI214" s="125"/>
      <c r="BJ214" s="176"/>
      <c r="BK214" s="176"/>
      <c r="BL214" s="177" t="s">
        <v>12</v>
      </c>
      <c r="BM214" s="178"/>
      <c r="BN214" s="177">
        <v>0</v>
      </c>
      <c r="BO214" s="178"/>
      <c r="BQ214" s="151"/>
      <c r="BR214" s="144"/>
      <c r="BS214" s="180"/>
      <c r="BU214" s="125"/>
      <c r="BV214" s="176"/>
      <c r="BW214" s="176"/>
      <c r="BX214" s="177" t="s">
        <v>12</v>
      </c>
      <c r="BY214" s="178"/>
      <c r="BZ214" s="177">
        <v>0</v>
      </c>
      <c r="CA214" s="178"/>
      <c r="CC214" s="151"/>
      <c r="CD214" s="144"/>
      <c r="CE214" s="180"/>
      <c r="CG214" s="125"/>
      <c r="CH214" s="176"/>
      <c r="CI214" s="176"/>
      <c r="CJ214" s="177" t="s">
        <v>12</v>
      </c>
      <c r="CK214" s="178"/>
      <c r="CL214" s="177">
        <v>0</v>
      </c>
      <c r="CM214" s="178"/>
      <c r="CO214" s="151"/>
      <c r="CP214" s="144"/>
      <c r="CQ214" s="180"/>
      <c r="CS214" s="125"/>
      <c r="CT214" s="176"/>
      <c r="CU214" s="176"/>
      <c r="CV214" s="177" t="s">
        <v>12</v>
      </c>
      <c r="CW214" s="178"/>
      <c r="CX214" s="177">
        <v>0</v>
      </c>
      <c r="CY214" s="178"/>
      <c r="DA214" s="151"/>
      <c r="DB214" s="144"/>
      <c r="DC214" s="180"/>
      <c r="DD214" s="2"/>
      <c r="DE214" s="125"/>
      <c r="DF214" s="176"/>
      <c r="DG214" s="176"/>
      <c r="DH214" s="177" t="s">
        <v>12</v>
      </c>
      <c r="DI214" s="178"/>
      <c r="DJ214" s="177">
        <v>0</v>
      </c>
      <c r="DK214" s="178"/>
      <c r="DM214" s="151"/>
      <c r="DN214" s="144"/>
      <c r="DO214" s="180"/>
      <c r="DP214" s="2"/>
      <c r="DQ214" s="125"/>
      <c r="DR214" s="176"/>
      <c r="DS214" s="176"/>
      <c r="DT214" s="177" t="s">
        <v>12</v>
      </c>
      <c r="DU214" s="178"/>
      <c r="DV214" s="177">
        <v>0</v>
      </c>
      <c r="DW214" s="178"/>
      <c r="DY214" s="151"/>
      <c r="DZ214" s="144"/>
      <c r="EA214" s="180"/>
      <c r="EC214" s="125"/>
      <c r="ED214" s="176"/>
      <c r="EE214" s="176"/>
      <c r="EF214" s="177" t="s">
        <v>12</v>
      </c>
      <c r="EG214" s="178"/>
      <c r="EH214" s="177">
        <v>0</v>
      </c>
      <c r="EI214" s="178"/>
      <c r="EK214" s="151"/>
      <c r="EL214" s="144"/>
      <c r="EM214" s="180"/>
      <c r="EO214" s="125"/>
      <c r="EP214" s="176"/>
      <c r="EQ214" s="126"/>
      <c r="ER214" s="177" t="s">
        <v>12</v>
      </c>
      <c r="ES214" s="178"/>
      <c r="ET214" s="156">
        <f t="shared" si="16"/>
        <v>0</v>
      </c>
      <c r="EU214" s="157"/>
      <c r="EW214" s="123"/>
      <c r="EX214" s="237"/>
      <c r="EY214" s="237"/>
    </row>
    <row r="215" spans="1:155" ht="17.100000000000001" customHeight="1" thickBot="1" x14ac:dyDescent="0.25">
      <c r="A215" s="158" t="s">
        <v>13</v>
      </c>
      <c r="B215" s="111" t="s">
        <v>14</v>
      </c>
      <c r="C215" s="174"/>
      <c r="D215" s="155" t="s">
        <v>29</v>
      </c>
      <c r="E215" s="141"/>
      <c r="F215" s="155">
        <v>0</v>
      </c>
      <c r="G215" s="141"/>
      <c r="I215" s="102" t="s">
        <v>15</v>
      </c>
      <c r="J215" s="143" t="s">
        <v>7</v>
      </c>
      <c r="K215" s="165">
        <v>0</v>
      </c>
      <c r="M215" s="158" t="s">
        <v>13</v>
      </c>
      <c r="N215" s="111" t="s">
        <v>14</v>
      </c>
      <c r="O215" s="174"/>
      <c r="P215" s="155" t="s">
        <v>29</v>
      </c>
      <c r="Q215" s="141"/>
      <c r="R215" s="155">
        <v>0</v>
      </c>
      <c r="S215" s="141"/>
      <c r="U215" s="102" t="s">
        <v>15</v>
      </c>
      <c r="V215" s="143" t="s">
        <v>7</v>
      </c>
      <c r="W215" s="165">
        <v>0</v>
      </c>
      <c r="Y215" s="158" t="s">
        <v>13</v>
      </c>
      <c r="Z215" s="111" t="s">
        <v>14</v>
      </c>
      <c r="AA215" s="174"/>
      <c r="AB215" s="155" t="s">
        <v>29</v>
      </c>
      <c r="AC215" s="141"/>
      <c r="AD215" s="155">
        <v>0</v>
      </c>
      <c r="AE215" s="141"/>
      <c r="AG215" s="102" t="s">
        <v>15</v>
      </c>
      <c r="AH215" s="143" t="s">
        <v>7</v>
      </c>
      <c r="AI215" s="165">
        <v>0</v>
      </c>
      <c r="AK215" s="158" t="s">
        <v>13</v>
      </c>
      <c r="AL215" s="111" t="s">
        <v>14</v>
      </c>
      <c r="AM215" s="174"/>
      <c r="AN215" s="155" t="s">
        <v>29</v>
      </c>
      <c r="AO215" s="141"/>
      <c r="AP215" s="155">
        <v>0</v>
      </c>
      <c r="AQ215" s="141"/>
      <c r="AS215" s="102" t="s">
        <v>15</v>
      </c>
      <c r="AT215" s="143" t="s">
        <v>7</v>
      </c>
      <c r="AU215" s="165">
        <v>0</v>
      </c>
      <c r="AW215" s="158" t="s">
        <v>13</v>
      </c>
      <c r="AX215" s="111" t="s">
        <v>14</v>
      </c>
      <c r="AY215" s="174"/>
      <c r="AZ215" s="155" t="s">
        <v>29</v>
      </c>
      <c r="BA215" s="141"/>
      <c r="BB215" s="155">
        <v>0</v>
      </c>
      <c r="BC215" s="141"/>
      <c r="BE215" s="102" t="s">
        <v>15</v>
      </c>
      <c r="BF215" s="143" t="s">
        <v>7</v>
      </c>
      <c r="BG215" s="165">
        <v>0</v>
      </c>
      <c r="BI215" s="158" t="s">
        <v>13</v>
      </c>
      <c r="BJ215" s="111" t="s">
        <v>14</v>
      </c>
      <c r="BK215" s="174"/>
      <c r="BL215" s="155" t="s">
        <v>29</v>
      </c>
      <c r="BM215" s="141"/>
      <c r="BN215" s="155">
        <v>0</v>
      </c>
      <c r="BO215" s="141"/>
      <c r="BQ215" s="102" t="s">
        <v>15</v>
      </c>
      <c r="BR215" s="143" t="s">
        <v>7</v>
      </c>
      <c r="BS215" s="165">
        <v>0</v>
      </c>
      <c r="BU215" s="158" t="s">
        <v>13</v>
      </c>
      <c r="BV215" s="111" t="s">
        <v>14</v>
      </c>
      <c r="BW215" s="174"/>
      <c r="BX215" s="155" t="s">
        <v>29</v>
      </c>
      <c r="BY215" s="141"/>
      <c r="BZ215" s="155">
        <v>0</v>
      </c>
      <c r="CA215" s="141"/>
      <c r="CC215" s="102" t="s">
        <v>15</v>
      </c>
      <c r="CD215" s="143" t="s">
        <v>7</v>
      </c>
      <c r="CE215" s="165">
        <v>0</v>
      </c>
      <c r="CG215" s="158" t="s">
        <v>13</v>
      </c>
      <c r="CH215" s="111" t="s">
        <v>14</v>
      </c>
      <c r="CI215" s="174"/>
      <c r="CJ215" s="155" t="s">
        <v>29</v>
      </c>
      <c r="CK215" s="141"/>
      <c r="CL215" s="155">
        <v>0</v>
      </c>
      <c r="CM215" s="141"/>
      <c r="CO215" s="102" t="s">
        <v>15</v>
      </c>
      <c r="CP215" s="143" t="s">
        <v>7</v>
      </c>
      <c r="CQ215" s="165">
        <v>0</v>
      </c>
      <c r="CS215" s="158" t="s">
        <v>13</v>
      </c>
      <c r="CT215" s="111" t="s">
        <v>14</v>
      </c>
      <c r="CU215" s="174"/>
      <c r="CV215" s="155" t="s">
        <v>29</v>
      </c>
      <c r="CW215" s="141"/>
      <c r="CX215" s="155">
        <v>0</v>
      </c>
      <c r="CY215" s="141"/>
      <c r="DA215" s="102" t="s">
        <v>15</v>
      </c>
      <c r="DB215" s="143" t="s">
        <v>7</v>
      </c>
      <c r="DC215" s="165">
        <v>0</v>
      </c>
      <c r="DD215" s="2"/>
      <c r="DE215" s="158" t="s">
        <v>13</v>
      </c>
      <c r="DF215" s="111" t="s">
        <v>14</v>
      </c>
      <c r="DG215" s="174"/>
      <c r="DH215" s="155" t="s">
        <v>29</v>
      </c>
      <c r="DI215" s="141"/>
      <c r="DJ215" s="155">
        <v>0</v>
      </c>
      <c r="DK215" s="141"/>
      <c r="DM215" s="102" t="s">
        <v>15</v>
      </c>
      <c r="DN215" s="143" t="s">
        <v>7</v>
      </c>
      <c r="DO215" s="165">
        <v>0</v>
      </c>
      <c r="DP215" s="2"/>
      <c r="DQ215" s="158" t="s">
        <v>13</v>
      </c>
      <c r="DR215" s="111" t="s">
        <v>14</v>
      </c>
      <c r="DS215" s="174"/>
      <c r="DT215" s="155" t="s">
        <v>29</v>
      </c>
      <c r="DU215" s="141"/>
      <c r="DV215" s="155">
        <v>0</v>
      </c>
      <c r="DW215" s="141"/>
      <c r="DY215" s="102" t="s">
        <v>15</v>
      </c>
      <c r="DZ215" s="143" t="s">
        <v>7</v>
      </c>
      <c r="EA215" s="165">
        <v>0</v>
      </c>
      <c r="EC215" s="158" t="s">
        <v>13</v>
      </c>
      <c r="ED215" s="111" t="s">
        <v>14</v>
      </c>
      <c r="EE215" s="174"/>
      <c r="EF215" s="155" t="s">
        <v>29</v>
      </c>
      <c r="EG215" s="141"/>
      <c r="EH215" s="155">
        <v>0</v>
      </c>
      <c r="EI215" s="141"/>
      <c r="EK215" s="102" t="s">
        <v>15</v>
      </c>
      <c r="EL215" s="143" t="s">
        <v>7</v>
      </c>
      <c r="EM215" s="165">
        <v>0</v>
      </c>
      <c r="EO215" s="232" t="s">
        <v>13</v>
      </c>
      <c r="EP215" s="111" t="s">
        <v>14</v>
      </c>
      <c r="EQ215" s="124"/>
      <c r="ER215" s="155" t="s">
        <v>29</v>
      </c>
      <c r="ES215" s="141"/>
      <c r="ET215" s="156">
        <f t="shared" si="16"/>
        <v>0</v>
      </c>
      <c r="EU215" s="157"/>
      <c r="EW215" s="121" t="s">
        <v>15</v>
      </c>
      <c r="EX215" s="229" t="s">
        <v>7</v>
      </c>
      <c r="EY215" s="229">
        <f>K215+W215+AI215+AU215+BG215+BS215+CE215+CQ215+DC215+DO215+EA215+EM215</f>
        <v>0</v>
      </c>
    </row>
    <row r="216" spans="1:155" ht="17.100000000000001" customHeight="1" thickBot="1" x14ac:dyDescent="0.25">
      <c r="A216" s="159"/>
      <c r="B216" s="113"/>
      <c r="C216" s="175"/>
      <c r="D216" s="154" t="s">
        <v>16</v>
      </c>
      <c r="E216" s="142"/>
      <c r="F216" s="154">
        <v>0</v>
      </c>
      <c r="G216" s="142"/>
      <c r="I216" s="103"/>
      <c r="J216" s="140"/>
      <c r="K216" s="166"/>
      <c r="M216" s="159"/>
      <c r="N216" s="113"/>
      <c r="O216" s="175"/>
      <c r="P216" s="154" t="s">
        <v>16</v>
      </c>
      <c r="Q216" s="142"/>
      <c r="R216" s="154">
        <v>0</v>
      </c>
      <c r="S216" s="142"/>
      <c r="U216" s="103"/>
      <c r="V216" s="140"/>
      <c r="W216" s="166"/>
      <c r="Y216" s="159"/>
      <c r="Z216" s="113"/>
      <c r="AA216" s="175"/>
      <c r="AB216" s="154" t="s">
        <v>16</v>
      </c>
      <c r="AC216" s="142"/>
      <c r="AD216" s="154">
        <v>0</v>
      </c>
      <c r="AE216" s="142"/>
      <c r="AG216" s="103"/>
      <c r="AH216" s="140"/>
      <c r="AI216" s="166"/>
      <c r="AK216" s="159"/>
      <c r="AL216" s="113"/>
      <c r="AM216" s="175"/>
      <c r="AN216" s="154" t="s">
        <v>16</v>
      </c>
      <c r="AO216" s="142"/>
      <c r="AP216" s="154">
        <v>0</v>
      </c>
      <c r="AQ216" s="142"/>
      <c r="AS216" s="103"/>
      <c r="AT216" s="140"/>
      <c r="AU216" s="166"/>
      <c r="AW216" s="159"/>
      <c r="AX216" s="113"/>
      <c r="AY216" s="175"/>
      <c r="AZ216" s="154" t="s">
        <v>16</v>
      </c>
      <c r="BA216" s="142"/>
      <c r="BB216" s="154">
        <v>0</v>
      </c>
      <c r="BC216" s="142"/>
      <c r="BE216" s="103"/>
      <c r="BF216" s="140"/>
      <c r="BG216" s="166"/>
      <c r="BI216" s="159"/>
      <c r="BJ216" s="113"/>
      <c r="BK216" s="175"/>
      <c r="BL216" s="154" t="s">
        <v>16</v>
      </c>
      <c r="BM216" s="142"/>
      <c r="BN216" s="154">
        <v>0</v>
      </c>
      <c r="BO216" s="142"/>
      <c r="BQ216" s="103"/>
      <c r="BR216" s="140"/>
      <c r="BS216" s="166"/>
      <c r="BU216" s="159"/>
      <c r="BV216" s="113"/>
      <c r="BW216" s="175"/>
      <c r="BX216" s="154" t="s">
        <v>16</v>
      </c>
      <c r="BY216" s="142"/>
      <c r="BZ216" s="154">
        <v>0</v>
      </c>
      <c r="CA216" s="142"/>
      <c r="CC216" s="103"/>
      <c r="CD216" s="140"/>
      <c r="CE216" s="166"/>
      <c r="CG216" s="159"/>
      <c r="CH216" s="113"/>
      <c r="CI216" s="175"/>
      <c r="CJ216" s="154" t="s">
        <v>16</v>
      </c>
      <c r="CK216" s="142"/>
      <c r="CL216" s="154">
        <v>0</v>
      </c>
      <c r="CM216" s="142"/>
      <c r="CO216" s="103"/>
      <c r="CP216" s="140"/>
      <c r="CQ216" s="166"/>
      <c r="CS216" s="159"/>
      <c r="CT216" s="113"/>
      <c r="CU216" s="175"/>
      <c r="CV216" s="154" t="s">
        <v>16</v>
      </c>
      <c r="CW216" s="142"/>
      <c r="CX216" s="154">
        <v>0</v>
      </c>
      <c r="CY216" s="142"/>
      <c r="DA216" s="103"/>
      <c r="DB216" s="140"/>
      <c r="DC216" s="166"/>
      <c r="DD216" s="2"/>
      <c r="DE216" s="159"/>
      <c r="DF216" s="113"/>
      <c r="DG216" s="175"/>
      <c r="DH216" s="154" t="s">
        <v>16</v>
      </c>
      <c r="DI216" s="142"/>
      <c r="DJ216" s="154">
        <v>0</v>
      </c>
      <c r="DK216" s="142"/>
      <c r="DM216" s="103"/>
      <c r="DN216" s="140"/>
      <c r="DO216" s="166"/>
      <c r="DP216" s="2"/>
      <c r="DQ216" s="159"/>
      <c r="DR216" s="113"/>
      <c r="DS216" s="175"/>
      <c r="DT216" s="154" t="s">
        <v>16</v>
      </c>
      <c r="DU216" s="142"/>
      <c r="DV216" s="154">
        <v>0</v>
      </c>
      <c r="DW216" s="142"/>
      <c r="DY216" s="103"/>
      <c r="DZ216" s="140"/>
      <c r="EA216" s="166"/>
      <c r="EC216" s="159"/>
      <c r="ED216" s="113"/>
      <c r="EE216" s="175"/>
      <c r="EF216" s="154" t="s">
        <v>16</v>
      </c>
      <c r="EG216" s="142"/>
      <c r="EH216" s="154">
        <v>0</v>
      </c>
      <c r="EI216" s="142"/>
      <c r="EK216" s="103"/>
      <c r="EL216" s="140"/>
      <c r="EM216" s="166"/>
      <c r="EO216" s="233"/>
      <c r="EP216" s="113"/>
      <c r="EQ216" s="112"/>
      <c r="ER216" s="154" t="s">
        <v>16</v>
      </c>
      <c r="ES216" s="142"/>
      <c r="ET216" s="156">
        <f t="shared" si="16"/>
        <v>0</v>
      </c>
      <c r="EU216" s="157"/>
      <c r="EW216" s="122"/>
      <c r="EX216" s="139"/>
      <c r="EY216" s="237"/>
    </row>
    <row r="217" spans="1:155" ht="17.100000000000001" customHeight="1" thickBot="1" x14ac:dyDescent="0.25">
      <c r="A217" s="159"/>
      <c r="B217" s="125"/>
      <c r="C217" s="176"/>
      <c r="D217" s="177" t="s">
        <v>17</v>
      </c>
      <c r="E217" s="178"/>
      <c r="F217" s="177">
        <v>0</v>
      </c>
      <c r="G217" s="178"/>
      <c r="I217" s="103"/>
      <c r="J217" s="140" t="s">
        <v>11</v>
      </c>
      <c r="K217" s="166">
        <v>0</v>
      </c>
      <c r="M217" s="159"/>
      <c r="N217" s="125"/>
      <c r="O217" s="176"/>
      <c r="P217" s="177" t="s">
        <v>17</v>
      </c>
      <c r="Q217" s="178"/>
      <c r="R217" s="177">
        <v>0</v>
      </c>
      <c r="S217" s="178"/>
      <c r="U217" s="103"/>
      <c r="V217" s="140" t="s">
        <v>11</v>
      </c>
      <c r="W217" s="166">
        <v>0</v>
      </c>
      <c r="Y217" s="159"/>
      <c r="Z217" s="125"/>
      <c r="AA217" s="176"/>
      <c r="AB217" s="177" t="s">
        <v>17</v>
      </c>
      <c r="AC217" s="178"/>
      <c r="AD217" s="177">
        <v>0</v>
      </c>
      <c r="AE217" s="178"/>
      <c r="AG217" s="103"/>
      <c r="AH217" s="140" t="s">
        <v>11</v>
      </c>
      <c r="AI217" s="166">
        <v>0</v>
      </c>
      <c r="AK217" s="159"/>
      <c r="AL217" s="125"/>
      <c r="AM217" s="176"/>
      <c r="AN217" s="177" t="s">
        <v>17</v>
      </c>
      <c r="AO217" s="178"/>
      <c r="AP217" s="177">
        <v>0</v>
      </c>
      <c r="AQ217" s="178"/>
      <c r="AS217" s="103"/>
      <c r="AT217" s="140" t="s">
        <v>11</v>
      </c>
      <c r="AU217" s="166">
        <v>0</v>
      </c>
      <c r="AW217" s="159"/>
      <c r="AX217" s="125"/>
      <c r="AY217" s="176"/>
      <c r="AZ217" s="177" t="s">
        <v>17</v>
      </c>
      <c r="BA217" s="178"/>
      <c r="BB217" s="177">
        <v>0</v>
      </c>
      <c r="BC217" s="178"/>
      <c r="BE217" s="103"/>
      <c r="BF217" s="140" t="s">
        <v>11</v>
      </c>
      <c r="BG217" s="166">
        <v>0</v>
      </c>
      <c r="BI217" s="159"/>
      <c r="BJ217" s="125"/>
      <c r="BK217" s="176"/>
      <c r="BL217" s="177" t="s">
        <v>17</v>
      </c>
      <c r="BM217" s="178"/>
      <c r="BN217" s="177">
        <v>0</v>
      </c>
      <c r="BO217" s="178"/>
      <c r="BQ217" s="103"/>
      <c r="BR217" s="140" t="s">
        <v>11</v>
      </c>
      <c r="BS217" s="166">
        <v>0</v>
      </c>
      <c r="BU217" s="159"/>
      <c r="BV217" s="125"/>
      <c r="BW217" s="176"/>
      <c r="BX217" s="177" t="s">
        <v>17</v>
      </c>
      <c r="BY217" s="178"/>
      <c r="BZ217" s="177">
        <v>0</v>
      </c>
      <c r="CA217" s="178"/>
      <c r="CC217" s="103"/>
      <c r="CD217" s="140" t="s">
        <v>11</v>
      </c>
      <c r="CE217" s="166">
        <v>0</v>
      </c>
      <c r="CG217" s="159"/>
      <c r="CH217" s="125"/>
      <c r="CI217" s="176"/>
      <c r="CJ217" s="177" t="s">
        <v>17</v>
      </c>
      <c r="CK217" s="178"/>
      <c r="CL217" s="177">
        <v>0</v>
      </c>
      <c r="CM217" s="178"/>
      <c r="CO217" s="103"/>
      <c r="CP217" s="140" t="s">
        <v>11</v>
      </c>
      <c r="CQ217" s="166">
        <v>0</v>
      </c>
      <c r="CS217" s="159"/>
      <c r="CT217" s="125"/>
      <c r="CU217" s="176"/>
      <c r="CV217" s="177" t="s">
        <v>17</v>
      </c>
      <c r="CW217" s="178"/>
      <c r="CX217" s="177">
        <v>0</v>
      </c>
      <c r="CY217" s="178"/>
      <c r="DA217" s="103"/>
      <c r="DB217" s="140" t="s">
        <v>11</v>
      </c>
      <c r="DC217" s="166">
        <v>0</v>
      </c>
      <c r="DD217" s="2"/>
      <c r="DE217" s="159"/>
      <c r="DF217" s="125"/>
      <c r="DG217" s="176"/>
      <c r="DH217" s="177" t="s">
        <v>17</v>
      </c>
      <c r="DI217" s="178"/>
      <c r="DJ217" s="177">
        <v>0</v>
      </c>
      <c r="DK217" s="178"/>
      <c r="DM217" s="103"/>
      <c r="DN217" s="140" t="s">
        <v>11</v>
      </c>
      <c r="DO217" s="166">
        <v>0</v>
      </c>
      <c r="DP217" s="2"/>
      <c r="DQ217" s="159"/>
      <c r="DR217" s="125"/>
      <c r="DS217" s="176"/>
      <c r="DT217" s="177" t="s">
        <v>17</v>
      </c>
      <c r="DU217" s="178"/>
      <c r="DV217" s="177">
        <v>0</v>
      </c>
      <c r="DW217" s="178"/>
      <c r="DY217" s="103"/>
      <c r="DZ217" s="140" t="s">
        <v>11</v>
      </c>
      <c r="EA217" s="166">
        <v>0</v>
      </c>
      <c r="EC217" s="159"/>
      <c r="ED217" s="125"/>
      <c r="EE217" s="176"/>
      <c r="EF217" s="177" t="s">
        <v>17</v>
      </c>
      <c r="EG217" s="178"/>
      <c r="EH217" s="177">
        <v>0</v>
      </c>
      <c r="EI217" s="178"/>
      <c r="EK217" s="103"/>
      <c r="EL217" s="140" t="s">
        <v>11</v>
      </c>
      <c r="EM217" s="166">
        <v>0</v>
      </c>
      <c r="EO217" s="233"/>
      <c r="EP217" s="125"/>
      <c r="EQ217" s="126"/>
      <c r="ER217" s="177" t="s">
        <v>17</v>
      </c>
      <c r="ES217" s="178"/>
      <c r="ET217" s="156">
        <f t="shared" si="16"/>
        <v>0</v>
      </c>
      <c r="EU217" s="157"/>
      <c r="EW217" s="122"/>
      <c r="EX217" s="238" t="s">
        <v>11</v>
      </c>
      <c r="EY217" s="229">
        <f>K217+W217+AI217+AU217+BG217+BS217+CE217+CQ217+DC217+DO217+EA217+EM217</f>
        <v>0</v>
      </c>
    </row>
    <row r="218" spans="1:155" ht="17.100000000000001" customHeight="1" thickBot="1" x14ac:dyDescent="0.25">
      <c r="A218" s="159"/>
      <c r="B218" s="111" t="s">
        <v>18</v>
      </c>
      <c r="C218" s="174"/>
      <c r="D218" s="155" t="s">
        <v>19</v>
      </c>
      <c r="E218" s="141"/>
      <c r="F218" s="155">
        <v>0</v>
      </c>
      <c r="G218" s="141"/>
      <c r="I218" s="103"/>
      <c r="J218" s="144"/>
      <c r="K218" s="180"/>
      <c r="M218" s="159"/>
      <c r="N218" s="111" t="s">
        <v>18</v>
      </c>
      <c r="O218" s="174"/>
      <c r="P218" s="155" t="s">
        <v>19</v>
      </c>
      <c r="Q218" s="141"/>
      <c r="R218" s="155">
        <v>0</v>
      </c>
      <c r="S218" s="141"/>
      <c r="U218" s="103"/>
      <c r="V218" s="144"/>
      <c r="W218" s="180"/>
      <c r="Y218" s="159"/>
      <c r="Z218" s="111" t="s">
        <v>18</v>
      </c>
      <c r="AA218" s="174"/>
      <c r="AB218" s="155" t="s">
        <v>19</v>
      </c>
      <c r="AC218" s="141"/>
      <c r="AD218" s="155">
        <v>0</v>
      </c>
      <c r="AE218" s="141"/>
      <c r="AG218" s="103"/>
      <c r="AH218" s="144"/>
      <c r="AI218" s="180"/>
      <c r="AK218" s="159"/>
      <c r="AL218" s="111" t="s">
        <v>18</v>
      </c>
      <c r="AM218" s="174"/>
      <c r="AN218" s="155" t="s">
        <v>19</v>
      </c>
      <c r="AO218" s="141"/>
      <c r="AP218" s="155">
        <v>0</v>
      </c>
      <c r="AQ218" s="141"/>
      <c r="AS218" s="103"/>
      <c r="AT218" s="144"/>
      <c r="AU218" s="180"/>
      <c r="AW218" s="159"/>
      <c r="AX218" s="111" t="s">
        <v>18</v>
      </c>
      <c r="AY218" s="174"/>
      <c r="AZ218" s="155" t="s">
        <v>19</v>
      </c>
      <c r="BA218" s="141"/>
      <c r="BB218" s="155">
        <v>0</v>
      </c>
      <c r="BC218" s="141"/>
      <c r="BE218" s="103"/>
      <c r="BF218" s="144"/>
      <c r="BG218" s="180"/>
      <c r="BI218" s="159"/>
      <c r="BJ218" s="111" t="s">
        <v>18</v>
      </c>
      <c r="BK218" s="174"/>
      <c r="BL218" s="155" t="s">
        <v>19</v>
      </c>
      <c r="BM218" s="141"/>
      <c r="BN218" s="155">
        <v>0</v>
      </c>
      <c r="BO218" s="141"/>
      <c r="BQ218" s="103"/>
      <c r="BR218" s="144"/>
      <c r="BS218" s="180"/>
      <c r="BU218" s="159"/>
      <c r="BV218" s="111" t="s">
        <v>18</v>
      </c>
      <c r="BW218" s="174"/>
      <c r="BX218" s="155" t="s">
        <v>19</v>
      </c>
      <c r="BY218" s="141"/>
      <c r="BZ218" s="155">
        <v>0</v>
      </c>
      <c r="CA218" s="141"/>
      <c r="CC218" s="103"/>
      <c r="CD218" s="144"/>
      <c r="CE218" s="180"/>
      <c r="CG218" s="159"/>
      <c r="CH218" s="111" t="s">
        <v>18</v>
      </c>
      <c r="CI218" s="174"/>
      <c r="CJ218" s="155" t="s">
        <v>19</v>
      </c>
      <c r="CK218" s="141"/>
      <c r="CL218" s="155">
        <v>0</v>
      </c>
      <c r="CM218" s="141"/>
      <c r="CO218" s="103"/>
      <c r="CP218" s="144"/>
      <c r="CQ218" s="180"/>
      <c r="CS218" s="159"/>
      <c r="CT218" s="111" t="s">
        <v>18</v>
      </c>
      <c r="CU218" s="174"/>
      <c r="CV218" s="155" t="s">
        <v>19</v>
      </c>
      <c r="CW218" s="141"/>
      <c r="CX218" s="155">
        <v>0</v>
      </c>
      <c r="CY218" s="141"/>
      <c r="DA218" s="103"/>
      <c r="DB218" s="144"/>
      <c r="DC218" s="180"/>
      <c r="DD218" s="2"/>
      <c r="DE218" s="159"/>
      <c r="DF218" s="111" t="s">
        <v>18</v>
      </c>
      <c r="DG218" s="174"/>
      <c r="DH218" s="155" t="s">
        <v>19</v>
      </c>
      <c r="DI218" s="141"/>
      <c r="DJ218" s="155">
        <v>0</v>
      </c>
      <c r="DK218" s="141"/>
      <c r="DM218" s="103"/>
      <c r="DN218" s="144"/>
      <c r="DO218" s="180"/>
      <c r="DP218" s="2"/>
      <c r="DQ218" s="159"/>
      <c r="DR218" s="111" t="s">
        <v>18</v>
      </c>
      <c r="DS218" s="174"/>
      <c r="DT218" s="155" t="s">
        <v>19</v>
      </c>
      <c r="DU218" s="141"/>
      <c r="DV218" s="155">
        <v>0</v>
      </c>
      <c r="DW218" s="141"/>
      <c r="DY218" s="103"/>
      <c r="DZ218" s="144"/>
      <c r="EA218" s="180"/>
      <c r="EC218" s="159"/>
      <c r="ED218" s="111" t="s">
        <v>18</v>
      </c>
      <c r="EE218" s="174"/>
      <c r="EF218" s="155" t="s">
        <v>19</v>
      </c>
      <c r="EG218" s="141"/>
      <c r="EH218" s="155">
        <v>0</v>
      </c>
      <c r="EI218" s="141"/>
      <c r="EK218" s="103"/>
      <c r="EL218" s="144"/>
      <c r="EM218" s="180"/>
      <c r="EO218" s="233"/>
      <c r="EP218" s="111" t="s">
        <v>18</v>
      </c>
      <c r="EQ218" s="124"/>
      <c r="ER218" s="155" t="s">
        <v>19</v>
      </c>
      <c r="ES218" s="141"/>
      <c r="ET218" s="156">
        <f t="shared" si="16"/>
        <v>0</v>
      </c>
      <c r="EU218" s="157"/>
      <c r="EW218" s="123"/>
      <c r="EX218" s="237"/>
      <c r="EY218" s="139"/>
    </row>
    <row r="219" spans="1:155" ht="17.100000000000001" customHeight="1" thickBot="1" x14ac:dyDescent="0.25">
      <c r="A219" s="159"/>
      <c r="B219" s="125"/>
      <c r="C219" s="176"/>
      <c r="D219" s="177" t="s">
        <v>20</v>
      </c>
      <c r="E219" s="178"/>
      <c r="F219" s="177">
        <v>0</v>
      </c>
      <c r="G219" s="178"/>
      <c r="I219" s="167" t="s">
        <v>21</v>
      </c>
      <c r="J219" s="168"/>
      <c r="K219" s="172">
        <f>SUM(K211:K218)</f>
        <v>0</v>
      </c>
      <c r="M219" s="159"/>
      <c r="N219" s="125"/>
      <c r="O219" s="176"/>
      <c r="P219" s="177" t="s">
        <v>20</v>
      </c>
      <c r="Q219" s="178"/>
      <c r="R219" s="177">
        <v>0</v>
      </c>
      <c r="S219" s="178"/>
      <c r="U219" s="167" t="s">
        <v>21</v>
      </c>
      <c r="V219" s="168"/>
      <c r="W219" s="172">
        <f>SUM(W211:W218)</f>
        <v>0</v>
      </c>
      <c r="Y219" s="159"/>
      <c r="Z219" s="125"/>
      <c r="AA219" s="176"/>
      <c r="AB219" s="177" t="s">
        <v>20</v>
      </c>
      <c r="AC219" s="178"/>
      <c r="AD219" s="177">
        <v>0</v>
      </c>
      <c r="AE219" s="178"/>
      <c r="AG219" s="167" t="s">
        <v>21</v>
      </c>
      <c r="AH219" s="168"/>
      <c r="AI219" s="172">
        <f>SUM(AI211:AI218)</f>
        <v>0</v>
      </c>
      <c r="AK219" s="159"/>
      <c r="AL219" s="125"/>
      <c r="AM219" s="176"/>
      <c r="AN219" s="177" t="s">
        <v>20</v>
      </c>
      <c r="AO219" s="178"/>
      <c r="AP219" s="177">
        <v>0</v>
      </c>
      <c r="AQ219" s="178"/>
      <c r="AS219" s="167" t="s">
        <v>21</v>
      </c>
      <c r="AT219" s="168"/>
      <c r="AU219" s="172">
        <f>SUM(AU211:AU218)</f>
        <v>0</v>
      </c>
      <c r="AW219" s="159"/>
      <c r="AX219" s="125"/>
      <c r="AY219" s="176"/>
      <c r="AZ219" s="177" t="s">
        <v>20</v>
      </c>
      <c r="BA219" s="178"/>
      <c r="BB219" s="177">
        <v>0</v>
      </c>
      <c r="BC219" s="178"/>
      <c r="BE219" s="167" t="s">
        <v>21</v>
      </c>
      <c r="BF219" s="168"/>
      <c r="BG219" s="172">
        <f>SUM(BG211:BG218)</f>
        <v>0</v>
      </c>
      <c r="BI219" s="159"/>
      <c r="BJ219" s="125"/>
      <c r="BK219" s="176"/>
      <c r="BL219" s="177" t="s">
        <v>20</v>
      </c>
      <c r="BM219" s="178"/>
      <c r="BN219" s="177">
        <v>0</v>
      </c>
      <c r="BO219" s="178"/>
      <c r="BQ219" s="167" t="s">
        <v>21</v>
      </c>
      <c r="BR219" s="168"/>
      <c r="BS219" s="172">
        <f>SUM(BS211:BS218)</f>
        <v>0</v>
      </c>
      <c r="BU219" s="159"/>
      <c r="BV219" s="125"/>
      <c r="BW219" s="176"/>
      <c r="BX219" s="177" t="s">
        <v>20</v>
      </c>
      <c r="BY219" s="178"/>
      <c r="BZ219" s="177">
        <v>0</v>
      </c>
      <c r="CA219" s="178"/>
      <c r="CC219" s="167" t="s">
        <v>21</v>
      </c>
      <c r="CD219" s="168"/>
      <c r="CE219" s="172">
        <f>SUM(CE211:CE218)</f>
        <v>0</v>
      </c>
      <c r="CG219" s="159"/>
      <c r="CH219" s="125"/>
      <c r="CI219" s="176"/>
      <c r="CJ219" s="177" t="s">
        <v>20</v>
      </c>
      <c r="CK219" s="178"/>
      <c r="CL219" s="177">
        <v>0</v>
      </c>
      <c r="CM219" s="178"/>
      <c r="CO219" s="167" t="s">
        <v>21</v>
      </c>
      <c r="CP219" s="168"/>
      <c r="CQ219" s="172">
        <f>SUM(CQ211:CQ218)</f>
        <v>0</v>
      </c>
      <c r="CS219" s="159"/>
      <c r="CT219" s="125"/>
      <c r="CU219" s="176"/>
      <c r="CV219" s="177" t="s">
        <v>20</v>
      </c>
      <c r="CW219" s="178"/>
      <c r="CX219" s="177">
        <v>0</v>
      </c>
      <c r="CY219" s="178"/>
      <c r="DA219" s="167" t="s">
        <v>21</v>
      </c>
      <c r="DB219" s="168"/>
      <c r="DC219" s="172">
        <f>SUM(DC211:DC218)</f>
        <v>0</v>
      </c>
      <c r="DD219" s="2"/>
      <c r="DE219" s="159"/>
      <c r="DF219" s="125"/>
      <c r="DG219" s="176"/>
      <c r="DH219" s="177" t="s">
        <v>20</v>
      </c>
      <c r="DI219" s="178"/>
      <c r="DJ219" s="177">
        <v>0</v>
      </c>
      <c r="DK219" s="178"/>
      <c r="DM219" s="167" t="s">
        <v>21</v>
      </c>
      <c r="DN219" s="168"/>
      <c r="DO219" s="172">
        <f>SUM(DO211:DO218)</f>
        <v>0</v>
      </c>
      <c r="DP219" s="2"/>
      <c r="DQ219" s="159"/>
      <c r="DR219" s="125"/>
      <c r="DS219" s="176"/>
      <c r="DT219" s="177" t="s">
        <v>20</v>
      </c>
      <c r="DU219" s="178"/>
      <c r="DV219" s="177">
        <v>0</v>
      </c>
      <c r="DW219" s="178"/>
      <c r="DY219" s="167" t="s">
        <v>21</v>
      </c>
      <c r="DZ219" s="168"/>
      <c r="EA219" s="172">
        <f>SUM(EA211:EA218)</f>
        <v>0</v>
      </c>
      <c r="EC219" s="159"/>
      <c r="ED219" s="125"/>
      <c r="EE219" s="176"/>
      <c r="EF219" s="177" t="s">
        <v>20</v>
      </c>
      <c r="EG219" s="178"/>
      <c r="EH219" s="177">
        <v>0</v>
      </c>
      <c r="EI219" s="178"/>
      <c r="EK219" s="167" t="s">
        <v>21</v>
      </c>
      <c r="EL219" s="168"/>
      <c r="EM219" s="172">
        <f>SUM(EM211:EM218)</f>
        <v>0</v>
      </c>
      <c r="EO219" s="233"/>
      <c r="EP219" s="125"/>
      <c r="EQ219" s="126"/>
      <c r="ER219" s="177" t="s">
        <v>20</v>
      </c>
      <c r="ES219" s="178"/>
      <c r="ET219" s="156">
        <f t="shared" si="16"/>
        <v>0</v>
      </c>
      <c r="EU219" s="157"/>
      <c r="EW219" s="167" t="s">
        <v>21</v>
      </c>
      <c r="EX219" s="239"/>
      <c r="EY219" s="240">
        <f>SUM(EY211:EY218)</f>
        <v>0</v>
      </c>
    </row>
    <row r="220" spans="1:155" ht="17.100000000000001" customHeight="1" thickBot="1" x14ac:dyDescent="0.25">
      <c r="A220" s="159"/>
      <c r="B220" s="111" t="s">
        <v>22</v>
      </c>
      <c r="C220" s="174"/>
      <c r="D220" s="155" t="s">
        <v>23</v>
      </c>
      <c r="E220" s="141"/>
      <c r="F220" s="155">
        <v>0</v>
      </c>
      <c r="G220" s="141"/>
      <c r="I220" s="169"/>
      <c r="J220" s="168"/>
      <c r="K220" s="172"/>
      <c r="M220" s="159"/>
      <c r="N220" s="111" t="s">
        <v>22</v>
      </c>
      <c r="O220" s="174"/>
      <c r="P220" s="155" t="s">
        <v>23</v>
      </c>
      <c r="Q220" s="141"/>
      <c r="R220" s="155">
        <v>0</v>
      </c>
      <c r="S220" s="141"/>
      <c r="U220" s="169"/>
      <c r="V220" s="168"/>
      <c r="W220" s="172"/>
      <c r="Y220" s="159"/>
      <c r="Z220" s="111" t="s">
        <v>22</v>
      </c>
      <c r="AA220" s="174"/>
      <c r="AB220" s="155" t="s">
        <v>23</v>
      </c>
      <c r="AC220" s="141"/>
      <c r="AD220" s="155">
        <v>0</v>
      </c>
      <c r="AE220" s="141"/>
      <c r="AG220" s="169"/>
      <c r="AH220" s="168"/>
      <c r="AI220" s="172"/>
      <c r="AK220" s="159"/>
      <c r="AL220" s="111" t="s">
        <v>22</v>
      </c>
      <c r="AM220" s="174"/>
      <c r="AN220" s="155" t="s">
        <v>23</v>
      </c>
      <c r="AO220" s="141"/>
      <c r="AP220" s="155">
        <v>0</v>
      </c>
      <c r="AQ220" s="141"/>
      <c r="AS220" s="169"/>
      <c r="AT220" s="168"/>
      <c r="AU220" s="172"/>
      <c r="AW220" s="159"/>
      <c r="AX220" s="111" t="s">
        <v>22</v>
      </c>
      <c r="AY220" s="174"/>
      <c r="AZ220" s="155" t="s">
        <v>23</v>
      </c>
      <c r="BA220" s="141"/>
      <c r="BB220" s="155">
        <v>0</v>
      </c>
      <c r="BC220" s="141"/>
      <c r="BE220" s="169"/>
      <c r="BF220" s="168"/>
      <c r="BG220" s="172"/>
      <c r="BI220" s="159"/>
      <c r="BJ220" s="111" t="s">
        <v>22</v>
      </c>
      <c r="BK220" s="174"/>
      <c r="BL220" s="155" t="s">
        <v>23</v>
      </c>
      <c r="BM220" s="141"/>
      <c r="BN220" s="155">
        <v>0</v>
      </c>
      <c r="BO220" s="141"/>
      <c r="BQ220" s="169"/>
      <c r="BR220" s="168"/>
      <c r="BS220" s="172"/>
      <c r="BU220" s="159"/>
      <c r="BV220" s="111" t="s">
        <v>22</v>
      </c>
      <c r="BW220" s="174"/>
      <c r="BX220" s="155" t="s">
        <v>23</v>
      </c>
      <c r="BY220" s="141"/>
      <c r="BZ220" s="155">
        <v>0</v>
      </c>
      <c r="CA220" s="141"/>
      <c r="CC220" s="169"/>
      <c r="CD220" s="168"/>
      <c r="CE220" s="172"/>
      <c r="CG220" s="159"/>
      <c r="CH220" s="111" t="s">
        <v>22</v>
      </c>
      <c r="CI220" s="174"/>
      <c r="CJ220" s="155" t="s">
        <v>23</v>
      </c>
      <c r="CK220" s="141"/>
      <c r="CL220" s="155">
        <v>0</v>
      </c>
      <c r="CM220" s="141"/>
      <c r="CO220" s="169"/>
      <c r="CP220" s="168"/>
      <c r="CQ220" s="172"/>
      <c r="CS220" s="159"/>
      <c r="CT220" s="111" t="s">
        <v>22</v>
      </c>
      <c r="CU220" s="174"/>
      <c r="CV220" s="155" t="s">
        <v>23</v>
      </c>
      <c r="CW220" s="141"/>
      <c r="CX220" s="155">
        <v>0</v>
      </c>
      <c r="CY220" s="141"/>
      <c r="DA220" s="169"/>
      <c r="DB220" s="168"/>
      <c r="DC220" s="172"/>
      <c r="DD220" s="2"/>
      <c r="DE220" s="159"/>
      <c r="DF220" s="111" t="s">
        <v>22</v>
      </c>
      <c r="DG220" s="174"/>
      <c r="DH220" s="155" t="s">
        <v>23</v>
      </c>
      <c r="DI220" s="141"/>
      <c r="DJ220" s="155">
        <v>0</v>
      </c>
      <c r="DK220" s="141"/>
      <c r="DM220" s="169"/>
      <c r="DN220" s="168"/>
      <c r="DO220" s="172"/>
      <c r="DP220" s="2"/>
      <c r="DQ220" s="159"/>
      <c r="DR220" s="111" t="s">
        <v>22</v>
      </c>
      <c r="DS220" s="174"/>
      <c r="DT220" s="155" t="s">
        <v>23</v>
      </c>
      <c r="DU220" s="141"/>
      <c r="DV220" s="155">
        <v>0</v>
      </c>
      <c r="DW220" s="141"/>
      <c r="DY220" s="169"/>
      <c r="DZ220" s="168"/>
      <c r="EA220" s="172"/>
      <c r="EC220" s="159"/>
      <c r="ED220" s="111" t="s">
        <v>22</v>
      </c>
      <c r="EE220" s="174"/>
      <c r="EF220" s="155" t="s">
        <v>23</v>
      </c>
      <c r="EG220" s="141"/>
      <c r="EH220" s="155">
        <v>0</v>
      </c>
      <c r="EI220" s="141"/>
      <c r="EK220" s="169"/>
      <c r="EL220" s="168"/>
      <c r="EM220" s="172"/>
      <c r="EO220" s="233"/>
      <c r="EP220" s="111" t="s">
        <v>22</v>
      </c>
      <c r="EQ220" s="124"/>
      <c r="ER220" s="155" t="s">
        <v>23</v>
      </c>
      <c r="ES220" s="141"/>
      <c r="ET220" s="156">
        <f t="shared" si="16"/>
        <v>0</v>
      </c>
      <c r="EU220" s="157"/>
      <c r="EW220" s="169"/>
      <c r="EX220" s="168"/>
      <c r="EY220" s="172"/>
    </row>
    <row r="221" spans="1:155" ht="17.100000000000001" customHeight="1" thickBot="1" x14ac:dyDescent="0.25">
      <c r="A221" s="159"/>
      <c r="B221" s="113"/>
      <c r="C221" s="175"/>
      <c r="D221" s="154" t="s">
        <v>24</v>
      </c>
      <c r="E221" s="142"/>
      <c r="F221" s="154">
        <v>0</v>
      </c>
      <c r="G221" s="142"/>
      <c r="I221" s="170"/>
      <c r="J221" s="171"/>
      <c r="K221" s="173"/>
      <c r="M221" s="159"/>
      <c r="N221" s="113"/>
      <c r="O221" s="175"/>
      <c r="P221" s="154" t="s">
        <v>24</v>
      </c>
      <c r="Q221" s="142"/>
      <c r="R221" s="154">
        <v>0</v>
      </c>
      <c r="S221" s="142"/>
      <c r="U221" s="170"/>
      <c r="V221" s="171"/>
      <c r="W221" s="173"/>
      <c r="Y221" s="159"/>
      <c r="Z221" s="113"/>
      <c r="AA221" s="175"/>
      <c r="AB221" s="154" t="s">
        <v>24</v>
      </c>
      <c r="AC221" s="142"/>
      <c r="AD221" s="154">
        <v>0</v>
      </c>
      <c r="AE221" s="142"/>
      <c r="AG221" s="170"/>
      <c r="AH221" s="171"/>
      <c r="AI221" s="173"/>
      <c r="AK221" s="159"/>
      <c r="AL221" s="113"/>
      <c r="AM221" s="175"/>
      <c r="AN221" s="154" t="s">
        <v>24</v>
      </c>
      <c r="AO221" s="142"/>
      <c r="AP221" s="154">
        <v>0</v>
      </c>
      <c r="AQ221" s="142"/>
      <c r="AS221" s="170"/>
      <c r="AT221" s="171"/>
      <c r="AU221" s="173"/>
      <c r="AW221" s="159"/>
      <c r="AX221" s="113"/>
      <c r="AY221" s="175"/>
      <c r="AZ221" s="154" t="s">
        <v>24</v>
      </c>
      <c r="BA221" s="142"/>
      <c r="BB221" s="154">
        <v>0</v>
      </c>
      <c r="BC221" s="142"/>
      <c r="BE221" s="170"/>
      <c r="BF221" s="171"/>
      <c r="BG221" s="173"/>
      <c r="BI221" s="159"/>
      <c r="BJ221" s="113"/>
      <c r="BK221" s="175"/>
      <c r="BL221" s="154" t="s">
        <v>24</v>
      </c>
      <c r="BM221" s="142"/>
      <c r="BN221" s="154">
        <v>0</v>
      </c>
      <c r="BO221" s="142"/>
      <c r="BQ221" s="170"/>
      <c r="BR221" s="171"/>
      <c r="BS221" s="173"/>
      <c r="BU221" s="159"/>
      <c r="BV221" s="113"/>
      <c r="BW221" s="175"/>
      <c r="BX221" s="154" t="s">
        <v>24</v>
      </c>
      <c r="BY221" s="142"/>
      <c r="BZ221" s="154">
        <v>0</v>
      </c>
      <c r="CA221" s="142"/>
      <c r="CC221" s="170"/>
      <c r="CD221" s="171"/>
      <c r="CE221" s="173"/>
      <c r="CG221" s="159"/>
      <c r="CH221" s="113"/>
      <c r="CI221" s="175"/>
      <c r="CJ221" s="154" t="s">
        <v>24</v>
      </c>
      <c r="CK221" s="142"/>
      <c r="CL221" s="154">
        <v>0</v>
      </c>
      <c r="CM221" s="142"/>
      <c r="CO221" s="170"/>
      <c r="CP221" s="171"/>
      <c r="CQ221" s="173"/>
      <c r="CS221" s="159"/>
      <c r="CT221" s="113"/>
      <c r="CU221" s="175"/>
      <c r="CV221" s="154" t="s">
        <v>24</v>
      </c>
      <c r="CW221" s="142"/>
      <c r="CX221" s="154">
        <v>0</v>
      </c>
      <c r="CY221" s="142"/>
      <c r="DA221" s="170"/>
      <c r="DB221" s="171"/>
      <c r="DC221" s="173"/>
      <c r="DD221" s="2"/>
      <c r="DE221" s="159"/>
      <c r="DF221" s="113"/>
      <c r="DG221" s="175"/>
      <c r="DH221" s="154" t="s">
        <v>24</v>
      </c>
      <c r="DI221" s="142"/>
      <c r="DJ221" s="154">
        <v>0</v>
      </c>
      <c r="DK221" s="142"/>
      <c r="DM221" s="170"/>
      <c r="DN221" s="171"/>
      <c r="DO221" s="173"/>
      <c r="DP221" s="2"/>
      <c r="DQ221" s="159"/>
      <c r="DR221" s="113"/>
      <c r="DS221" s="175"/>
      <c r="DT221" s="154" t="s">
        <v>24</v>
      </c>
      <c r="DU221" s="142"/>
      <c r="DV221" s="154">
        <v>0</v>
      </c>
      <c r="DW221" s="142"/>
      <c r="DY221" s="170"/>
      <c r="DZ221" s="171"/>
      <c r="EA221" s="173"/>
      <c r="EC221" s="159"/>
      <c r="ED221" s="113"/>
      <c r="EE221" s="175"/>
      <c r="EF221" s="154" t="s">
        <v>24</v>
      </c>
      <c r="EG221" s="142"/>
      <c r="EH221" s="154">
        <v>0</v>
      </c>
      <c r="EI221" s="142"/>
      <c r="EK221" s="170"/>
      <c r="EL221" s="171"/>
      <c r="EM221" s="173"/>
      <c r="EO221" s="233"/>
      <c r="EP221" s="113"/>
      <c r="EQ221" s="112"/>
      <c r="ER221" s="154" t="s">
        <v>24</v>
      </c>
      <c r="ES221" s="142"/>
      <c r="ET221" s="156">
        <f t="shared" si="16"/>
        <v>0</v>
      </c>
      <c r="EU221" s="157"/>
      <c r="EW221" s="170"/>
      <c r="EX221" s="171"/>
      <c r="EY221" s="173"/>
    </row>
    <row r="222" spans="1:155" ht="17.100000000000001" customHeight="1" thickBot="1" x14ac:dyDescent="0.25">
      <c r="A222" s="159"/>
      <c r="B222" s="113"/>
      <c r="C222" s="175"/>
      <c r="D222" s="154" t="s">
        <v>25</v>
      </c>
      <c r="E222" s="142"/>
      <c r="F222" s="154">
        <v>0</v>
      </c>
      <c r="G222" s="142"/>
      <c r="I222" s="111" t="s">
        <v>26</v>
      </c>
      <c r="J222" s="124"/>
      <c r="K222" s="162">
        <v>0</v>
      </c>
      <c r="M222" s="159"/>
      <c r="N222" s="113"/>
      <c r="O222" s="175"/>
      <c r="P222" s="154" t="s">
        <v>25</v>
      </c>
      <c r="Q222" s="142"/>
      <c r="R222" s="154">
        <v>0</v>
      </c>
      <c r="S222" s="142"/>
      <c r="U222" s="111" t="s">
        <v>26</v>
      </c>
      <c r="V222" s="124"/>
      <c r="W222" s="162">
        <v>0</v>
      </c>
      <c r="Y222" s="159"/>
      <c r="Z222" s="113"/>
      <c r="AA222" s="175"/>
      <c r="AB222" s="154" t="s">
        <v>25</v>
      </c>
      <c r="AC222" s="142"/>
      <c r="AD222" s="154">
        <v>0</v>
      </c>
      <c r="AE222" s="142"/>
      <c r="AG222" s="111" t="s">
        <v>26</v>
      </c>
      <c r="AH222" s="124"/>
      <c r="AI222" s="162">
        <v>0</v>
      </c>
      <c r="AK222" s="159"/>
      <c r="AL222" s="113"/>
      <c r="AM222" s="175"/>
      <c r="AN222" s="154" t="s">
        <v>25</v>
      </c>
      <c r="AO222" s="142"/>
      <c r="AP222" s="154">
        <v>0</v>
      </c>
      <c r="AQ222" s="142"/>
      <c r="AS222" s="111" t="s">
        <v>26</v>
      </c>
      <c r="AT222" s="124"/>
      <c r="AU222" s="162">
        <v>0</v>
      </c>
      <c r="AW222" s="159"/>
      <c r="AX222" s="113"/>
      <c r="AY222" s="175"/>
      <c r="AZ222" s="154" t="s">
        <v>25</v>
      </c>
      <c r="BA222" s="142"/>
      <c r="BB222" s="154">
        <v>0</v>
      </c>
      <c r="BC222" s="142"/>
      <c r="BE222" s="111" t="s">
        <v>26</v>
      </c>
      <c r="BF222" s="124"/>
      <c r="BG222" s="162">
        <v>0</v>
      </c>
      <c r="BI222" s="159"/>
      <c r="BJ222" s="113"/>
      <c r="BK222" s="175"/>
      <c r="BL222" s="154" t="s">
        <v>25</v>
      </c>
      <c r="BM222" s="142"/>
      <c r="BN222" s="154">
        <v>0</v>
      </c>
      <c r="BO222" s="142"/>
      <c r="BQ222" s="111" t="s">
        <v>26</v>
      </c>
      <c r="BR222" s="124"/>
      <c r="BS222" s="162">
        <v>0</v>
      </c>
      <c r="BU222" s="159"/>
      <c r="BV222" s="113"/>
      <c r="BW222" s="175"/>
      <c r="BX222" s="154" t="s">
        <v>25</v>
      </c>
      <c r="BY222" s="142"/>
      <c r="BZ222" s="154">
        <v>0</v>
      </c>
      <c r="CA222" s="142"/>
      <c r="CC222" s="111" t="s">
        <v>26</v>
      </c>
      <c r="CD222" s="124"/>
      <c r="CE222" s="162">
        <v>0</v>
      </c>
      <c r="CG222" s="159"/>
      <c r="CH222" s="113"/>
      <c r="CI222" s="175"/>
      <c r="CJ222" s="154" t="s">
        <v>25</v>
      </c>
      <c r="CK222" s="142"/>
      <c r="CL222" s="154">
        <v>0</v>
      </c>
      <c r="CM222" s="142"/>
      <c r="CO222" s="111" t="s">
        <v>26</v>
      </c>
      <c r="CP222" s="124"/>
      <c r="CQ222" s="162">
        <v>0</v>
      </c>
      <c r="CS222" s="159"/>
      <c r="CT222" s="113"/>
      <c r="CU222" s="175"/>
      <c r="CV222" s="154" t="s">
        <v>25</v>
      </c>
      <c r="CW222" s="142"/>
      <c r="CX222" s="154">
        <v>0</v>
      </c>
      <c r="CY222" s="142"/>
      <c r="DA222" s="111" t="s">
        <v>26</v>
      </c>
      <c r="DB222" s="124"/>
      <c r="DC222" s="162">
        <v>0</v>
      </c>
      <c r="DD222" s="2"/>
      <c r="DE222" s="159"/>
      <c r="DF222" s="113"/>
      <c r="DG222" s="175"/>
      <c r="DH222" s="154" t="s">
        <v>25</v>
      </c>
      <c r="DI222" s="142"/>
      <c r="DJ222" s="154">
        <v>0</v>
      </c>
      <c r="DK222" s="142"/>
      <c r="DM222" s="111" t="s">
        <v>26</v>
      </c>
      <c r="DN222" s="124"/>
      <c r="DO222" s="162">
        <v>0</v>
      </c>
      <c r="DP222" s="2"/>
      <c r="DQ222" s="159"/>
      <c r="DR222" s="113"/>
      <c r="DS222" s="175"/>
      <c r="DT222" s="154" t="s">
        <v>25</v>
      </c>
      <c r="DU222" s="142"/>
      <c r="DV222" s="154">
        <v>0</v>
      </c>
      <c r="DW222" s="142"/>
      <c r="DY222" s="111" t="s">
        <v>26</v>
      </c>
      <c r="DZ222" s="124"/>
      <c r="EA222" s="162">
        <v>0</v>
      </c>
      <c r="EC222" s="159"/>
      <c r="ED222" s="113"/>
      <c r="EE222" s="175"/>
      <c r="EF222" s="154" t="s">
        <v>25</v>
      </c>
      <c r="EG222" s="142"/>
      <c r="EH222" s="154">
        <v>0</v>
      </c>
      <c r="EI222" s="142"/>
      <c r="EK222" s="111" t="s">
        <v>26</v>
      </c>
      <c r="EL222" s="124"/>
      <c r="EM222" s="162">
        <v>0</v>
      </c>
      <c r="EO222" s="233"/>
      <c r="EP222" s="113"/>
      <c r="EQ222" s="112"/>
      <c r="ER222" s="154" t="s">
        <v>25</v>
      </c>
      <c r="ES222" s="142"/>
      <c r="ET222" s="156">
        <f t="shared" si="16"/>
        <v>0</v>
      </c>
      <c r="EU222" s="157"/>
      <c r="EW222" s="111" t="s">
        <v>26</v>
      </c>
      <c r="EX222" s="124"/>
      <c r="EY222" s="162">
        <f>K222+W222+AI222+AU222+BG222+BS222+CE222+CQ222+DC222+DO222+EA222+EM222</f>
        <v>0</v>
      </c>
    </row>
    <row r="223" spans="1:155" ht="17.100000000000001" customHeight="1" thickBot="1" x14ac:dyDescent="0.25">
      <c r="A223" s="159"/>
      <c r="B223" s="125"/>
      <c r="C223" s="176"/>
      <c r="D223" s="177" t="s">
        <v>27</v>
      </c>
      <c r="E223" s="178"/>
      <c r="F223" s="177">
        <v>0</v>
      </c>
      <c r="G223" s="178"/>
      <c r="I223" s="113"/>
      <c r="J223" s="112"/>
      <c r="K223" s="163"/>
      <c r="M223" s="159"/>
      <c r="N223" s="125"/>
      <c r="O223" s="176"/>
      <c r="P223" s="177" t="s">
        <v>27</v>
      </c>
      <c r="Q223" s="178"/>
      <c r="R223" s="177">
        <v>0</v>
      </c>
      <c r="S223" s="178"/>
      <c r="U223" s="113"/>
      <c r="V223" s="112"/>
      <c r="W223" s="163"/>
      <c r="Y223" s="159"/>
      <c r="Z223" s="125"/>
      <c r="AA223" s="176"/>
      <c r="AB223" s="177" t="s">
        <v>27</v>
      </c>
      <c r="AC223" s="178"/>
      <c r="AD223" s="177">
        <v>0</v>
      </c>
      <c r="AE223" s="178"/>
      <c r="AG223" s="113"/>
      <c r="AH223" s="112"/>
      <c r="AI223" s="163"/>
      <c r="AK223" s="159"/>
      <c r="AL223" s="125"/>
      <c r="AM223" s="176"/>
      <c r="AN223" s="177" t="s">
        <v>27</v>
      </c>
      <c r="AO223" s="178"/>
      <c r="AP223" s="177">
        <v>0</v>
      </c>
      <c r="AQ223" s="178"/>
      <c r="AS223" s="113"/>
      <c r="AT223" s="112"/>
      <c r="AU223" s="163"/>
      <c r="AW223" s="159"/>
      <c r="AX223" s="125"/>
      <c r="AY223" s="176"/>
      <c r="AZ223" s="177" t="s">
        <v>27</v>
      </c>
      <c r="BA223" s="178"/>
      <c r="BB223" s="177">
        <v>0</v>
      </c>
      <c r="BC223" s="178"/>
      <c r="BE223" s="113"/>
      <c r="BF223" s="112"/>
      <c r="BG223" s="163"/>
      <c r="BI223" s="159"/>
      <c r="BJ223" s="125"/>
      <c r="BK223" s="176"/>
      <c r="BL223" s="177" t="s">
        <v>27</v>
      </c>
      <c r="BM223" s="178"/>
      <c r="BN223" s="177">
        <v>0</v>
      </c>
      <c r="BO223" s="178"/>
      <c r="BQ223" s="113"/>
      <c r="BR223" s="112"/>
      <c r="BS223" s="163"/>
      <c r="BU223" s="159"/>
      <c r="BV223" s="125"/>
      <c r="BW223" s="176"/>
      <c r="BX223" s="177" t="s">
        <v>27</v>
      </c>
      <c r="BY223" s="178"/>
      <c r="BZ223" s="177">
        <v>0</v>
      </c>
      <c r="CA223" s="178"/>
      <c r="CC223" s="113"/>
      <c r="CD223" s="112"/>
      <c r="CE223" s="163"/>
      <c r="CG223" s="159"/>
      <c r="CH223" s="125"/>
      <c r="CI223" s="176"/>
      <c r="CJ223" s="177" t="s">
        <v>27</v>
      </c>
      <c r="CK223" s="178"/>
      <c r="CL223" s="177">
        <v>0</v>
      </c>
      <c r="CM223" s="178"/>
      <c r="CO223" s="113"/>
      <c r="CP223" s="112"/>
      <c r="CQ223" s="163"/>
      <c r="CS223" s="159"/>
      <c r="CT223" s="125"/>
      <c r="CU223" s="176"/>
      <c r="CV223" s="177" t="s">
        <v>27</v>
      </c>
      <c r="CW223" s="178"/>
      <c r="CX223" s="177">
        <v>0</v>
      </c>
      <c r="CY223" s="178"/>
      <c r="DA223" s="113"/>
      <c r="DB223" s="112"/>
      <c r="DC223" s="163"/>
      <c r="DD223" s="2"/>
      <c r="DE223" s="159"/>
      <c r="DF223" s="125"/>
      <c r="DG223" s="176"/>
      <c r="DH223" s="177" t="s">
        <v>27</v>
      </c>
      <c r="DI223" s="178"/>
      <c r="DJ223" s="177">
        <v>0</v>
      </c>
      <c r="DK223" s="178"/>
      <c r="DM223" s="113"/>
      <c r="DN223" s="112"/>
      <c r="DO223" s="163"/>
      <c r="DP223" s="2"/>
      <c r="DQ223" s="159"/>
      <c r="DR223" s="125"/>
      <c r="DS223" s="176"/>
      <c r="DT223" s="177" t="s">
        <v>27</v>
      </c>
      <c r="DU223" s="178"/>
      <c r="DV223" s="177">
        <v>0</v>
      </c>
      <c r="DW223" s="178"/>
      <c r="DY223" s="113"/>
      <c r="DZ223" s="112"/>
      <c r="EA223" s="163"/>
      <c r="EC223" s="159"/>
      <c r="ED223" s="125"/>
      <c r="EE223" s="176"/>
      <c r="EF223" s="177" t="s">
        <v>27</v>
      </c>
      <c r="EG223" s="178"/>
      <c r="EH223" s="177">
        <v>0</v>
      </c>
      <c r="EI223" s="178"/>
      <c r="EK223" s="113"/>
      <c r="EL223" s="112"/>
      <c r="EM223" s="163"/>
      <c r="EO223" s="233"/>
      <c r="EP223" s="125"/>
      <c r="EQ223" s="126"/>
      <c r="ER223" s="177" t="s">
        <v>27</v>
      </c>
      <c r="ES223" s="178"/>
      <c r="ET223" s="156">
        <f t="shared" si="16"/>
        <v>0</v>
      </c>
      <c r="EU223" s="157"/>
      <c r="EW223" s="113"/>
      <c r="EX223" s="112"/>
      <c r="EY223" s="163"/>
    </row>
    <row r="224" spans="1:155" ht="17.100000000000001" customHeight="1" thickBot="1" x14ac:dyDescent="0.25">
      <c r="A224" s="159"/>
      <c r="B224" s="111" t="s">
        <v>28</v>
      </c>
      <c r="C224" s="174"/>
      <c r="D224" s="155" t="s">
        <v>29</v>
      </c>
      <c r="E224" s="141"/>
      <c r="F224" s="155">
        <v>0</v>
      </c>
      <c r="G224" s="141"/>
      <c r="I224" s="125"/>
      <c r="J224" s="126"/>
      <c r="K224" s="164"/>
      <c r="M224" s="159"/>
      <c r="N224" s="111" t="s">
        <v>28</v>
      </c>
      <c r="O224" s="174"/>
      <c r="P224" s="155" t="s">
        <v>29</v>
      </c>
      <c r="Q224" s="141"/>
      <c r="R224" s="155">
        <v>0</v>
      </c>
      <c r="S224" s="141"/>
      <c r="U224" s="125"/>
      <c r="V224" s="126"/>
      <c r="W224" s="164"/>
      <c r="Y224" s="159"/>
      <c r="Z224" s="111" t="s">
        <v>28</v>
      </c>
      <c r="AA224" s="174"/>
      <c r="AB224" s="155" t="s">
        <v>29</v>
      </c>
      <c r="AC224" s="141"/>
      <c r="AD224" s="155">
        <v>0</v>
      </c>
      <c r="AE224" s="141"/>
      <c r="AG224" s="125"/>
      <c r="AH224" s="126"/>
      <c r="AI224" s="164"/>
      <c r="AK224" s="159"/>
      <c r="AL224" s="111" t="s">
        <v>28</v>
      </c>
      <c r="AM224" s="174"/>
      <c r="AN224" s="155" t="s">
        <v>29</v>
      </c>
      <c r="AO224" s="141"/>
      <c r="AP224" s="155">
        <v>0</v>
      </c>
      <c r="AQ224" s="141"/>
      <c r="AS224" s="125"/>
      <c r="AT224" s="126"/>
      <c r="AU224" s="164"/>
      <c r="AW224" s="159"/>
      <c r="AX224" s="111" t="s">
        <v>28</v>
      </c>
      <c r="AY224" s="174"/>
      <c r="AZ224" s="155" t="s">
        <v>29</v>
      </c>
      <c r="BA224" s="141"/>
      <c r="BB224" s="155">
        <v>0</v>
      </c>
      <c r="BC224" s="141"/>
      <c r="BE224" s="125"/>
      <c r="BF224" s="126"/>
      <c r="BG224" s="164"/>
      <c r="BI224" s="159"/>
      <c r="BJ224" s="111" t="s">
        <v>28</v>
      </c>
      <c r="BK224" s="174"/>
      <c r="BL224" s="155" t="s">
        <v>29</v>
      </c>
      <c r="BM224" s="141"/>
      <c r="BN224" s="155">
        <v>0</v>
      </c>
      <c r="BO224" s="141"/>
      <c r="BQ224" s="125"/>
      <c r="BR224" s="126"/>
      <c r="BS224" s="164"/>
      <c r="BU224" s="159"/>
      <c r="BV224" s="111" t="s">
        <v>28</v>
      </c>
      <c r="BW224" s="174"/>
      <c r="BX224" s="155" t="s">
        <v>29</v>
      </c>
      <c r="BY224" s="141"/>
      <c r="BZ224" s="155">
        <v>0</v>
      </c>
      <c r="CA224" s="141"/>
      <c r="CC224" s="125"/>
      <c r="CD224" s="126"/>
      <c r="CE224" s="164"/>
      <c r="CG224" s="159"/>
      <c r="CH224" s="111" t="s">
        <v>28</v>
      </c>
      <c r="CI224" s="174"/>
      <c r="CJ224" s="155" t="s">
        <v>29</v>
      </c>
      <c r="CK224" s="141"/>
      <c r="CL224" s="155">
        <v>0</v>
      </c>
      <c r="CM224" s="141"/>
      <c r="CO224" s="125"/>
      <c r="CP224" s="126"/>
      <c r="CQ224" s="164"/>
      <c r="CS224" s="159"/>
      <c r="CT224" s="111" t="s">
        <v>28</v>
      </c>
      <c r="CU224" s="174"/>
      <c r="CV224" s="155" t="s">
        <v>29</v>
      </c>
      <c r="CW224" s="141"/>
      <c r="CX224" s="155">
        <v>0</v>
      </c>
      <c r="CY224" s="141"/>
      <c r="DA224" s="125"/>
      <c r="DB224" s="126"/>
      <c r="DC224" s="164"/>
      <c r="DD224" s="2"/>
      <c r="DE224" s="159"/>
      <c r="DF224" s="111" t="s">
        <v>28</v>
      </c>
      <c r="DG224" s="174"/>
      <c r="DH224" s="155" t="s">
        <v>29</v>
      </c>
      <c r="DI224" s="141"/>
      <c r="DJ224" s="155">
        <v>0</v>
      </c>
      <c r="DK224" s="141"/>
      <c r="DM224" s="125"/>
      <c r="DN224" s="126"/>
      <c r="DO224" s="164"/>
      <c r="DP224" s="2"/>
      <c r="DQ224" s="159"/>
      <c r="DR224" s="111" t="s">
        <v>28</v>
      </c>
      <c r="DS224" s="174"/>
      <c r="DT224" s="155" t="s">
        <v>29</v>
      </c>
      <c r="DU224" s="141"/>
      <c r="DV224" s="155">
        <v>0</v>
      </c>
      <c r="DW224" s="141"/>
      <c r="DY224" s="125"/>
      <c r="DZ224" s="126"/>
      <c r="EA224" s="164"/>
      <c r="EC224" s="159"/>
      <c r="ED224" s="111" t="s">
        <v>28</v>
      </c>
      <c r="EE224" s="174"/>
      <c r="EF224" s="155" t="s">
        <v>29</v>
      </c>
      <c r="EG224" s="141"/>
      <c r="EH224" s="155">
        <v>0</v>
      </c>
      <c r="EI224" s="141"/>
      <c r="EK224" s="125"/>
      <c r="EL224" s="126"/>
      <c r="EM224" s="164"/>
      <c r="EO224" s="233"/>
      <c r="EP224" s="111" t="s">
        <v>28</v>
      </c>
      <c r="EQ224" s="124"/>
      <c r="ER224" s="155" t="s">
        <v>29</v>
      </c>
      <c r="ES224" s="141"/>
      <c r="ET224" s="156">
        <f t="shared" si="16"/>
        <v>0</v>
      </c>
      <c r="EU224" s="157"/>
      <c r="EW224" s="125"/>
      <c r="EX224" s="126"/>
      <c r="EY224" s="164"/>
    </row>
    <row r="225" spans="1:155" ht="17.100000000000001" customHeight="1" thickBot="1" x14ac:dyDescent="0.25">
      <c r="A225" s="159"/>
      <c r="B225" s="113"/>
      <c r="C225" s="175"/>
      <c r="D225" s="154" t="s">
        <v>30</v>
      </c>
      <c r="E225" s="142"/>
      <c r="F225" s="154">
        <v>0</v>
      </c>
      <c r="G225" s="142"/>
      <c r="I225" s="111" t="s">
        <v>31</v>
      </c>
      <c r="J225" s="124"/>
      <c r="K225" s="162">
        <v>0</v>
      </c>
      <c r="M225" s="159"/>
      <c r="N225" s="113"/>
      <c r="O225" s="175"/>
      <c r="P225" s="154" t="s">
        <v>30</v>
      </c>
      <c r="Q225" s="142"/>
      <c r="R225" s="154">
        <v>0</v>
      </c>
      <c r="S225" s="142"/>
      <c r="U225" s="111" t="s">
        <v>31</v>
      </c>
      <c r="V225" s="124"/>
      <c r="W225" s="162">
        <v>0</v>
      </c>
      <c r="Y225" s="159"/>
      <c r="Z225" s="113"/>
      <c r="AA225" s="175"/>
      <c r="AB225" s="154" t="s">
        <v>30</v>
      </c>
      <c r="AC225" s="142"/>
      <c r="AD225" s="154">
        <v>0</v>
      </c>
      <c r="AE225" s="142"/>
      <c r="AG225" s="111" t="s">
        <v>31</v>
      </c>
      <c r="AH225" s="124"/>
      <c r="AI225" s="162">
        <v>0</v>
      </c>
      <c r="AK225" s="159"/>
      <c r="AL225" s="113"/>
      <c r="AM225" s="175"/>
      <c r="AN225" s="154" t="s">
        <v>30</v>
      </c>
      <c r="AO225" s="142"/>
      <c r="AP225" s="154">
        <v>0</v>
      </c>
      <c r="AQ225" s="142"/>
      <c r="AS225" s="111" t="s">
        <v>31</v>
      </c>
      <c r="AT225" s="124"/>
      <c r="AU225" s="162">
        <v>0</v>
      </c>
      <c r="AW225" s="159"/>
      <c r="AX225" s="113"/>
      <c r="AY225" s="175"/>
      <c r="AZ225" s="154" t="s">
        <v>30</v>
      </c>
      <c r="BA225" s="142"/>
      <c r="BB225" s="154">
        <v>0</v>
      </c>
      <c r="BC225" s="142"/>
      <c r="BE225" s="111" t="s">
        <v>31</v>
      </c>
      <c r="BF225" s="124"/>
      <c r="BG225" s="162">
        <v>0</v>
      </c>
      <c r="BI225" s="159"/>
      <c r="BJ225" s="113"/>
      <c r="BK225" s="175"/>
      <c r="BL225" s="154" t="s">
        <v>30</v>
      </c>
      <c r="BM225" s="142"/>
      <c r="BN225" s="154">
        <v>0</v>
      </c>
      <c r="BO225" s="142"/>
      <c r="BQ225" s="111" t="s">
        <v>31</v>
      </c>
      <c r="BR225" s="124"/>
      <c r="BS225" s="162">
        <v>0</v>
      </c>
      <c r="BU225" s="159"/>
      <c r="BV225" s="113"/>
      <c r="BW225" s="175"/>
      <c r="BX225" s="154" t="s">
        <v>30</v>
      </c>
      <c r="BY225" s="142"/>
      <c r="BZ225" s="154">
        <v>0</v>
      </c>
      <c r="CA225" s="142"/>
      <c r="CC225" s="111" t="s">
        <v>31</v>
      </c>
      <c r="CD225" s="124"/>
      <c r="CE225" s="162">
        <v>0</v>
      </c>
      <c r="CG225" s="159"/>
      <c r="CH225" s="113"/>
      <c r="CI225" s="175"/>
      <c r="CJ225" s="154" t="s">
        <v>30</v>
      </c>
      <c r="CK225" s="142"/>
      <c r="CL225" s="154">
        <v>0</v>
      </c>
      <c r="CM225" s="142"/>
      <c r="CO225" s="111" t="s">
        <v>31</v>
      </c>
      <c r="CP225" s="124"/>
      <c r="CQ225" s="162">
        <v>0</v>
      </c>
      <c r="CS225" s="159"/>
      <c r="CT225" s="113"/>
      <c r="CU225" s="175"/>
      <c r="CV225" s="154" t="s">
        <v>30</v>
      </c>
      <c r="CW225" s="142"/>
      <c r="CX225" s="154">
        <v>0</v>
      </c>
      <c r="CY225" s="142"/>
      <c r="DA225" s="111" t="s">
        <v>31</v>
      </c>
      <c r="DB225" s="124"/>
      <c r="DC225" s="162">
        <v>0</v>
      </c>
      <c r="DD225" s="2"/>
      <c r="DE225" s="159"/>
      <c r="DF225" s="113"/>
      <c r="DG225" s="175"/>
      <c r="DH225" s="154" t="s">
        <v>30</v>
      </c>
      <c r="DI225" s="142"/>
      <c r="DJ225" s="154">
        <v>0</v>
      </c>
      <c r="DK225" s="142"/>
      <c r="DM225" s="111" t="s">
        <v>31</v>
      </c>
      <c r="DN225" s="124"/>
      <c r="DO225" s="162">
        <v>0</v>
      </c>
      <c r="DP225" s="2"/>
      <c r="DQ225" s="159"/>
      <c r="DR225" s="113"/>
      <c r="DS225" s="175"/>
      <c r="DT225" s="154" t="s">
        <v>30</v>
      </c>
      <c r="DU225" s="142"/>
      <c r="DV225" s="154">
        <v>0</v>
      </c>
      <c r="DW225" s="142"/>
      <c r="DY225" s="111" t="s">
        <v>31</v>
      </c>
      <c r="DZ225" s="124"/>
      <c r="EA225" s="162">
        <v>0</v>
      </c>
      <c r="EC225" s="159"/>
      <c r="ED225" s="113"/>
      <c r="EE225" s="175"/>
      <c r="EF225" s="154" t="s">
        <v>30</v>
      </c>
      <c r="EG225" s="142"/>
      <c r="EH225" s="154">
        <v>0</v>
      </c>
      <c r="EI225" s="142"/>
      <c r="EK225" s="111" t="s">
        <v>31</v>
      </c>
      <c r="EL225" s="124"/>
      <c r="EM225" s="162">
        <v>0</v>
      </c>
      <c r="EO225" s="233"/>
      <c r="EP225" s="113"/>
      <c r="EQ225" s="112"/>
      <c r="ER225" s="154" t="s">
        <v>30</v>
      </c>
      <c r="ES225" s="142"/>
      <c r="ET225" s="156">
        <f t="shared" si="16"/>
        <v>0</v>
      </c>
      <c r="EU225" s="157"/>
      <c r="EW225" s="111" t="s">
        <v>31</v>
      </c>
      <c r="EX225" s="124"/>
      <c r="EY225" s="162">
        <f>K225+W225+AI225+AU225+BG225+BS225+CE225+CQ225+DC225+DO225+EA225+EM225</f>
        <v>0</v>
      </c>
    </row>
    <row r="226" spans="1:155" ht="17.100000000000001" customHeight="1" thickBot="1" x14ac:dyDescent="0.25">
      <c r="A226" s="159"/>
      <c r="B226" s="125"/>
      <c r="C226" s="176"/>
      <c r="D226" s="177" t="s">
        <v>32</v>
      </c>
      <c r="E226" s="178"/>
      <c r="F226" s="177">
        <v>0</v>
      </c>
      <c r="G226" s="178"/>
      <c r="I226" s="113"/>
      <c r="J226" s="112"/>
      <c r="K226" s="163"/>
      <c r="M226" s="159"/>
      <c r="N226" s="125"/>
      <c r="O226" s="176"/>
      <c r="P226" s="177" t="s">
        <v>32</v>
      </c>
      <c r="Q226" s="178"/>
      <c r="R226" s="177">
        <v>0</v>
      </c>
      <c r="S226" s="178"/>
      <c r="U226" s="113"/>
      <c r="V226" s="112"/>
      <c r="W226" s="163"/>
      <c r="Y226" s="159"/>
      <c r="Z226" s="125"/>
      <c r="AA226" s="176"/>
      <c r="AB226" s="177" t="s">
        <v>32</v>
      </c>
      <c r="AC226" s="178"/>
      <c r="AD226" s="177">
        <v>0</v>
      </c>
      <c r="AE226" s="178"/>
      <c r="AG226" s="113"/>
      <c r="AH226" s="112"/>
      <c r="AI226" s="163"/>
      <c r="AK226" s="159"/>
      <c r="AL226" s="125"/>
      <c r="AM226" s="176"/>
      <c r="AN226" s="177" t="s">
        <v>32</v>
      </c>
      <c r="AO226" s="178"/>
      <c r="AP226" s="177">
        <v>0</v>
      </c>
      <c r="AQ226" s="178"/>
      <c r="AS226" s="113"/>
      <c r="AT226" s="112"/>
      <c r="AU226" s="163"/>
      <c r="AW226" s="159"/>
      <c r="AX226" s="125"/>
      <c r="AY226" s="176"/>
      <c r="AZ226" s="177" t="s">
        <v>32</v>
      </c>
      <c r="BA226" s="178"/>
      <c r="BB226" s="177">
        <v>0</v>
      </c>
      <c r="BC226" s="178"/>
      <c r="BE226" s="113"/>
      <c r="BF226" s="112"/>
      <c r="BG226" s="163"/>
      <c r="BI226" s="159"/>
      <c r="BJ226" s="125"/>
      <c r="BK226" s="176"/>
      <c r="BL226" s="177" t="s">
        <v>32</v>
      </c>
      <c r="BM226" s="178"/>
      <c r="BN226" s="177">
        <v>0</v>
      </c>
      <c r="BO226" s="178"/>
      <c r="BQ226" s="113"/>
      <c r="BR226" s="112"/>
      <c r="BS226" s="163"/>
      <c r="BU226" s="159"/>
      <c r="BV226" s="125"/>
      <c r="BW226" s="176"/>
      <c r="BX226" s="177" t="s">
        <v>32</v>
      </c>
      <c r="BY226" s="178"/>
      <c r="BZ226" s="177">
        <v>0</v>
      </c>
      <c r="CA226" s="178"/>
      <c r="CC226" s="113"/>
      <c r="CD226" s="112"/>
      <c r="CE226" s="163"/>
      <c r="CG226" s="159"/>
      <c r="CH226" s="125"/>
      <c r="CI226" s="176"/>
      <c r="CJ226" s="177" t="s">
        <v>32</v>
      </c>
      <c r="CK226" s="178"/>
      <c r="CL226" s="177">
        <v>0</v>
      </c>
      <c r="CM226" s="178"/>
      <c r="CO226" s="113"/>
      <c r="CP226" s="112"/>
      <c r="CQ226" s="163"/>
      <c r="CS226" s="159"/>
      <c r="CT226" s="125"/>
      <c r="CU226" s="176"/>
      <c r="CV226" s="177" t="s">
        <v>32</v>
      </c>
      <c r="CW226" s="178"/>
      <c r="CX226" s="177">
        <v>0</v>
      </c>
      <c r="CY226" s="178"/>
      <c r="DA226" s="113"/>
      <c r="DB226" s="112"/>
      <c r="DC226" s="163"/>
      <c r="DD226" s="2"/>
      <c r="DE226" s="159"/>
      <c r="DF226" s="125"/>
      <c r="DG226" s="176"/>
      <c r="DH226" s="177" t="s">
        <v>32</v>
      </c>
      <c r="DI226" s="178"/>
      <c r="DJ226" s="177">
        <v>0</v>
      </c>
      <c r="DK226" s="178"/>
      <c r="DM226" s="113"/>
      <c r="DN226" s="112"/>
      <c r="DO226" s="163"/>
      <c r="DP226" s="2"/>
      <c r="DQ226" s="159"/>
      <c r="DR226" s="125"/>
      <c r="DS226" s="176"/>
      <c r="DT226" s="177" t="s">
        <v>32</v>
      </c>
      <c r="DU226" s="178"/>
      <c r="DV226" s="177">
        <v>0</v>
      </c>
      <c r="DW226" s="178"/>
      <c r="DY226" s="113"/>
      <c r="DZ226" s="112"/>
      <c r="EA226" s="163"/>
      <c r="EC226" s="159"/>
      <c r="ED226" s="125"/>
      <c r="EE226" s="176"/>
      <c r="EF226" s="177" t="s">
        <v>32</v>
      </c>
      <c r="EG226" s="178"/>
      <c r="EH226" s="177">
        <v>0</v>
      </c>
      <c r="EI226" s="178"/>
      <c r="EK226" s="113"/>
      <c r="EL226" s="112"/>
      <c r="EM226" s="163"/>
      <c r="EO226" s="233"/>
      <c r="EP226" s="125"/>
      <c r="EQ226" s="126"/>
      <c r="ER226" s="177" t="s">
        <v>32</v>
      </c>
      <c r="ES226" s="178"/>
      <c r="ET226" s="156">
        <f t="shared" si="16"/>
        <v>0</v>
      </c>
      <c r="EU226" s="157"/>
      <c r="EW226" s="113"/>
      <c r="EX226" s="112"/>
      <c r="EY226" s="163"/>
    </row>
    <row r="227" spans="1:155" ht="17.100000000000001" customHeight="1" thickBot="1" x14ac:dyDescent="0.25">
      <c r="A227" s="159"/>
      <c r="B227" s="111" t="s">
        <v>33</v>
      </c>
      <c r="C227" s="174"/>
      <c r="D227" s="155" t="s">
        <v>34</v>
      </c>
      <c r="E227" s="141"/>
      <c r="F227" s="155">
        <v>0</v>
      </c>
      <c r="G227" s="141"/>
      <c r="I227" s="125"/>
      <c r="J227" s="126"/>
      <c r="K227" s="164"/>
      <c r="M227" s="159"/>
      <c r="N227" s="111" t="s">
        <v>33</v>
      </c>
      <c r="O227" s="174"/>
      <c r="P227" s="155" t="s">
        <v>34</v>
      </c>
      <c r="Q227" s="141"/>
      <c r="R227" s="155">
        <v>0</v>
      </c>
      <c r="S227" s="141"/>
      <c r="U227" s="125"/>
      <c r="V227" s="126"/>
      <c r="W227" s="164"/>
      <c r="Y227" s="159"/>
      <c r="Z227" s="111" t="s">
        <v>33</v>
      </c>
      <c r="AA227" s="174"/>
      <c r="AB227" s="155" t="s">
        <v>34</v>
      </c>
      <c r="AC227" s="141"/>
      <c r="AD227" s="155">
        <v>0</v>
      </c>
      <c r="AE227" s="141"/>
      <c r="AG227" s="125"/>
      <c r="AH227" s="126"/>
      <c r="AI227" s="164"/>
      <c r="AK227" s="159"/>
      <c r="AL227" s="111" t="s">
        <v>33</v>
      </c>
      <c r="AM227" s="174"/>
      <c r="AN227" s="155" t="s">
        <v>34</v>
      </c>
      <c r="AO227" s="141"/>
      <c r="AP227" s="155">
        <v>0</v>
      </c>
      <c r="AQ227" s="141"/>
      <c r="AS227" s="125"/>
      <c r="AT227" s="126"/>
      <c r="AU227" s="164"/>
      <c r="AW227" s="159"/>
      <c r="AX227" s="111" t="s">
        <v>33</v>
      </c>
      <c r="AY227" s="174"/>
      <c r="AZ227" s="155" t="s">
        <v>34</v>
      </c>
      <c r="BA227" s="141"/>
      <c r="BB227" s="155">
        <v>0</v>
      </c>
      <c r="BC227" s="141"/>
      <c r="BE227" s="125"/>
      <c r="BF227" s="126"/>
      <c r="BG227" s="164"/>
      <c r="BI227" s="159"/>
      <c r="BJ227" s="111" t="s">
        <v>33</v>
      </c>
      <c r="BK227" s="174"/>
      <c r="BL227" s="155" t="s">
        <v>34</v>
      </c>
      <c r="BM227" s="141"/>
      <c r="BN227" s="155">
        <v>0</v>
      </c>
      <c r="BO227" s="141"/>
      <c r="BQ227" s="125"/>
      <c r="BR227" s="126"/>
      <c r="BS227" s="164"/>
      <c r="BU227" s="159"/>
      <c r="BV227" s="111" t="s">
        <v>33</v>
      </c>
      <c r="BW227" s="174"/>
      <c r="BX227" s="155" t="s">
        <v>34</v>
      </c>
      <c r="BY227" s="141"/>
      <c r="BZ227" s="155">
        <v>0</v>
      </c>
      <c r="CA227" s="141"/>
      <c r="CC227" s="125"/>
      <c r="CD227" s="126"/>
      <c r="CE227" s="164"/>
      <c r="CG227" s="159"/>
      <c r="CH227" s="111" t="s">
        <v>33</v>
      </c>
      <c r="CI227" s="174"/>
      <c r="CJ227" s="155" t="s">
        <v>34</v>
      </c>
      <c r="CK227" s="141"/>
      <c r="CL227" s="155">
        <v>0</v>
      </c>
      <c r="CM227" s="141"/>
      <c r="CO227" s="125"/>
      <c r="CP227" s="126"/>
      <c r="CQ227" s="164"/>
      <c r="CS227" s="159"/>
      <c r="CT227" s="111" t="s">
        <v>33</v>
      </c>
      <c r="CU227" s="174"/>
      <c r="CV227" s="155" t="s">
        <v>34</v>
      </c>
      <c r="CW227" s="141"/>
      <c r="CX227" s="155">
        <v>0</v>
      </c>
      <c r="CY227" s="141"/>
      <c r="DA227" s="125"/>
      <c r="DB227" s="126"/>
      <c r="DC227" s="164"/>
      <c r="DD227" s="2"/>
      <c r="DE227" s="159"/>
      <c r="DF227" s="111" t="s">
        <v>33</v>
      </c>
      <c r="DG227" s="174"/>
      <c r="DH227" s="155" t="s">
        <v>34</v>
      </c>
      <c r="DI227" s="141"/>
      <c r="DJ227" s="155">
        <v>0</v>
      </c>
      <c r="DK227" s="141"/>
      <c r="DM227" s="125"/>
      <c r="DN227" s="126"/>
      <c r="DO227" s="164"/>
      <c r="DP227" s="2"/>
      <c r="DQ227" s="159"/>
      <c r="DR227" s="111" t="s">
        <v>33</v>
      </c>
      <c r="DS227" s="174"/>
      <c r="DT227" s="155" t="s">
        <v>34</v>
      </c>
      <c r="DU227" s="141"/>
      <c r="DV227" s="155">
        <v>0</v>
      </c>
      <c r="DW227" s="141"/>
      <c r="DY227" s="125"/>
      <c r="DZ227" s="126"/>
      <c r="EA227" s="164"/>
      <c r="EC227" s="159"/>
      <c r="ED227" s="111" t="s">
        <v>33</v>
      </c>
      <c r="EE227" s="174"/>
      <c r="EF227" s="155" t="s">
        <v>34</v>
      </c>
      <c r="EG227" s="141"/>
      <c r="EH227" s="155">
        <v>0</v>
      </c>
      <c r="EI227" s="141"/>
      <c r="EK227" s="125"/>
      <c r="EL227" s="126"/>
      <c r="EM227" s="164"/>
      <c r="EO227" s="233"/>
      <c r="EP227" s="111" t="s">
        <v>33</v>
      </c>
      <c r="EQ227" s="124"/>
      <c r="ER227" s="155" t="s">
        <v>34</v>
      </c>
      <c r="ES227" s="141"/>
      <c r="ET227" s="156">
        <f t="shared" si="16"/>
        <v>0</v>
      </c>
      <c r="EU227" s="157"/>
      <c r="EW227" s="125"/>
      <c r="EX227" s="126"/>
      <c r="EY227" s="164"/>
    </row>
    <row r="228" spans="1:155" ht="17.100000000000001" customHeight="1" thickBot="1" x14ac:dyDescent="0.25">
      <c r="A228" s="159"/>
      <c r="B228" s="125"/>
      <c r="C228" s="176"/>
      <c r="D228" s="177" t="s">
        <v>35</v>
      </c>
      <c r="E228" s="178"/>
      <c r="F228" s="177">
        <v>0</v>
      </c>
      <c r="G228" s="178"/>
      <c r="I228" s="7"/>
      <c r="J228" s="8"/>
      <c r="K228" s="9">
        <f>SUM(K222:K227)</f>
        <v>0</v>
      </c>
      <c r="M228" s="159"/>
      <c r="N228" s="125"/>
      <c r="O228" s="176"/>
      <c r="P228" s="177" t="s">
        <v>35</v>
      </c>
      <c r="Q228" s="178"/>
      <c r="R228" s="177">
        <v>0</v>
      </c>
      <c r="S228" s="178"/>
      <c r="U228" s="7"/>
      <c r="V228" s="8"/>
      <c r="W228" s="9">
        <f>SUM(W222:W227)</f>
        <v>0</v>
      </c>
      <c r="Y228" s="159"/>
      <c r="Z228" s="125"/>
      <c r="AA228" s="176"/>
      <c r="AB228" s="177" t="s">
        <v>35</v>
      </c>
      <c r="AC228" s="178"/>
      <c r="AD228" s="177">
        <v>0</v>
      </c>
      <c r="AE228" s="178"/>
      <c r="AG228" s="7"/>
      <c r="AH228" s="8"/>
      <c r="AI228" s="9">
        <f>SUM(AI222:AI227)</f>
        <v>0</v>
      </c>
      <c r="AK228" s="159"/>
      <c r="AL228" s="125"/>
      <c r="AM228" s="176"/>
      <c r="AN228" s="177" t="s">
        <v>35</v>
      </c>
      <c r="AO228" s="178"/>
      <c r="AP228" s="177">
        <v>0</v>
      </c>
      <c r="AQ228" s="178"/>
      <c r="AS228" s="7"/>
      <c r="AT228" s="8"/>
      <c r="AU228" s="9">
        <f>SUM(AU222:AU227)</f>
        <v>0</v>
      </c>
      <c r="AW228" s="159"/>
      <c r="AX228" s="125"/>
      <c r="AY228" s="176"/>
      <c r="AZ228" s="177" t="s">
        <v>35</v>
      </c>
      <c r="BA228" s="178"/>
      <c r="BB228" s="177">
        <v>0</v>
      </c>
      <c r="BC228" s="178"/>
      <c r="BE228" s="7"/>
      <c r="BF228" s="8"/>
      <c r="BG228" s="9">
        <f>SUM(BG222:BG227)</f>
        <v>0</v>
      </c>
      <c r="BI228" s="159"/>
      <c r="BJ228" s="125"/>
      <c r="BK228" s="176"/>
      <c r="BL228" s="177" t="s">
        <v>35</v>
      </c>
      <c r="BM228" s="178"/>
      <c r="BN228" s="177">
        <v>0</v>
      </c>
      <c r="BO228" s="178"/>
      <c r="BQ228" s="7"/>
      <c r="BR228" s="8"/>
      <c r="BS228" s="9">
        <f>SUM(BS222:BS227)</f>
        <v>0</v>
      </c>
      <c r="BU228" s="159"/>
      <c r="BV228" s="125"/>
      <c r="BW228" s="176"/>
      <c r="BX228" s="177" t="s">
        <v>35</v>
      </c>
      <c r="BY228" s="178"/>
      <c r="BZ228" s="177">
        <v>0</v>
      </c>
      <c r="CA228" s="178"/>
      <c r="CC228" s="7"/>
      <c r="CD228" s="8"/>
      <c r="CE228" s="9">
        <f>SUM(CE222:CE227)</f>
        <v>0</v>
      </c>
      <c r="CG228" s="159"/>
      <c r="CH228" s="125"/>
      <c r="CI228" s="176"/>
      <c r="CJ228" s="177" t="s">
        <v>35</v>
      </c>
      <c r="CK228" s="178"/>
      <c r="CL228" s="177">
        <v>0</v>
      </c>
      <c r="CM228" s="178"/>
      <c r="CO228" s="7"/>
      <c r="CP228" s="8"/>
      <c r="CQ228" s="9">
        <f>SUM(CQ222:CQ227)</f>
        <v>0</v>
      </c>
      <c r="CS228" s="159"/>
      <c r="CT228" s="125"/>
      <c r="CU228" s="176"/>
      <c r="CV228" s="177" t="s">
        <v>35</v>
      </c>
      <c r="CW228" s="178"/>
      <c r="CX228" s="177">
        <v>0</v>
      </c>
      <c r="CY228" s="178"/>
      <c r="DA228" s="7"/>
      <c r="DB228" s="8"/>
      <c r="DC228" s="9">
        <f>SUM(DC222:DC227)</f>
        <v>0</v>
      </c>
      <c r="DD228" s="2"/>
      <c r="DE228" s="159"/>
      <c r="DF228" s="125"/>
      <c r="DG228" s="176"/>
      <c r="DH228" s="177" t="s">
        <v>35</v>
      </c>
      <c r="DI228" s="178"/>
      <c r="DJ228" s="177">
        <v>0</v>
      </c>
      <c r="DK228" s="178"/>
      <c r="DM228" s="7"/>
      <c r="DN228" s="8"/>
      <c r="DO228" s="9">
        <f>SUM(DO222:DO227)</f>
        <v>0</v>
      </c>
      <c r="DP228" s="2"/>
      <c r="DQ228" s="159"/>
      <c r="DR228" s="125"/>
      <c r="DS228" s="176"/>
      <c r="DT228" s="177" t="s">
        <v>35</v>
      </c>
      <c r="DU228" s="178"/>
      <c r="DV228" s="177">
        <v>0</v>
      </c>
      <c r="DW228" s="178"/>
      <c r="DY228" s="7"/>
      <c r="DZ228" s="8"/>
      <c r="EA228" s="9">
        <f>SUM(EA222:EA227)</f>
        <v>0</v>
      </c>
      <c r="EC228" s="159"/>
      <c r="ED228" s="125"/>
      <c r="EE228" s="176"/>
      <c r="EF228" s="177" t="s">
        <v>35</v>
      </c>
      <c r="EG228" s="178"/>
      <c r="EH228" s="177">
        <v>0</v>
      </c>
      <c r="EI228" s="178"/>
      <c r="EK228" s="7"/>
      <c r="EL228" s="8"/>
      <c r="EM228" s="9">
        <f>SUM(EM222:EM227)</f>
        <v>0</v>
      </c>
      <c r="EO228" s="233"/>
      <c r="EP228" s="125"/>
      <c r="EQ228" s="126"/>
      <c r="ER228" s="177" t="s">
        <v>35</v>
      </c>
      <c r="ES228" s="178"/>
      <c r="ET228" s="156">
        <f t="shared" si="16"/>
        <v>0</v>
      </c>
      <c r="EU228" s="157"/>
      <c r="EW228" s="7"/>
      <c r="EX228" s="8"/>
      <c r="EY228" s="9">
        <f>SUM(EY222:EY227)</f>
        <v>0</v>
      </c>
    </row>
    <row r="229" spans="1:155" ht="17.100000000000001" customHeight="1" thickBot="1" x14ac:dyDescent="0.25">
      <c r="A229" s="160"/>
      <c r="B229" s="102" t="s">
        <v>36</v>
      </c>
      <c r="C229" s="148"/>
      <c r="D229" s="148"/>
      <c r="E229" s="128"/>
      <c r="F229" s="156">
        <v>0</v>
      </c>
      <c r="G229" s="157"/>
      <c r="I229" s="111" t="s">
        <v>37</v>
      </c>
      <c r="J229" s="124"/>
      <c r="K229" s="162">
        <v>0</v>
      </c>
      <c r="M229" s="160"/>
      <c r="N229" s="102" t="s">
        <v>36</v>
      </c>
      <c r="O229" s="148"/>
      <c r="P229" s="148"/>
      <c r="Q229" s="128"/>
      <c r="R229" s="156">
        <v>0</v>
      </c>
      <c r="S229" s="157"/>
      <c r="U229" s="111" t="s">
        <v>37</v>
      </c>
      <c r="V229" s="124"/>
      <c r="W229" s="162">
        <v>0</v>
      </c>
      <c r="Y229" s="160"/>
      <c r="Z229" s="102" t="s">
        <v>36</v>
      </c>
      <c r="AA229" s="148"/>
      <c r="AB229" s="148"/>
      <c r="AC229" s="128"/>
      <c r="AD229" s="156">
        <v>0</v>
      </c>
      <c r="AE229" s="157"/>
      <c r="AG229" s="111" t="s">
        <v>37</v>
      </c>
      <c r="AH229" s="124"/>
      <c r="AI229" s="162">
        <v>0</v>
      </c>
      <c r="AK229" s="160"/>
      <c r="AL229" s="102" t="s">
        <v>36</v>
      </c>
      <c r="AM229" s="148"/>
      <c r="AN229" s="148"/>
      <c r="AO229" s="128"/>
      <c r="AP229" s="156">
        <v>0</v>
      </c>
      <c r="AQ229" s="157"/>
      <c r="AS229" s="111" t="s">
        <v>37</v>
      </c>
      <c r="AT229" s="124"/>
      <c r="AU229" s="162">
        <v>0</v>
      </c>
      <c r="AW229" s="160"/>
      <c r="AX229" s="102" t="s">
        <v>36</v>
      </c>
      <c r="AY229" s="148"/>
      <c r="AZ229" s="148"/>
      <c r="BA229" s="128"/>
      <c r="BB229" s="156">
        <v>0</v>
      </c>
      <c r="BC229" s="157"/>
      <c r="BE229" s="111" t="s">
        <v>37</v>
      </c>
      <c r="BF229" s="124"/>
      <c r="BG229" s="162">
        <v>0</v>
      </c>
      <c r="BI229" s="160"/>
      <c r="BJ229" s="102" t="s">
        <v>36</v>
      </c>
      <c r="BK229" s="148"/>
      <c r="BL229" s="148"/>
      <c r="BM229" s="128"/>
      <c r="BN229" s="156">
        <v>0</v>
      </c>
      <c r="BO229" s="157"/>
      <c r="BQ229" s="111" t="s">
        <v>37</v>
      </c>
      <c r="BR229" s="124"/>
      <c r="BS229" s="162">
        <v>0</v>
      </c>
      <c r="BU229" s="160"/>
      <c r="BV229" s="102" t="s">
        <v>36</v>
      </c>
      <c r="BW229" s="148"/>
      <c r="BX229" s="148"/>
      <c r="BY229" s="128"/>
      <c r="BZ229" s="156">
        <v>0</v>
      </c>
      <c r="CA229" s="157"/>
      <c r="CC229" s="111" t="s">
        <v>37</v>
      </c>
      <c r="CD229" s="124"/>
      <c r="CE229" s="162">
        <v>0</v>
      </c>
      <c r="CG229" s="160"/>
      <c r="CH229" s="102" t="s">
        <v>36</v>
      </c>
      <c r="CI229" s="148"/>
      <c r="CJ229" s="148"/>
      <c r="CK229" s="128"/>
      <c r="CL229" s="156">
        <v>0</v>
      </c>
      <c r="CM229" s="157"/>
      <c r="CO229" s="111" t="s">
        <v>37</v>
      </c>
      <c r="CP229" s="124"/>
      <c r="CQ229" s="162">
        <v>0</v>
      </c>
      <c r="CS229" s="160"/>
      <c r="CT229" s="102" t="s">
        <v>36</v>
      </c>
      <c r="CU229" s="148"/>
      <c r="CV229" s="148"/>
      <c r="CW229" s="128"/>
      <c r="CX229" s="156">
        <v>0</v>
      </c>
      <c r="CY229" s="157"/>
      <c r="DA229" s="111" t="s">
        <v>37</v>
      </c>
      <c r="DB229" s="124"/>
      <c r="DC229" s="162">
        <v>0</v>
      </c>
      <c r="DD229" s="2"/>
      <c r="DE229" s="160"/>
      <c r="DF229" s="102" t="s">
        <v>36</v>
      </c>
      <c r="DG229" s="148"/>
      <c r="DH229" s="148"/>
      <c r="DI229" s="128"/>
      <c r="DJ229" s="156">
        <v>0</v>
      </c>
      <c r="DK229" s="157"/>
      <c r="DM229" s="111" t="s">
        <v>37</v>
      </c>
      <c r="DN229" s="124"/>
      <c r="DO229" s="162">
        <v>0</v>
      </c>
      <c r="DP229" s="2"/>
      <c r="DQ229" s="160"/>
      <c r="DR229" s="102" t="s">
        <v>36</v>
      </c>
      <c r="DS229" s="148"/>
      <c r="DT229" s="148"/>
      <c r="DU229" s="128"/>
      <c r="DV229" s="156">
        <v>0</v>
      </c>
      <c r="DW229" s="157"/>
      <c r="DY229" s="111" t="s">
        <v>37</v>
      </c>
      <c r="DZ229" s="124"/>
      <c r="EA229" s="162">
        <v>0</v>
      </c>
      <c r="EC229" s="160"/>
      <c r="ED229" s="102" t="s">
        <v>36</v>
      </c>
      <c r="EE229" s="148"/>
      <c r="EF229" s="148"/>
      <c r="EG229" s="128"/>
      <c r="EH229" s="156">
        <v>0</v>
      </c>
      <c r="EI229" s="157"/>
      <c r="EK229" s="111" t="s">
        <v>37</v>
      </c>
      <c r="EL229" s="124"/>
      <c r="EM229" s="162">
        <v>0</v>
      </c>
      <c r="EO229" s="234"/>
      <c r="EP229" s="156" t="s">
        <v>36</v>
      </c>
      <c r="EQ229" s="187"/>
      <c r="ER229" s="187"/>
      <c r="ES229" s="157"/>
      <c r="ET229" s="156">
        <f t="shared" si="16"/>
        <v>0</v>
      </c>
      <c r="EU229" s="157"/>
      <c r="EW229" s="111" t="s">
        <v>37</v>
      </c>
      <c r="EX229" s="124"/>
      <c r="EY229" s="162">
        <f>K229+W229+AI229+AU229+BG229+BS229+CE229+CQ229+DC229+DO229+EA229+EM229</f>
        <v>0</v>
      </c>
    </row>
    <row r="230" spans="1:155" ht="17.100000000000001" customHeight="1" thickBot="1" x14ac:dyDescent="0.25">
      <c r="A230" s="111" t="s">
        <v>38</v>
      </c>
      <c r="B230" s="174"/>
      <c r="C230" s="124"/>
      <c r="D230" s="155" t="s">
        <v>39</v>
      </c>
      <c r="E230" s="161"/>
      <c r="F230" s="155">
        <v>0</v>
      </c>
      <c r="G230" s="141"/>
      <c r="I230" s="113"/>
      <c r="J230" s="112"/>
      <c r="K230" s="163"/>
      <c r="M230" s="111" t="s">
        <v>38</v>
      </c>
      <c r="N230" s="174"/>
      <c r="O230" s="124"/>
      <c r="P230" s="155" t="s">
        <v>39</v>
      </c>
      <c r="Q230" s="161"/>
      <c r="R230" s="155">
        <v>0</v>
      </c>
      <c r="S230" s="141"/>
      <c r="U230" s="113"/>
      <c r="V230" s="112"/>
      <c r="W230" s="163"/>
      <c r="Y230" s="111" t="s">
        <v>38</v>
      </c>
      <c r="Z230" s="174"/>
      <c r="AA230" s="124"/>
      <c r="AB230" s="155" t="s">
        <v>39</v>
      </c>
      <c r="AC230" s="161"/>
      <c r="AD230" s="155">
        <v>0</v>
      </c>
      <c r="AE230" s="141"/>
      <c r="AG230" s="113"/>
      <c r="AH230" s="112"/>
      <c r="AI230" s="163"/>
      <c r="AK230" s="111" t="s">
        <v>38</v>
      </c>
      <c r="AL230" s="174"/>
      <c r="AM230" s="124"/>
      <c r="AN230" s="155" t="s">
        <v>39</v>
      </c>
      <c r="AO230" s="161"/>
      <c r="AP230" s="155">
        <v>0</v>
      </c>
      <c r="AQ230" s="141"/>
      <c r="AS230" s="113"/>
      <c r="AT230" s="112"/>
      <c r="AU230" s="163"/>
      <c r="AW230" s="111" t="s">
        <v>38</v>
      </c>
      <c r="AX230" s="174"/>
      <c r="AY230" s="124"/>
      <c r="AZ230" s="155" t="s">
        <v>39</v>
      </c>
      <c r="BA230" s="161"/>
      <c r="BB230" s="155">
        <v>0</v>
      </c>
      <c r="BC230" s="141"/>
      <c r="BE230" s="113"/>
      <c r="BF230" s="112"/>
      <c r="BG230" s="163"/>
      <c r="BI230" s="111" t="s">
        <v>38</v>
      </c>
      <c r="BJ230" s="174"/>
      <c r="BK230" s="124"/>
      <c r="BL230" s="155" t="s">
        <v>39</v>
      </c>
      <c r="BM230" s="161"/>
      <c r="BN230" s="155">
        <v>0</v>
      </c>
      <c r="BO230" s="141"/>
      <c r="BQ230" s="113"/>
      <c r="BR230" s="112"/>
      <c r="BS230" s="163"/>
      <c r="BU230" s="111" t="s">
        <v>38</v>
      </c>
      <c r="BV230" s="174"/>
      <c r="BW230" s="124"/>
      <c r="BX230" s="155" t="s">
        <v>39</v>
      </c>
      <c r="BY230" s="161"/>
      <c r="BZ230" s="155">
        <v>0</v>
      </c>
      <c r="CA230" s="141"/>
      <c r="CC230" s="113"/>
      <c r="CD230" s="112"/>
      <c r="CE230" s="163"/>
      <c r="CG230" s="111" t="s">
        <v>38</v>
      </c>
      <c r="CH230" s="174"/>
      <c r="CI230" s="124"/>
      <c r="CJ230" s="155" t="s">
        <v>39</v>
      </c>
      <c r="CK230" s="161"/>
      <c r="CL230" s="155">
        <v>0</v>
      </c>
      <c r="CM230" s="141"/>
      <c r="CO230" s="113"/>
      <c r="CP230" s="112"/>
      <c r="CQ230" s="163"/>
      <c r="CS230" s="111" t="s">
        <v>38</v>
      </c>
      <c r="CT230" s="174"/>
      <c r="CU230" s="124"/>
      <c r="CV230" s="155" t="s">
        <v>39</v>
      </c>
      <c r="CW230" s="161"/>
      <c r="CX230" s="155">
        <v>0</v>
      </c>
      <c r="CY230" s="141"/>
      <c r="DA230" s="113"/>
      <c r="DB230" s="112"/>
      <c r="DC230" s="163"/>
      <c r="DD230" s="2"/>
      <c r="DE230" s="111" t="s">
        <v>38</v>
      </c>
      <c r="DF230" s="174"/>
      <c r="DG230" s="124"/>
      <c r="DH230" s="155" t="s">
        <v>39</v>
      </c>
      <c r="DI230" s="161"/>
      <c r="DJ230" s="155">
        <v>0</v>
      </c>
      <c r="DK230" s="141"/>
      <c r="DM230" s="113"/>
      <c r="DN230" s="112"/>
      <c r="DO230" s="163"/>
      <c r="DP230" s="2"/>
      <c r="DQ230" s="111" t="s">
        <v>38</v>
      </c>
      <c r="DR230" s="174"/>
      <c r="DS230" s="124"/>
      <c r="DT230" s="155" t="s">
        <v>39</v>
      </c>
      <c r="DU230" s="161"/>
      <c r="DV230" s="155">
        <v>0</v>
      </c>
      <c r="DW230" s="141"/>
      <c r="DY230" s="113"/>
      <c r="DZ230" s="112"/>
      <c r="EA230" s="163"/>
      <c r="EC230" s="111" t="s">
        <v>38</v>
      </c>
      <c r="ED230" s="174"/>
      <c r="EE230" s="124"/>
      <c r="EF230" s="155" t="s">
        <v>39</v>
      </c>
      <c r="EG230" s="161"/>
      <c r="EH230" s="155">
        <v>0</v>
      </c>
      <c r="EI230" s="141"/>
      <c r="EK230" s="113"/>
      <c r="EL230" s="112"/>
      <c r="EM230" s="163"/>
      <c r="EO230" s="111" t="s">
        <v>38</v>
      </c>
      <c r="EP230" s="174"/>
      <c r="EQ230" s="124"/>
      <c r="ER230" s="155" t="s">
        <v>39</v>
      </c>
      <c r="ES230" s="141"/>
      <c r="ET230" s="156">
        <f t="shared" si="16"/>
        <v>0</v>
      </c>
      <c r="EU230" s="157"/>
      <c r="EW230" s="113"/>
      <c r="EX230" s="112"/>
      <c r="EY230" s="163"/>
    </row>
    <row r="231" spans="1:155" ht="17.100000000000001" customHeight="1" thickBot="1" x14ac:dyDescent="0.25">
      <c r="A231" s="113"/>
      <c r="B231" s="175"/>
      <c r="C231" s="112"/>
      <c r="D231" s="154" t="s">
        <v>40</v>
      </c>
      <c r="E231" s="181"/>
      <c r="F231" s="154">
        <v>0</v>
      </c>
      <c r="G231" s="142"/>
      <c r="I231" s="125"/>
      <c r="J231" s="126"/>
      <c r="K231" s="164"/>
      <c r="M231" s="113"/>
      <c r="N231" s="175"/>
      <c r="O231" s="112"/>
      <c r="P231" s="154" t="s">
        <v>40</v>
      </c>
      <c r="Q231" s="181"/>
      <c r="R231" s="154">
        <v>0</v>
      </c>
      <c r="S231" s="142"/>
      <c r="U231" s="125"/>
      <c r="V231" s="126"/>
      <c r="W231" s="164"/>
      <c r="Y231" s="113"/>
      <c r="Z231" s="175"/>
      <c r="AA231" s="112"/>
      <c r="AB231" s="154" t="s">
        <v>40</v>
      </c>
      <c r="AC231" s="181"/>
      <c r="AD231" s="154">
        <v>0</v>
      </c>
      <c r="AE231" s="142"/>
      <c r="AG231" s="125"/>
      <c r="AH231" s="126"/>
      <c r="AI231" s="164"/>
      <c r="AK231" s="113"/>
      <c r="AL231" s="175"/>
      <c r="AM231" s="112"/>
      <c r="AN231" s="154" t="s">
        <v>40</v>
      </c>
      <c r="AO231" s="181"/>
      <c r="AP231" s="154">
        <v>0</v>
      </c>
      <c r="AQ231" s="142"/>
      <c r="AS231" s="125"/>
      <c r="AT231" s="126"/>
      <c r="AU231" s="164"/>
      <c r="AW231" s="113"/>
      <c r="AX231" s="175"/>
      <c r="AY231" s="112"/>
      <c r="AZ231" s="154" t="s">
        <v>40</v>
      </c>
      <c r="BA231" s="181"/>
      <c r="BB231" s="154">
        <v>0</v>
      </c>
      <c r="BC231" s="142"/>
      <c r="BE231" s="125"/>
      <c r="BF231" s="126"/>
      <c r="BG231" s="164"/>
      <c r="BI231" s="113"/>
      <c r="BJ231" s="175"/>
      <c r="BK231" s="112"/>
      <c r="BL231" s="154" t="s">
        <v>40</v>
      </c>
      <c r="BM231" s="181"/>
      <c r="BN231" s="154">
        <v>0</v>
      </c>
      <c r="BO231" s="142"/>
      <c r="BQ231" s="125"/>
      <c r="BR231" s="126"/>
      <c r="BS231" s="164"/>
      <c r="BU231" s="113"/>
      <c r="BV231" s="175"/>
      <c r="BW231" s="112"/>
      <c r="BX231" s="154" t="s">
        <v>40</v>
      </c>
      <c r="BY231" s="181"/>
      <c r="BZ231" s="154">
        <v>0</v>
      </c>
      <c r="CA231" s="142"/>
      <c r="CC231" s="125"/>
      <c r="CD231" s="126"/>
      <c r="CE231" s="164"/>
      <c r="CG231" s="113"/>
      <c r="CH231" s="175"/>
      <c r="CI231" s="112"/>
      <c r="CJ231" s="154" t="s">
        <v>40</v>
      </c>
      <c r="CK231" s="181"/>
      <c r="CL231" s="154">
        <v>0</v>
      </c>
      <c r="CM231" s="142"/>
      <c r="CO231" s="125"/>
      <c r="CP231" s="126"/>
      <c r="CQ231" s="164"/>
      <c r="CS231" s="113"/>
      <c r="CT231" s="175"/>
      <c r="CU231" s="112"/>
      <c r="CV231" s="154" t="s">
        <v>40</v>
      </c>
      <c r="CW231" s="181"/>
      <c r="CX231" s="154">
        <v>0</v>
      </c>
      <c r="CY231" s="142"/>
      <c r="DA231" s="125"/>
      <c r="DB231" s="126"/>
      <c r="DC231" s="164"/>
      <c r="DD231" s="2"/>
      <c r="DE231" s="113"/>
      <c r="DF231" s="175"/>
      <c r="DG231" s="112"/>
      <c r="DH231" s="154" t="s">
        <v>40</v>
      </c>
      <c r="DI231" s="181"/>
      <c r="DJ231" s="154">
        <v>0</v>
      </c>
      <c r="DK231" s="142"/>
      <c r="DM231" s="125"/>
      <c r="DN231" s="126"/>
      <c r="DO231" s="164"/>
      <c r="DP231" s="2"/>
      <c r="DQ231" s="113"/>
      <c r="DR231" s="175"/>
      <c r="DS231" s="112"/>
      <c r="DT231" s="154" t="s">
        <v>40</v>
      </c>
      <c r="DU231" s="181"/>
      <c r="DV231" s="154">
        <v>0</v>
      </c>
      <c r="DW231" s="142"/>
      <c r="DY231" s="125"/>
      <c r="DZ231" s="126"/>
      <c r="EA231" s="164"/>
      <c r="EC231" s="113"/>
      <c r="ED231" s="175"/>
      <c r="EE231" s="112"/>
      <c r="EF231" s="154" t="s">
        <v>40</v>
      </c>
      <c r="EG231" s="181"/>
      <c r="EH231" s="154">
        <v>0</v>
      </c>
      <c r="EI231" s="142"/>
      <c r="EK231" s="125"/>
      <c r="EL231" s="126"/>
      <c r="EM231" s="164"/>
      <c r="EO231" s="113"/>
      <c r="EP231" s="175"/>
      <c r="EQ231" s="112"/>
      <c r="ER231" s="154" t="s">
        <v>40</v>
      </c>
      <c r="ES231" s="142"/>
      <c r="ET231" s="156">
        <f t="shared" si="16"/>
        <v>0</v>
      </c>
      <c r="EU231" s="157"/>
      <c r="EW231" s="125"/>
      <c r="EX231" s="126"/>
      <c r="EY231" s="164"/>
    </row>
    <row r="232" spans="1:155" ht="17.100000000000001" customHeight="1" thickBot="1" x14ac:dyDescent="0.25">
      <c r="A232" s="113"/>
      <c r="B232" s="175"/>
      <c r="C232" s="112"/>
      <c r="D232" s="154" t="s">
        <v>41</v>
      </c>
      <c r="E232" s="181"/>
      <c r="F232" s="154">
        <v>0</v>
      </c>
      <c r="G232" s="142"/>
      <c r="I232" s="111" t="s">
        <v>20</v>
      </c>
      <c r="J232" s="124"/>
      <c r="K232" s="162">
        <v>0</v>
      </c>
      <c r="M232" s="113"/>
      <c r="N232" s="175"/>
      <c r="O232" s="112"/>
      <c r="P232" s="154" t="s">
        <v>41</v>
      </c>
      <c r="Q232" s="181"/>
      <c r="R232" s="154">
        <v>0</v>
      </c>
      <c r="S232" s="142"/>
      <c r="U232" s="111" t="s">
        <v>20</v>
      </c>
      <c r="V232" s="124"/>
      <c r="W232" s="162">
        <v>0</v>
      </c>
      <c r="Y232" s="113"/>
      <c r="Z232" s="175"/>
      <c r="AA232" s="112"/>
      <c r="AB232" s="154" t="s">
        <v>41</v>
      </c>
      <c r="AC232" s="181"/>
      <c r="AD232" s="154">
        <v>0</v>
      </c>
      <c r="AE232" s="142"/>
      <c r="AG232" s="111" t="s">
        <v>20</v>
      </c>
      <c r="AH232" s="124"/>
      <c r="AI232" s="162">
        <v>0</v>
      </c>
      <c r="AK232" s="113"/>
      <c r="AL232" s="175"/>
      <c r="AM232" s="112"/>
      <c r="AN232" s="154" t="s">
        <v>41</v>
      </c>
      <c r="AO232" s="181"/>
      <c r="AP232" s="154">
        <v>0</v>
      </c>
      <c r="AQ232" s="142"/>
      <c r="AS232" s="111" t="s">
        <v>20</v>
      </c>
      <c r="AT232" s="124"/>
      <c r="AU232" s="162">
        <v>0</v>
      </c>
      <c r="AW232" s="113"/>
      <c r="AX232" s="175"/>
      <c r="AY232" s="112"/>
      <c r="AZ232" s="154" t="s">
        <v>41</v>
      </c>
      <c r="BA232" s="181"/>
      <c r="BB232" s="154">
        <v>0</v>
      </c>
      <c r="BC232" s="142"/>
      <c r="BE232" s="111" t="s">
        <v>20</v>
      </c>
      <c r="BF232" s="124"/>
      <c r="BG232" s="162">
        <v>0</v>
      </c>
      <c r="BI232" s="113"/>
      <c r="BJ232" s="175"/>
      <c r="BK232" s="112"/>
      <c r="BL232" s="154" t="s">
        <v>41</v>
      </c>
      <c r="BM232" s="181"/>
      <c r="BN232" s="154">
        <v>0</v>
      </c>
      <c r="BO232" s="142"/>
      <c r="BQ232" s="111" t="s">
        <v>20</v>
      </c>
      <c r="BR232" s="124"/>
      <c r="BS232" s="162">
        <v>0</v>
      </c>
      <c r="BU232" s="113"/>
      <c r="BV232" s="175"/>
      <c r="BW232" s="112"/>
      <c r="BX232" s="154" t="s">
        <v>41</v>
      </c>
      <c r="BY232" s="181"/>
      <c r="BZ232" s="154">
        <v>0</v>
      </c>
      <c r="CA232" s="142"/>
      <c r="CC232" s="111" t="s">
        <v>20</v>
      </c>
      <c r="CD232" s="124"/>
      <c r="CE232" s="162">
        <v>0</v>
      </c>
      <c r="CG232" s="113"/>
      <c r="CH232" s="175"/>
      <c r="CI232" s="112"/>
      <c r="CJ232" s="154" t="s">
        <v>41</v>
      </c>
      <c r="CK232" s="181"/>
      <c r="CL232" s="154">
        <v>0</v>
      </c>
      <c r="CM232" s="142"/>
      <c r="CO232" s="111" t="s">
        <v>20</v>
      </c>
      <c r="CP232" s="124"/>
      <c r="CQ232" s="162">
        <v>0</v>
      </c>
      <c r="CS232" s="113"/>
      <c r="CT232" s="175"/>
      <c r="CU232" s="112"/>
      <c r="CV232" s="154" t="s">
        <v>41</v>
      </c>
      <c r="CW232" s="181"/>
      <c r="CX232" s="154">
        <v>0</v>
      </c>
      <c r="CY232" s="142"/>
      <c r="DA232" s="111" t="s">
        <v>20</v>
      </c>
      <c r="DB232" s="124"/>
      <c r="DC232" s="162">
        <v>0</v>
      </c>
      <c r="DD232" s="2"/>
      <c r="DE232" s="113"/>
      <c r="DF232" s="175"/>
      <c r="DG232" s="112"/>
      <c r="DH232" s="154" t="s">
        <v>41</v>
      </c>
      <c r="DI232" s="181"/>
      <c r="DJ232" s="154">
        <v>0</v>
      </c>
      <c r="DK232" s="142"/>
      <c r="DM232" s="111" t="s">
        <v>20</v>
      </c>
      <c r="DN232" s="124"/>
      <c r="DO232" s="162">
        <v>0</v>
      </c>
      <c r="DP232" s="2"/>
      <c r="DQ232" s="113"/>
      <c r="DR232" s="175"/>
      <c r="DS232" s="112"/>
      <c r="DT232" s="154" t="s">
        <v>41</v>
      </c>
      <c r="DU232" s="181"/>
      <c r="DV232" s="154">
        <v>0</v>
      </c>
      <c r="DW232" s="142"/>
      <c r="DY232" s="111" t="s">
        <v>20</v>
      </c>
      <c r="DZ232" s="124"/>
      <c r="EA232" s="162">
        <v>0</v>
      </c>
      <c r="EC232" s="113"/>
      <c r="ED232" s="175"/>
      <c r="EE232" s="112"/>
      <c r="EF232" s="154" t="s">
        <v>41</v>
      </c>
      <c r="EG232" s="181"/>
      <c r="EH232" s="154">
        <v>0</v>
      </c>
      <c r="EI232" s="142"/>
      <c r="EK232" s="111" t="s">
        <v>20</v>
      </c>
      <c r="EL232" s="124"/>
      <c r="EM232" s="162">
        <v>0</v>
      </c>
      <c r="EO232" s="113"/>
      <c r="EP232" s="175"/>
      <c r="EQ232" s="112"/>
      <c r="ER232" s="154" t="s">
        <v>41</v>
      </c>
      <c r="ES232" s="142"/>
      <c r="ET232" s="156">
        <f t="shared" si="16"/>
        <v>0</v>
      </c>
      <c r="EU232" s="157"/>
      <c r="EW232" s="111" t="s">
        <v>20</v>
      </c>
      <c r="EX232" s="124"/>
      <c r="EY232" s="162">
        <f>K232+W232+AI232+AU232+BG232+BS232+CE232+CQ232+DC232+DO232+EA232+EM232</f>
        <v>0</v>
      </c>
    </row>
    <row r="233" spans="1:155" ht="17.100000000000001" customHeight="1" thickBot="1" x14ac:dyDescent="0.25">
      <c r="A233" s="125"/>
      <c r="B233" s="175"/>
      <c r="C233" s="112"/>
      <c r="D233" s="188" t="s">
        <v>42</v>
      </c>
      <c r="E233" s="189"/>
      <c r="F233" s="188">
        <v>0</v>
      </c>
      <c r="G233" s="194"/>
      <c r="I233" s="113"/>
      <c r="J233" s="112"/>
      <c r="K233" s="163"/>
      <c r="M233" s="125"/>
      <c r="N233" s="175"/>
      <c r="O233" s="112"/>
      <c r="P233" s="188" t="s">
        <v>42</v>
      </c>
      <c r="Q233" s="189"/>
      <c r="R233" s="188">
        <v>0</v>
      </c>
      <c r="S233" s="194"/>
      <c r="U233" s="113"/>
      <c r="V233" s="112"/>
      <c r="W233" s="163"/>
      <c r="Y233" s="125"/>
      <c r="Z233" s="175"/>
      <c r="AA233" s="112"/>
      <c r="AB233" s="188" t="s">
        <v>42</v>
      </c>
      <c r="AC233" s="189"/>
      <c r="AD233" s="188">
        <v>0</v>
      </c>
      <c r="AE233" s="194"/>
      <c r="AG233" s="113"/>
      <c r="AH233" s="112"/>
      <c r="AI233" s="163"/>
      <c r="AK233" s="125"/>
      <c r="AL233" s="175"/>
      <c r="AM233" s="112"/>
      <c r="AN233" s="188" t="s">
        <v>42</v>
      </c>
      <c r="AO233" s="189"/>
      <c r="AP233" s="188">
        <v>0</v>
      </c>
      <c r="AQ233" s="194"/>
      <c r="AS233" s="113"/>
      <c r="AT233" s="112"/>
      <c r="AU233" s="163"/>
      <c r="AW233" s="125"/>
      <c r="AX233" s="175"/>
      <c r="AY233" s="112"/>
      <c r="AZ233" s="188" t="s">
        <v>42</v>
      </c>
      <c r="BA233" s="189"/>
      <c r="BB233" s="188">
        <v>0</v>
      </c>
      <c r="BC233" s="194"/>
      <c r="BE233" s="113"/>
      <c r="BF233" s="112"/>
      <c r="BG233" s="163"/>
      <c r="BI233" s="125"/>
      <c r="BJ233" s="175"/>
      <c r="BK233" s="112"/>
      <c r="BL233" s="188" t="s">
        <v>42</v>
      </c>
      <c r="BM233" s="189"/>
      <c r="BN233" s="188">
        <v>0</v>
      </c>
      <c r="BO233" s="194"/>
      <c r="BQ233" s="113"/>
      <c r="BR233" s="112"/>
      <c r="BS233" s="163"/>
      <c r="BU233" s="125"/>
      <c r="BV233" s="175"/>
      <c r="BW233" s="112"/>
      <c r="BX233" s="188" t="s">
        <v>42</v>
      </c>
      <c r="BY233" s="189"/>
      <c r="BZ233" s="188">
        <v>0</v>
      </c>
      <c r="CA233" s="194"/>
      <c r="CC233" s="113"/>
      <c r="CD233" s="112"/>
      <c r="CE233" s="163"/>
      <c r="CG233" s="125"/>
      <c r="CH233" s="175"/>
      <c r="CI233" s="112"/>
      <c r="CJ233" s="188" t="s">
        <v>42</v>
      </c>
      <c r="CK233" s="189"/>
      <c r="CL233" s="188">
        <v>0</v>
      </c>
      <c r="CM233" s="194"/>
      <c r="CO233" s="113"/>
      <c r="CP233" s="112"/>
      <c r="CQ233" s="163"/>
      <c r="CS233" s="125"/>
      <c r="CT233" s="175"/>
      <c r="CU233" s="112"/>
      <c r="CV233" s="188" t="s">
        <v>42</v>
      </c>
      <c r="CW233" s="189"/>
      <c r="CX233" s="188">
        <v>0</v>
      </c>
      <c r="CY233" s="194"/>
      <c r="DA233" s="113"/>
      <c r="DB233" s="112"/>
      <c r="DC233" s="163"/>
      <c r="DD233" s="2"/>
      <c r="DE233" s="125"/>
      <c r="DF233" s="175"/>
      <c r="DG233" s="112"/>
      <c r="DH233" s="188" t="s">
        <v>42</v>
      </c>
      <c r="DI233" s="189"/>
      <c r="DJ233" s="188">
        <v>0</v>
      </c>
      <c r="DK233" s="194"/>
      <c r="DM233" s="113"/>
      <c r="DN233" s="112"/>
      <c r="DO233" s="163"/>
      <c r="DP233" s="2"/>
      <c r="DQ233" s="125"/>
      <c r="DR233" s="175"/>
      <c r="DS233" s="112"/>
      <c r="DT233" s="188" t="s">
        <v>42</v>
      </c>
      <c r="DU233" s="189"/>
      <c r="DV233" s="188">
        <v>0</v>
      </c>
      <c r="DW233" s="194"/>
      <c r="DY233" s="113"/>
      <c r="DZ233" s="112"/>
      <c r="EA233" s="163"/>
      <c r="EC233" s="125"/>
      <c r="ED233" s="175"/>
      <c r="EE233" s="112"/>
      <c r="EF233" s="188" t="s">
        <v>42</v>
      </c>
      <c r="EG233" s="189"/>
      <c r="EH233" s="188">
        <v>0</v>
      </c>
      <c r="EI233" s="194"/>
      <c r="EK233" s="113"/>
      <c r="EL233" s="112"/>
      <c r="EM233" s="163"/>
      <c r="EO233" s="125"/>
      <c r="EP233" s="176"/>
      <c r="EQ233" s="126"/>
      <c r="ER233" s="177" t="s">
        <v>42</v>
      </c>
      <c r="ES233" s="178"/>
      <c r="ET233" s="156">
        <f t="shared" si="16"/>
        <v>0</v>
      </c>
      <c r="EU233" s="157"/>
      <c r="EW233" s="113"/>
      <c r="EX233" s="112"/>
      <c r="EY233" s="163"/>
    </row>
    <row r="234" spans="1:155" ht="17.100000000000001" customHeight="1" thickBot="1" x14ac:dyDescent="0.25">
      <c r="A234" s="111" t="s">
        <v>43</v>
      </c>
      <c r="B234" s="61">
        <f>1</f>
        <v>1</v>
      </c>
      <c r="C234" s="62">
        <v>2</v>
      </c>
      <c r="D234" s="62">
        <v>3</v>
      </c>
      <c r="E234" s="62">
        <v>4</v>
      </c>
      <c r="F234" s="62">
        <v>5</v>
      </c>
      <c r="G234" s="80">
        <v>6</v>
      </c>
      <c r="I234" s="125"/>
      <c r="J234" s="126"/>
      <c r="K234" s="164"/>
      <c r="M234" s="111" t="s">
        <v>43</v>
      </c>
      <c r="N234" s="61">
        <f>1</f>
        <v>1</v>
      </c>
      <c r="O234" s="62">
        <v>2</v>
      </c>
      <c r="P234" s="62">
        <v>3</v>
      </c>
      <c r="Q234" s="62">
        <v>4</v>
      </c>
      <c r="R234" s="62">
        <v>5</v>
      </c>
      <c r="S234" s="80">
        <v>6</v>
      </c>
      <c r="U234" s="125"/>
      <c r="V234" s="126"/>
      <c r="W234" s="164"/>
      <c r="Y234" s="111" t="s">
        <v>43</v>
      </c>
      <c r="Z234" s="61">
        <f>1</f>
        <v>1</v>
      </c>
      <c r="AA234" s="62">
        <v>2</v>
      </c>
      <c r="AB234" s="62">
        <v>3</v>
      </c>
      <c r="AC234" s="62">
        <v>4</v>
      </c>
      <c r="AD234" s="62">
        <v>5</v>
      </c>
      <c r="AE234" s="80">
        <v>6</v>
      </c>
      <c r="AG234" s="125"/>
      <c r="AH234" s="126"/>
      <c r="AI234" s="164"/>
      <c r="AK234" s="111" t="s">
        <v>43</v>
      </c>
      <c r="AL234" s="61">
        <f>1</f>
        <v>1</v>
      </c>
      <c r="AM234" s="62">
        <v>2</v>
      </c>
      <c r="AN234" s="62">
        <v>3</v>
      </c>
      <c r="AO234" s="62">
        <v>4</v>
      </c>
      <c r="AP234" s="62">
        <v>5</v>
      </c>
      <c r="AQ234" s="80">
        <v>6</v>
      </c>
      <c r="AS234" s="125"/>
      <c r="AT234" s="126"/>
      <c r="AU234" s="164"/>
      <c r="AW234" s="111" t="s">
        <v>43</v>
      </c>
      <c r="AX234" s="61">
        <f>1</f>
        <v>1</v>
      </c>
      <c r="AY234" s="62">
        <v>2</v>
      </c>
      <c r="AZ234" s="62">
        <v>3</v>
      </c>
      <c r="BA234" s="62">
        <v>4</v>
      </c>
      <c r="BB234" s="62">
        <v>5</v>
      </c>
      <c r="BC234" s="80">
        <v>6</v>
      </c>
      <c r="BE234" s="125"/>
      <c r="BF234" s="126"/>
      <c r="BG234" s="164"/>
      <c r="BI234" s="111" t="s">
        <v>43</v>
      </c>
      <c r="BJ234" s="61">
        <f>1</f>
        <v>1</v>
      </c>
      <c r="BK234" s="62">
        <v>2</v>
      </c>
      <c r="BL234" s="62">
        <v>3</v>
      </c>
      <c r="BM234" s="62">
        <v>4</v>
      </c>
      <c r="BN234" s="62">
        <v>5</v>
      </c>
      <c r="BO234" s="80">
        <v>6</v>
      </c>
      <c r="BQ234" s="125"/>
      <c r="BR234" s="126"/>
      <c r="BS234" s="164"/>
      <c r="BU234" s="111" t="s">
        <v>43</v>
      </c>
      <c r="BV234" s="61">
        <f>1</f>
        <v>1</v>
      </c>
      <c r="BW234" s="62">
        <v>2</v>
      </c>
      <c r="BX234" s="62">
        <v>3</v>
      </c>
      <c r="BY234" s="62">
        <v>4</v>
      </c>
      <c r="BZ234" s="62">
        <v>5</v>
      </c>
      <c r="CA234" s="80">
        <v>6</v>
      </c>
      <c r="CC234" s="125"/>
      <c r="CD234" s="126"/>
      <c r="CE234" s="164"/>
      <c r="CG234" s="111" t="s">
        <v>43</v>
      </c>
      <c r="CH234" s="61">
        <f>1</f>
        <v>1</v>
      </c>
      <c r="CI234" s="62">
        <v>2</v>
      </c>
      <c r="CJ234" s="62">
        <v>3</v>
      </c>
      <c r="CK234" s="62">
        <v>4</v>
      </c>
      <c r="CL234" s="62">
        <v>5</v>
      </c>
      <c r="CM234" s="80">
        <v>6</v>
      </c>
      <c r="CO234" s="125"/>
      <c r="CP234" s="126"/>
      <c r="CQ234" s="164"/>
      <c r="CS234" s="111" t="s">
        <v>43</v>
      </c>
      <c r="CT234" s="61">
        <f>1</f>
        <v>1</v>
      </c>
      <c r="CU234" s="62">
        <v>2</v>
      </c>
      <c r="CV234" s="62">
        <v>3</v>
      </c>
      <c r="CW234" s="62">
        <v>4</v>
      </c>
      <c r="CX234" s="62">
        <v>5</v>
      </c>
      <c r="CY234" s="80">
        <v>6</v>
      </c>
      <c r="DA234" s="125"/>
      <c r="DB234" s="126"/>
      <c r="DC234" s="164"/>
      <c r="DD234" s="2"/>
      <c r="DE234" s="111" t="s">
        <v>43</v>
      </c>
      <c r="DF234" s="61">
        <f>1</f>
        <v>1</v>
      </c>
      <c r="DG234" s="62">
        <v>2</v>
      </c>
      <c r="DH234" s="62">
        <v>3</v>
      </c>
      <c r="DI234" s="62">
        <v>4</v>
      </c>
      <c r="DJ234" s="62">
        <v>5</v>
      </c>
      <c r="DK234" s="80">
        <v>6</v>
      </c>
      <c r="DM234" s="125"/>
      <c r="DN234" s="126"/>
      <c r="DO234" s="164"/>
      <c r="DP234" s="2"/>
      <c r="DQ234" s="111" t="s">
        <v>43</v>
      </c>
      <c r="DR234" s="61">
        <f>1</f>
        <v>1</v>
      </c>
      <c r="DS234" s="62">
        <v>2</v>
      </c>
      <c r="DT234" s="62">
        <v>3</v>
      </c>
      <c r="DU234" s="62">
        <v>4</v>
      </c>
      <c r="DV234" s="62">
        <v>5</v>
      </c>
      <c r="DW234" s="80">
        <v>6</v>
      </c>
      <c r="DY234" s="125"/>
      <c r="DZ234" s="126"/>
      <c r="EA234" s="164"/>
      <c r="EC234" s="111" t="s">
        <v>43</v>
      </c>
      <c r="ED234" s="61">
        <f>1</f>
        <v>1</v>
      </c>
      <c r="EE234" s="62">
        <v>2</v>
      </c>
      <c r="EF234" s="62">
        <v>3</v>
      </c>
      <c r="EG234" s="62">
        <v>4</v>
      </c>
      <c r="EH234" s="62">
        <v>5</v>
      </c>
      <c r="EI234" s="80">
        <v>6</v>
      </c>
      <c r="EK234" s="125"/>
      <c r="EL234" s="126"/>
      <c r="EM234" s="164"/>
      <c r="EO234" s="229" t="s">
        <v>43</v>
      </c>
      <c r="EP234" s="61">
        <f>1</f>
        <v>1</v>
      </c>
      <c r="EQ234" s="62">
        <v>2</v>
      </c>
      <c r="ER234" s="62">
        <v>3</v>
      </c>
      <c r="ES234" s="62">
        <v>4</v>
      </c>
      <c r="ET234" s="62">
        <v>5</v>
      </c>
      <c r="EU234" s="80">
        <v>6</v>
      </c>
      <c r="EW234" s="125"/>
      <c r="EX234" s="126"/>
      <c r="EY234" s="164"/>
    </row>
    <row r="235" spans="1:155" ht="17.100000000000001" customHeight="1" thickBot="1" x14ac:dyDescent="0.25">
      <c r="A235" s="125"/>
      <c r="B235" s="10">
        <v>0</v>
      </c>
      <c r="C235" s="11">
        <v>0</v>
      </c>
      <c r="D235" s="11">
        <v>0</v>
      </c>
      <c r="E235" s="11">
        <v>0</v>
      </c>
      <c r="F235" s="11">
        <v>0</v>
      </c>
      <c r="G235" s="12">
        <v>0</v>
      </c>
      <c r="H235" s="13"/>
      <c r="I235" s="14"/>
      <c r="J235" s="14"/>
      <c r="K235" s="9">
        <f>SUM(K229:K234)</f>
        <v>0</v>
      </c>
      <c r="M235" s="125"/>
      <c r="N235" s="10">
        <v>0</v>
      </c>
      <c r="O235" s="11">
        <v>0</v>
      </c>
      <c r="P235" s="11">
        <v>0</v>
      </c>
      <c r="Q235" s="11">
        <v>0</v>
      </c>
      <c r="R235" s="11">
        <v>0</v>
      </c>
      <c r="S235" s="12">
        <v>0</v>
      </c>
      <c r="T235" s="13"/>
      <c r="U235" s="14"/>
      <c r="V235" s="14"/>
      <c r="W235" s="9">
        <f>SUM(W229:W234)</f>
        <v>0</v>
      </c>
      <c r="Y235" s="125"/>
      <c r="Z235" s="10">
        <v>0</v>
      </c>
      <c r="AA235" s="11">
        <v>0</v>
      </c>
      <c r="AB235" s="11">
        <v>0</v>
      </c>
      <c r="AC235" s="11">
        <v>0</v>
      </c>
      <c r="AD235" s="11">
        <v>0</v>
      </c>
      <c r="AE235" s="12">
        <v>0</v>
      </c>
      <c r="AF235" s="13"/>
      <c r="AG235" s="14"/>
      <c r="AH235" s="14"/>
      <c r="AI235" s="9">
        <f>SUM(AI229:AI234)</f>
        <v>0</v>
      </c>
      <c r="AK235" s="125"/>
      <c r="AL235" s="10">
        <v>0</v>
      </c>
      <c r="AM235" s="11">
        <v>0</v>
      </c>
      <c r="AN235" s="11">
        <v>0</v>
      </c>
      <c r="AO235" s="11">
        <v>0</v>
      </c>
      <c r="AP235" s="11">
        <v>0</v>
      </c>
      <c r="AQ235" s="12">
        <v>0</v>
      </c>
      <c r="AR235" s="13"/>
      <c r="AS235" s="14"/>
      <c r="AT235" s="14"/>
      <c r="AU235" s="9">
        <f>SUM(AU229:AU234)</f>
        <v>0</v>
      </c>
      <c r="AW235" s="125"/>
      <c r="AX235" s="10">
        <v>0</v>
      </c>
      <c r="AY235" s="11">
        <v>0</v>
      </c>
      <c r="AZ235" s="11">
        <v>0</v>
      </c>
      <c r="BA235" s="11">
        <v>0</v>
      </c>
      <c r="BB235" s="11">
        <v>0</v>
      </c>
      <c r="BC235" s="12">
        <v>0</v>
      </c>
      <c r="BD235" s="13"/>
      <c r="BE235" s="14"/>
      <c r="BF235" s="14"/>
      <c r="BG235" s="9">
        <f>SUM(BG229:BG234)</f>
        <v>0</v>
      </c>
      <c r="BI235" s="125"/>
      <c r="BJ235" s="10">
        <v>0</v>
      </c>
      <c r="BK235" s="11">
        <v>0</v>
      </c>
      <c r="BL235" s="11">
        <v>0</v>
      </c>
      <c r="BM235" s="11">
        <v>0</v>
      </c>
      <c r="BN235" s="11">
        <v>0</v>
      </c>
      <c r="BO235" s="12">
        <v>0</v>
      </c>
      <c r="BP235" s="13"/>
      <c r="BQ235" s="14"/>
      <c r="BR235" s="14"/>
      <c r="BS235" s="9">
        <f>SUM(BS229:BS234)</f>
        <v>0</v>
      </c>
      <c r="BU235" s="125"/>
      <c r="BV235" s="10">
        <v>0</v>
      </c>
      <c r="BW235" s="11">
        <v>0</v>
      </c>
      <c r="BX235" s="11">
        <v>0</v>
      </c>
      <c r="BY235" s="11">
        <v>0</v>
      </c>
      <c r="BZ235" s="11">
        <v>0</v>
      </c>
      <c r="CA235" s="12">
        <v>0</v>
      </c>
      <c r="CB235" s="13"/>
      <c r="CC235" s="14"/>
      <c r="CD235" s="14"/>
      <c r="CE235" s="9">
        <f>SUM(CE229:CE234)</f>
        <v>0</v>
      </c>
      <c r="CG235" s="125"/>
      <c r="CH235" s="10">
        <v>0</v>
      </c>
      <c r="CI235" s="11">
        <v>0</v>
      </c>
      <c r="CJ235" s="11">
        <v>0</v>
      </c>
      <c r="CK235" s="11">
        <v>0</v>
      </c>
      <c r="CL235" s="11">
        <v>0</v>
      </c>
      <c r="CM235" s="12">
        <v>0</v>
      </c>
      <c r="CN235" s="13"/>
      <c r="CO235" s="14"/>
      <c r="CP235" s="14"/>
      <c r="CQ235" s="9">
        <f>SUM(CQ229:CQ234)</f>
        <v>0</v>
      </c>
      <c r="CS235" s="125"/>
      <c r="CT235" s="10">
        <v>0</v>
      </c>
      <c r="CU235" s="11">
        <v>0</v>
      </c>
      <c r="CV235" s="11">
        <v>0</v>
      </c>
      <c r="CW235" s="11">
        <v>0</v>
      </c>
      <c r="CX235" s="11">
        <v>0</v>
      </c>
      <c r="CY235" s="12">
        <v>0</v>
      </c>
      <c r="CZ235" s="13"/>
      <c r="DA235" s="14"/>
      <c r="DB235" s="14"/>
      <c r="DC235" s="9">
        <f>SUM(DC229:DC234)</f>
        <v>0</v>
      </c>
      <c r="DD235" s="2"/>
      <c r="DE235" s="125"/>
      <c r="DF235" s="10">
        <v>0</v>
      </c>
      <c r="DG235" s="11">
        <v>0</v>
      </c>
      <c r="DH235" s="11">
        <v>0</v>
      </c>
      <c r="DI235" s="11">
        <v>0</v>
      </c>
      <c r="DJ235" s="11">
        <v>0</v>
      </c>
      <c r="DK235" s="12">
        <v>0</v>
      </c>
      <c r="DL235" s="13"/>
      <c r="DM235" s="14"/>
      <c r="DN235" s="14"/>
      <c r="DO235" s="9">
        <f>SUM(DO229:DO234)</f>
        <v>0</v>
      </c>
      <c r="DP235" s="2"/>
      <c r="DQ235" s="125"/>
      <c r="DR235" s="10">
        <v>0</v>
      </c>
      <c r="DS235" s="11">
        <v>0</v>
      </c>
      <c r="DT235" s="11">
        <v>0</v>
      </c>
      <c r="DU235" s="11">
        <v>0</v>
      </c>
      <c r="DV235" s="11">
        <v>0</v>
      </c>
      <c r="DW235" s="12">
        <v>0</v>
      </c>
      <c r="DX235" s="13"/>
      <c r="DY235" s="14"/>
      <c r="DZ235" s="14"/>
      <c r="EA235" s="9">
        <f>SUM(EA229:EA234)</f>
        <v>0</v>
      </c>
      <c r="EC235" s="125"/>
      <c r="ED235" s="10">
        <v>0</v>
      </c>
      <c r="EE235" s="11">
        <v>0</v>
      </c>
      <c r="EF235" s="11">
        <v>0</v>
      </c>
      <c r="EG235" s="11">
        <v>0</v>
      </c>
      <c r="EH235" s="11">
        <v>0</v>
      </c>
      <c r="EI235" s="12">
        <v>0</v>
      </c>
      <c r="EJ235" s="13"/>
      <c r="EK235" s="14"/>
      <c r="EL235" s="14"/>
      <c r="EM235" s="9">
        <f>SUM(EM229:EM234)</f>
        <v>0</v>
      </c>
      <c r="EO235" s="237"/>
      <c r="EP235" s="10">
        <f t="shared" ref="EP235:EU235" si="17">B235+N235+Z235+AL235+AX235+BJ235+BV235+CH235+CT235+DF235+DR235+ED235</f>
        <v>0</v>
      </c>
      <c r="EQ235" s="10">
        <f t="shared" si="17"/>
        <v>0</v>
      </c>
      <c r="ER235" s="10">
        <f t="shared" si="17"/>
        <v>0</v>
      </c>
      <c r="ES235" s="10">
        <f t="shared" si="17"/>
        <v>0</v>
      </c>
      <c r="ET235" s="10">
        <f t="shared" si="17"/>
        <v>0</v>
      </c>
      <c r="EU235" s="10">
        <f t="shared" si="17"/>
        <v>0</v>
      </c>
      <c r="EV235" s="13"/>
      <c r="EW235" s="14"/>
      <c r="EX235" s="14"/>
      <c r="EY235" s="9">
        <f>SUM(EY229:EY234)</f>
        <v>0</v>
      </c>
    </row>
    <row r="236" spans="1:155" ht="18" customHeight="1" thickBot="1" x14ac:dyDescent="0.25">
      <c r="A236" s="59" t="s">
        <v>3</v>
      </c>
      <c r="B236" s="59"/>
      <c r="C236" s="179"/>
      <c r="D236" s="179"/>
      <c r="E236" s="179"/>
      <c r="G236" s="64"/>
      <c r="H236" s="186"/>
      <c r="I236" s="186"/>
      <c r="J236" s="15"/>
      <c r="M236" s="59" t="s">
        <v>3</v>
      </c>
      <c r="N236" s="59"/>
      <c r="O236" s="179"/>
      <c r="P236" s="179"/>
      <c r="Q236" s="179"/>
      <c r="S236" s="64"/>
      <c r="T236" s="186"/>
      <c r="U236" s="186"/>
      <c r="V236" s="15"/>
      <c r="Y236" s="59" t="s">
        <v>3</v>
      </c>
      <c r="Z236" s="59"/>
      <c r="AA236" s="179"/>
      <c r="AB236" s="179"/>
      <c r="AC236" s="179"/>
      <c r="AE236" s="64"/>
      <c r="AF236" s="186"/>
      <c r="AG236" s="186"/>
      <c r="AH236" s="15"/>
      <c r="AK236" s="59" t="s">
        <v>3</v>
      </c>
      <c r="AL236" s="59"/>
      <c r="AM236" s="179"/>
      <c r="AN236" s="179"/>
      <c r="AO236" s="179"/>
      <c r="AQ236" s="64"/>
      <c r="AR236" s="186"/>
      <c r="AS236" s="186"/>
      <c r="AT236" s="15"/>
      <c r="AW236" s="59" t="s">
        <v>3</v>
      </c>
      <c r="AX236" s="59"/>
      <c r="AY236" s="179"/>
      <c r="AZ236" s="179"/>
      <c r="BA236" s="179"/>
      <c r="BC236" s="64"/>
      <c r="BD236" s="186"/>
      <c r="BE236" s="186"/>
      <c r="BF236" s="15"/>
      <c r="BI236" s="59" t="s">
        <v>3</v>
      </c>
      <c r="BJ236" s="59"/>
      <c r="BK236" s="179"/>
      <c r="BL236" s="179"/>
      <c r="BM236" s="179"/>
      <c r="BO236" s="64"/>
      <c r="BP236" s="186"/>
      <c r="BQ236" s="186"/>
      <c r="BR236" s="15"/>
      <c r="BU236" s="59" t="s">
        <v>3</v>
      </c>
      <c r="BV236" s="59"/>
      <c r="BW236" s="179"/>
      <c r="BX236" s="179"/>
      <c r="BY236" s="179"/>
      <c r="CA236" s="64"/>
      <c r="CB236" s="186"/>
      <c r="CC236" s="186"/>
      <c r="CD236" s="15"/>
      <c r="CG236" s="59" t="s">
        <v>3</v>
      </c>
      <c r="CH236" s="59"/>
      <c r="CI236" s="179"/>
      <c r="CJ236" s="179"/>
      <c r="CK236" s="179"/>
      <c r="CM236" s="64"/>
      <c r="CN236" s="186"/>
      <c r="CO236" s="186"/>
      <c r="CP236" s="15"/>
      <c r="CS236" s="59" t="s">
        <v>3</v>
      </c>
      <c r="CT236" s="59"/>
      <c r="CU236" s="179"/>
      <c r="CV236" s="179"/>
      <c r="CW236" s="179"/>
      <c r="CY236" s="64"/>
      <c r="CZ236" s="186"/>
      <c r="DA236" s="186"/>
      <c r="DB236" s="15"/>
      <c r="DD236" s="2"/>
      <c r="DE236" s="59" t="s">
        <v>3</v>
      </c>
      <c r="DF236" s="59"/>
      <c r="DG236" s="179"/>
      <c r="DH236" s="179"/>
      <c r="DI236" s="179"/>
      <c r="DK236" s="64"/>
      <c r="DL236" s="186"/>
      <c r="DM236" s="186"/>
      <c r="DN236" s="15"/>
      <c r="DP236" s="2"/>
      <c r="DQ236" s="59" t="s">
        <v>3</v>
      </c>
      <c r="DR236" s="59"/>
      <c r="DS236" s="179"/>
      <c r="DT236" s="179"/>
      <c r="DU236" s="179"/>
      <c r="DW236" s="64"/>
      <c r="DX236" s="186"/>
      <c r="DY236" s="186"/>
      <c r="DZ236" s="15"/>
      <c r="EC236" s="59" t="s">
        <v>3</v>
      </c>
      <c r="ED236" s="59"/>
      <c r="EE236" s="179"/>
      <c r="EF236" s="179"/>
      <c r="EG236" s="179"/>
      <c r="EI236" s="64"/>
      <c r="EJ236" s="186"/>
      <c r="EK236" s="186"/>
      <c r="EL236" s="15"/>
      <c r="EO236" s="59" t="s">
        <v>3</v>
      </c>
      <c r="EP236" s="59"/>
      <c r="EQ236" s="230">
        <f>EE236</f>
        <v>0</v>
      </c>
      <c r="ER236" s="230"/>
      <c r="ES236" s="230"/>
      <c r="EU236" s="64"/>
      <c r="EV236" s="148"/>
      <c r="EW236" s="148"/>
      <c r="EX236" s="15"/>
    </row>
    <row r="237" spans="1:155" ht="17.100000000000001" customHeight="1" thickBot="1" x14ac:dyDescent="0.25">
      <c r="A237" s="156" t="s">
        <v>4</v>
      </c>
      <c r="B237" s="187"/>
      <c r="C237" s="187"/>
      <c r="D237" s="187"/>
      <c r="E237" s="157"/>
      <c r="F237" s="156" t="s">
        <v>5</v>
      </c>
      <c r="G237" s="157"/>
      <c r="I237" s="102" t="s">
        <v>6</v>
      </c>
      <c r="J237" s="143" t="s">
        <v>7</v>
      </c>
      <c r="K237" s="165">
        <v>0</v>
      </c>
      <c r="M237" s="156" t="s">
        <v>4</v>
      </c>
      <c r="N237" s="187"/>
      <c r="O237" s="187"/>
      <c r="P237" s="187"/>
      <c r="Q237" s="157"/>
      <c r="R237" s="156" t="s">
        <v>5</v>
      </c>
      <c r="S237" s="157"/>
      <c r="U237" s="102" t="s">
        <v>6</v>
      </c>
      <c r="V237" s="143" t="s">
        <v>7</v>
      </c>
      <c r="W237" s="165">
        <v>0</v>
      </c>
      <c r="Y237" s="156" t="s">
        <v>4</v>
      </c>
      <c r="Z237" s="187"/>
      <c r="AA237" s="187"/>
      <c r="AB237" s="187"/>
      <c r="AC237" s="157"/>
      <c r="AD237" s="156" t="s">
        <v>5</v>
      </c>
      <c r="AE237" s="157"/>
      <c r="AG237" s="102" t="s">
        <v>6</v>
      </c>
      <c r="AH237" s="143" t="s">
        <v>7</v>
      </c>
      <c r="AI237" s="165">
        <v>0</v>
      </c>
      <c r="AK237" s="156" t="s">
        <v>4</v>
      </c>
      <c r="AL237" s="187"/>
      <c r="AM237" s="187"/>
      <c r="AN237" s="187"/>
      <c r="AO237" s="157"/>
      <c r="AP237" s="156" t="s">
        <v>5</v>
      </c>
      <c r="AQ237" s="157"/>
      <c r="AS237" s="102" t="s">
        <v>6</v>
      </c>
      <c r="AT237" s="143" t="s">
        <v>7</v>
      </c>
      <c r="AU237" s="165">
        <v>0</v>
      </c>
      <c r="AW237" s="156" t="s">
        <v>4</v>
      </c>
      <c r="AX237" s="187"/>
      <c r="AY237" s="187"/>
      <c r="AZ237" s="187"/>
      <c r="BA237" s="157"/>
      <c r="BB237" s="156" t="s">
        <v>5</v>
      </c>
      <c r="BC237" s="157"/>
      <c r="BE237" s="102" t="s">
        <v>6</v>
      </c>
      <c r="BF237" s="143" t="s">
        <v>7</v>
      </c>
      <c r="BG237" s="165">
        <v>0</v>
      </c>
      <c r="BI237" s="156" t="s">
        <v>4</v>
      </c>
      <c r="BJ237" s="187"/>
      <c r="BK237" s="187"/>
      <c r="BL237" s="187"/>
      <c r="BM237" s="157"/>
      <c r="BN237" s="156" t="s">
        <v>5</v>
      </c>
      <c r="BO237" s="157"/>
      <c r="BQ237" s="102" t="s">
        <v>6</v>
      </c>
      <c r="BR237" s="143" t="s">
        <v>7</v>
      </c>
      <c r="BS237" s="165">
        <v>0</v>
      </c>
      <c r="BU237" s="156" t="s">
        <v>4</v>
      </c>
      <c r="BV237" s="187"/>
      <c r="BW237" s="187"/>
      <c r="BX237" s="187"/>
      <c r="BY237" s="157"/>
      <c r="BZ237" s="156" t="s">
        <v>5</v>
      </c>
      <c r="CA237" s="157"/>
      <c r="CC237" s="102" t="s">
        <v>6</v>
      </c>
      <c r="CD237" s="143" t="s">
        <v>7</v>
      </c>
      <c r="CE237" s="165">
        <v>0</v>
      </c>
      <c r="CG237" s="156" t="s">
        <v>4</v>
      </c>
      <c r="CH237" s="187"/>
      <c r="CI237" s="187"/>
      <c r="CJ237" s="187"/>
      <c r="CK237" s="157"/>
      <c r="CL237" s="156" t="s">
        <v>5</v>
      </c>
      <c r="CM237" s="157"/>
      <c r="CO237" s="102" t="s">
        <v>6</v>
      </c>
      <c r="CP237" s="143" t="s">
        <v>7</v>
      </c>
      <c r="CQ237" s="165">
        <v>0</v>
      </c>
      <c r="CS237" s="156" t="s">
        <v>4</v>
      </c>
      <c r="CT237" s="187"/>
      <c r="CU237" s="187"/>
      <c r="CV237" s="187"/>
      <c r="CW237" s="157"/>
      <c r="CX237" s="156" t="s">
        <v>5</v>
      </c>
      <c r="CY237" s="157"/>
      <c r="DA237" s="102" t="s">
        <v>6</v>
      </c>
      <c r="DB237" s="143" t="s">
        <v>7</v>
      </c>
      <c r="DC237" s="165">
        <v>0</v>
      </c>
      <c r="DD237" s="2"/>
      <c r="DE237" s="156" t="s">
        <v>4</v>
      </c>
      <c r="DF237" s="187"/>
      <c r="DG237" s="187"/>
      <c r="DH237" s="187"/>
      <c r="DI237" s="157"/>
      <c r="DJ237" s="156" t="s">
        <v>5</v>
      </c>
      <c r="DK237" s="157"/>
      <c r="DM237" s="102" t="s">
        <v>6</v>
      </c>
      <c r="DN237" s="143" t="s">
        <v>7</v>
      </c>
      <c r="DO237" s="165">
        <v>0</v>
      </c>
      <c r="DP237" s="2"/>
      <c r="DQ237" s="156" t="s">
        <v>4</v>
      </c>
      <c r="DR237" s="187"/>
      <c r="DS237" s="187"/>
      <c r="DT237" s="187"/>
      <c r="DU237" s="157"/>
      <c r="DV237" s="156" t="s">
        <v>5</v>
      </c>
      <c r="DW237" s="157"/>
      <c r="DY237" s="102" t="s">
        <v>6</v>
      </c>
      <c r="DZ237" s="143" t="s">
        <v>7</v>
      </c>
      <c r="EA237" s="165">
        <v>0</v>
      </c>
      <c r="EC237" s="156" t="s">
        <v>4</v>
      </c>
      <c r="ED237" s="187"/>
      <c r="EE237" s="187"/>
      <c r="EF237" s="187"/>
      <c r="EG237" s="157"/>
      <c r="EH237" s="156" t="s">
        <v>5</v>
      </c>
      <c r="EI237" s="157"/>
      <c r="EK237" s="102" t="s">
        <v>6</v>
      </c>
      <c r="EL237" s="143" t="s">
        <v>7</v>
      </c>
      <c r="EM237" s="165">
        <v>0</v>
      </c>
      <c r="EO237" s="156" t="s">
        <v>4</v>
      </c>
      <c r="EP237" s="187"/>
      <c r="EQ237" s="187"/>
      <c r="ER237" s="187"/>
      <c r="ES237" s="157"/>
      <c r="ET237" s="156" t="s">
        <v>5</v>
      </c>
      <c r="EU237" s="157"/>
      <c r="EW237" s="121" t="s">
        <v>6</v>
      </c>
      <c r="EX237" s="229" t="s">
        <v>7</v>
      </c>
      <c r="EY237" s="229">
        <f>K237+W237+AI237+AU237+BG237+BS237+CE237+CQ237+DC237+DO237+EA237+EM237</f>
        <v>0</v>
      </c>
    </row>
    <row r="238" spans="1:155" ht="17.100000000000001" customHeight="1" thickBot="1" x14ac:dyDescent="0.25">
      <c r="A238" s="111" t="s">
        <v>8</v>
      </c>
      <c r="B238" s="174"/>
      <c r="C238" s="174"/>
      <c r="D238" s="155" t="s">
        <v>9</v>
      </c>
      <c r="E238" s="141"/>
      <c r="F238" s="155">
        <v>0</v>
      </c>
      <c r="G238" s="141"/>
      <c r="I238" s="103"/>
      <c r="J238" s="140"/>
      <c r="K238" s="166"/>
      <c r="M238" s="111" t="s">
        <v>8</v>
      </c>
      <c r="N238" s="174"/>
      <c r="O238" s="174"/>
      <c r="P238" s="155" t="s">
        <v>9</v>
      </c>
      <c r="Q238" s="141"/>
      <c r="R238" s="155">
        <v>0</v>
      </c>
      <c r="S238" s="141"/>
      <c r="U238" s="103"/>
      <c r="V238" s="140"/>
      <c r="W238" s="166"/>
      <c r="Y238" s="111" t="s">
        <v>8</v>
      </c>
      <c r="Z238" s="174"/>
      <c r="AA238" s="174"/>
      <c r="AB238" s="155" t="s">
        <v>9</v>
      </c>
      <c r="AC238" s="141"/>
      <c r="AD238" s="155">
        <v>0</v>
      </c>
      <c r="AE238" s="141"/>
      <c r="AG238" s="103"/>
      <c r="AH238" s="140"/>
      <c r="AI238" s="166"/>
      <c r="AK238" s="111" t="s">
        <v>8</v>
      </c>
      <c r="AL238" s="174"/>
      <c r="AM238" s="174"/>
      <c r="AN238" s="155" t="s">
        <v>9</v>
      </c>
      <c r="AO238" s="141"/>
      <c r="AP238" s="155">
        <v>0</v>
      </c>
      <c r="AQ238" s="141"/>
      <c r="AS238" s="103"/>
      <c r="AT238" s="140"/>
      <c r="AU238" s="166"/>
      <c r="AW238" s="111" t="s">
        <v>8</v>
      </c>
      <c r="AX238" s="174"/>
      <c r="AY238" s="174"/>
      <c r="AZ238" s="155" t="s">
        <v>9</v>
      </c>
      <c r="BA238" s="141"/>
      <c r="BB238" s="155">
        <v>0</v>
      </c>
      <c r="BC238" s="141"/>
      <c r="BE238" s="103"/>
      <c r="BF238" s="140"/>
      <c r="BG238" s="166"/>
      <c r="BI238" s="111" t="s">
        <v>8</v>
      </c>
      <c r="BJ238" s="174"/>
      <c r="BK238" s="174"/>
      <c r="BL238" s="155" t="s">
        <v>9</v>
      </c>
      <c r="BM238" s="141"/>
      <c r="BN238" s="155">
        <v>0</v>
      </c>
      <c r="BO238" s="141"/>
      <c r="BQ238" s="103"/>
      <c r="BR238" s="140"/>
      <c r="BS238" s="166"/>
      <c r="BU238" s="111" t="s">
        <v>8</v>
      </c>
      <c r="BV238" s="174"/>
      <c r="BW238" s="174"/>
      <c r="BX238" s="155" t="s">
        <v>9</v>
      </c>
      <c r="BY238" s="141"/>
      <c r="BZ238" s="155">
        <v>0</v>
      </c>
      <c r="CA238" s="141"/>
      <c r="CC238" s="103"/>
      <c r="CD238" s="140"/>
      <c r="CE238" s="166"/>
      <c r="CG238" s="111" t="s">
        <v>8</v>
      </c>
      <c r="CH238" s="174"/>
      <c r="CI238" s="174"/>
      <c r="CJ238" s="155" t="s">
        <v>9</v>
      </c>
      <c r="CK238" s="141"/>
      <c r="CL238" s="155">
        <v>0</v>
      </c>
      <c r="CM238" s="141"/>
      <c r="CO238" s="103"/>
      <c r="CP238" s="140"/>
      <c r="CQ238" s="166"/>
      <c r="CS238" s="111" t="s">
        <v>8</v>
      </c>
      <c r="CT238" s="174"/>
      <c r="CU238" s="174"/>
      <c r="CV238" s="155" t="s">
        <v>9</v>
      </c>
      <c r="CW238" s="141"/>
      <c r="CX238" s="155">
        <v>0</v>
      </c>
      <c r="CY238" s="141"/>
      <c r="DA238" s="103"/>
      <c r="DB238" s="140"/>
      <c r="DC238" s="166"/>
      <c r="DD238" s="2"/>
      <c r="DE238" s="111" t="s">
        <v>8</v>
      </c>
      <c r="DF238" s="174"/>
      <c r="DG238" s="174"/>
      <c r="DH238" s="155" t="s">
        <v>9</v>
      </c>
      <c r="DI238" s="141"/>
      <c r="DJ238" s="155">
        <v>0</v>
      </c>
      <c r="DK238" s="141"/>
      <c r="DM238" s="103"/>
      <c r="DN238" s="140"/>
      <c r="DO238" s="166"/>
      <c r="DP238" s="2"/>
      <c r="DQ238" s="111" t="s">
        <v>8</v>
      </c>
      <c r="DR238" s="174"/>
      <c r="DS238" s="174"/>
      <c r="DT238" s="155" t="s">
        <v>9</v>
      </c>
      <c r="DU238" s="141"/>
      <c r="DV238" s="155">
        <v>0</v>
      </c>
      <c r="DW238" s="141"/>
      <c r="DY238" s="103"/>
      <c r="DZ238" s="140"/>
      <c r="EA238" s="166"/>
      <c r="EC238" s="111" t="s">
        <v>8</v>
      </c>
      <c r="ED238" s="174"/>
      <c r="EE238" s="174"/>
      <c r="EF238" s="155" t="s">
        <v>9</v>
      </c>
      <c r="EG238" s="141"/>
      <c r="EH238" s="155">
        <v>0</v>
      </c>
      <c r="EI238" s="141"/>
      <c r="EK238" s="103"/>
      <c r="EL238" s="140"/>
      <c r="EM238" s="166"/>
      <c r="EO238" s="111" t="s">
        <v>8</v>
      </c>
      <c r="EP238" s="174"/>
      <c r="EQ238" s="124"/>
      <c r="ER238" s="155" t="s">
        <v>9</v>
      </c>
      <c r="ES238" s="141"/>
      <c r="ET238" s="156">
        <f>F238+R238+AD238+AP238+BB238+BN238+BZ238+CL238+CX238+DJ238+DV238+EH238</f>
        <v>0</v>
      </c>
      <c r="EU238" s="157"/>
      <c r="EW238" s="122"/>
      <c r="EX238" s="139"/>
      <c r="EY238" s="237"/>
    </row>
    <row r="239" spans="1:155" ht="17.100000000000001" customHeight="1" thickBot="1" x14ac:dyDescent="0.25">
      <c r="A239" s="113"/>
      <c r="B239" s="175"/>
      <c r="C239" s="175"/>
      <c r="D239" s="154" t="s">
        <v>10</v>
      </c>
      <c r="E239" s="142"/>
      <c r="F239" s="154">
        <v>0</v>
      </c>
      <c r="G239" s="142"/>
      <c r="I239" s="103"/>
      <c r="J239" s="140" t="s">
        <v>11</v>
      </c>
      <c r="K239" s="166">
        <v>0</v>
      </c>
      <c r="M239" s="113"/>
      <c r="N239" s="175"/>
      <c r="O239" s="175"/>
      <c r="P239" s="154" t="s">
        <v>10</v>
      </c>
      <c r="Q239" s="142"/>
      <c r="R239" s="154">
        <v>0</v>
      </c>
      <c r="S239" s="142"/>
      <c r="U239" s="103"/>
      <c r="V239" s="140" t="s">
        <v>11</v>
      </c>
      <c r="W239" s="166">
        <v>0</v>
      </c>
      <c r="Y239" s="113"/>
      <c r="Z239" s="175"/>
      <c r="AA239" s="175"/>
      <c r="AB239" s="154" t="s">
        <v>10</v>
      </c>
      <c r="AC239" s="142"/>
      <c r="AD239" s="154">
        <v>0</v>
      </c>
      <c r="AE239" s="142"/>
      <c r="AG239" s="103"/>
      <c r="AH239" s="140" t="s">
        <v>11</v>
      </c>
      <c r="AI239" s="166">
        <v>0</v>
      </c>
      <c r="AK239" s="113"/>
      <c r="AL239" s="175"/>
      <c r="AM239" s="175"/>
      <c r="AN239" s="154" t="s">
        <v>10</v>
      </c>
      <c r="AO239" s="142"/>
      <c r="AP239" s="154">
        <v>0</v>
      </c>
      <c r="AQ239" s="142"/>
      <c r="AS239" s="103"/>
      <c r="AT239" s="140" t="s">
        <v>11</v>
      </c>
      <c r="AU239" s="166">
        <v>0</v>
      </c>
      <c r="AW239" s="113"/>
      <c r="AX239" s="175"/>
      <c r="AY239" s="175"/>
      <c r="AZ239" s="154" t="s">
        <v>10</v>
      </c>
      <c r="BA239" s="142"/>
      <c r="BB239" s="154">
        <v>0</v>
      </c>
      <c r="BC239" s="142"/>
      <c r="BE239" s="103"/>
      <c r="BF239" s="140" t="s">
        <v>11</v>
      </c>
      <c r="BG239" s="166">
        <v>0</v>
      </c>
      <c r="BI239" s="113"/>
      <c r="BJ239" s="175"/>
      <c r="BK239" s="175"/>
      <c r="BL239" s="154" t="s">
        <v>10</v>
      </c>
      <c r="BM239" s="142"/>
      <c r="BN239" s="154">
        <v>0</v>
      </c>
      <c r="BO239" s="142"/>
      <c r="BQ239" s="103"/>
      <c r="BR239" s="140" t="s">
        <v>11</v>
      </c>
      <c r="BS239" s="166">
        <v>0</v>
      </c>
      <c r="BU239" s="113"/>
      <c r="BV239" s="175"/>
      <c r="BW239" s="175"/>
      <c r="BX239" s="154" t="s">
        <v>10</v>
      </c>
      <c r="BY239" s="142"/>
      <c r="BZ239" s="154">
        <v>0</v>
      </c>
      <c r="CA239" s="142"/>
      <c r="CC239" s="103"/>
      <c r="CD239" s="140" t="s">
        <v>11</v>
      </c>
      <c r="CE239" s="166">
        <v>0</v>
      </c>
      <c r="CG239" s="113"/>
      <c r="CH239" s="175"/>
      <c r="CI239" s="175"/>
      <c r="CJ239" s="154" t="s">
        <v>10</v>
      </c>
      <c r="CK239" s="142"/>
      <c r="CL239" s="154">
        <v>0</v>
      </c>
      <c r="CM239" s="142"/>
      <c r="CO239" s="103"/>
      <c r="CP239" s="140" t="s">
        <v>11</v>
      </c>
      <c r="CQ239" s="166">
        <v>0</v>
      </c>
      <c r="CS239" s="113"/>
      <c r="CT239" s="175"/>
      <c r="CU239" s="175"/>
      <c r="CV239" s="154" t="s">
        <v>10</v>
      </c>
      <c r="CW239" s="142"/>
      <c r="CX239" s="154">
        <v>0</v>
      </c>
      <c r="CY239" s="142"/>
      <c r="DA239" s="103"/>
      <c r="DB239" s="140" t="s">
        <v>11</v>
      </c>
      <c r="DC239" s="166">
        <v>0</v>
      </c>
      <c r="DD239" s="2"/>
      <c r="DE239" s="113"/>
      <c r="DF239" s="175"/>
      <c r="DG239" s="175"/>
      <c r="DH239" s="154" t="s">
        <v>10</v>
      </c>
      <c r="DI239" s="142"/>
      <c r="DJ239" s="154">
        <v>0</v>
      </c>
      <c r="DK239" s="142"/>
      <c r="DM239" s="103"/>
      <c r="DN239" s="140" t="s">
        <v>11</v>
      </c>
      <c r="DO239" s="166">
        <v>0</v>
      </c>
      <c r="DP239" s="2"/>
      <c r="DQ239" s="113"/>
      <c r="DR239" s="175"/>
      <c r="DS239" s="175"/>
      <c r="DT239" s="154" t="s">
        <v>10</v>
      </c>
      <c r="DU239" s="142"/>
      <c r="DV239" s="154">
        <v>0</v>
      </c>
      <c r="DW239" s="142"/>
      <c r="DY239" s="103"/>
      <c r="DZ239" s="140" t="s">
        <v>11</v>
      </c>
      <c r="EA239" s="166">
        <v>0</v>
      </c>
      <c r="EC239" s="113"/>
      <c r="ED239" s="175"/>
      <c r="EE239" s="175"/>
      <c r="EF239" s="154" t="s">
        <v>10</v>
      </c>
      <c r="EG239" s="142"/>
      <c r="EH239" s="154">
        <v>0</v>
      </c>
      <c r="EI239" s="142"/>
      <c r="EK239" s="103"/>
      <c r="EL239" s="140" t="s">
        <v>11</v>
      </c>
      <c r="EM239" s="166">
        <v>0</v>
      </c>
      <c r="EO239" s="113"/>
      <c r="EP239" s="175"/>
      <c r="EQ239" s="112"/>
      <c r="ER239" s="154" t="s">
        <v>10</v>
      </c>
      <c r="ES239" s="142"/>
      <c r="ET239" s="156">
        <f t="shared" ref="ET239:ET259" si="18">F239+R239+AD239+AP239+BB239+BN239+BZ239+CL239+CX239+DJ239+DV239+EH239</f>
        <v>0</v>
      </c>
      <c r="EU239" s="157"/>
      <c r="EW239" s="122"/>
      <c r="EX239" s="238" t="s">
        <v>11</v>
      </c>
      <c r="EY239" s="229">
        <f>K239+W239+AI239+AU239+BG239+BS239+CE239+CQ239+DC239+DO239+EA239+EM239</f>
        <v>0</v>
      </c>
    </row>
    <row r="240" spans="1:155" ht="17.100000000000001" customHeight="1" thickBot="1" x14ac:dyDescent="0.25">
      <c r="A240" s="125"/>
      <c r="B240" s="176"/>
      <c r="C240" s="176"/>
      <c r="D240" s="177" t="s">
        <v>12</v>
      </c>
      <c r="E240" s="178"/>
      <c r="F240" s="177">
        <v>0</v>
      </c>
      <c r="G240" s="178"/>
      <c r="I240" s="151"/>
      <c r="J240" s="144"/>
      <c r="K240" s="180"/>
      <c r="M240" s="125"/>
      <c r="N240" s="176"/>
      <c r="O240" s="176"/>
      <c r="P240" s="177" t="s">
        <v>12</v>
      </c>
      <c r="Q240" s="178"/>
      <c r="R240" s="177">
        <v>0</v>
      </c>
      <c r="S240" s="178"/>
      <c r="U240" s="151"/>
      <c r="V240" s="144"/>
      <c r="W240" s="180"/>
      <c r="Y240" s="125"/>
      <c r="Z240" s="176"/>
      <c r="AA240" s="176"/>
      <c r="AB240" s="177" t="s">
        <v>12</v>
      </c>
      <c r="AC240" s="178"/>
      <c r="AD240" s="177">
        <v>0</v>
      </c>
      <c r="AE240" s="178"/>
      <c r="AG240" s="151"/>
      <c r="AH240" s="144"/>
      <c r="AI240" s="180"/>
      <c r="AK240" s="125"/>
      <c r="AL240" s="176"/>
      <c r="AM240" s="176"/>
      <c r="AN240" s="177" t="s">
        <v>12</v>
      </c>
      <c r="AO240" s="178"/>
      <c r="AP240" s="177">
        <v>0</v>
      </c>
      <c r="AQ240" s="178"/>
      <c r="AS240" s="151"/>
      <c r="AT240" s="144"/>
      <c r="AU240" s="180"/>
      <c r="AW240" s="125"/>
      <c r="AX240" s="176"/>
      <c r="AY240" s="176"/>
      <c r="AZ240" s="177" t="s">
        <v>12</v>
      </c>
      <c r="BA240" s="178"/>
      <c r="BB240" s="177">
        <v>0</v>
      </c>
      <c r="BC240" s="178"/>
      <c r="BE240" s="151"/>
      <c r="BF240" s="144"/>
      <c r="BG240" s="180"/>
      <c r="BI240" s="125"/>
      <c r="BJ240" s="176"/>
      <c r="BK240" s="176"/>
      <c r="BL240" s="177" t="s">
        <v>12</v>
      </c>
      <c r="BM240" s="178"/>
      <c r="BN240" s="177">
        <v>0</v>
      </c>
      <c r="BO240" s="178"/>
      <c r="BQ240" s="151"/>
      <c r="BR240" s="144"/>
      <c r="BS240" s="180"/>
      <c r="BU240" s="125"/>
      <c r="BV240" s="176"/>
      <c r="BW240" s="176"/>
      <c r="BX240" s="177" t="s">
        <v>12</v>
      </c>
      <c r="BY240" s="178"/>
      <c r="BZ240" s="177">
        <v>0</v>
      </c>
      <c r="CA240" s="178"/>
      <c r="CC240" s="151"/>
      <c r="CD240" s="144"/>
      <c r="CE240" s="180"/>
      <c r="CG240" s="125"/>
      <c r="CH240" s="176"/>
      <c r="CI240" s="176"/>
      <c r="CJ240" s="177" t="s">
        <v>12</v>
      </c>
      <c r="CK240" s="178"/>
      <c r="CL240" s="177">
        <v>0</v>
      </c>
      <c r="CM240" s="178"/>
      <c r="CO240" s="151"/>
      <c r="CP240" s="144"/>
      <c r="CQ240" s="180"/>
      <c r="CS240" s="125"/>
      <c r="CT240" s="176"/>
      <c r="CU240" s="176"/>
      <c r="CV240" s="177" t="s">
        <v>12</v>
      </c>
      <c r="CW240" s="178"/>
      <c r="CX240" s="177">
        <v>0</v>
      </c>
      <c r="CY240" s="178"/>
      <c r="DA240" s="151"/>
      <c r="DB240" s="144"/>
      <c r="DC240" s="180"/>
      <c r="DD240" s="2"/>
      <c r="DE240" s="125"/>
      <c r="DF240" s="176"/>
      <c r="DG240" s="176"/>
      <c r="DH240" s="177" t="s">
        <v>12</v>
      </c>
      <c r="DI240" s="178"/>
      <c r="DJ240" s="177">
        <v>0</v>
      </c>
      <c r="DK240" s="178"/>
      <c r="DM240" s="151"/>
      <c r="DN240" s="144"/>
      <c r="DO240" s="180"/>
      <c r="DP240" s="2"/>
      <c r="DQ240" s="125"/>
      <c r="DR240" s="176"/>
      <c r="DS240" s="176"/>
      <c r="DT240" s="177" t="s">
        <v>12</v>
      </c>
      <c r="DU240" s="178"/>
      <c r="DV240" s="177">
        <v>0</v>
      </c>
      <c r="DW240" s="178"/>
      <c r="DY240" s="151"/>
      <c r="DZ240" s="144"/>
      <c r="EA240" s="180"/>
      <c r="EC240" s="125"/>
      <c r="ED240" s="176"/>
      <c r="EE240" s="176"/>
      <c r="EF240" s="177" t="s">
        <v>12</v>
      </c>
      <c r="EG240" s="178"/>
      <c r="EH240" s="177">
        <v>0</v>
      </c>
      <c r="EI240" s="178"/>
      <c r="EK240" s="151"/>
      <c r="EL240" s="144"/>
      <c r="EM240" s="180"/>
      <c r="EO240" s="125"/>
      <c r="EP240" s="176"/>
      <c r="EQ240" s="126"/>
      <c r="ER240" s="177" t="s">
        <v>12</v>
      </c>
      <c r="ES240" s="178"/>
      <c r="ET240" s="156">
        <f t="shared" si="18"/>
        <v>0</v>
      </c>
      <c r="EU240" s="157"/>
      <c r="EW240" s="123"/>
      <c r="EX240" s="237"/>
      <c r="EY240" s="237"/>
    </row>
    <row r="241" spans="1:155" ht="17.100000000000001" customHeight="1" thickBot="1" x14ac:dyDescent="0.25">
      <c r="A241" s="158" t="s">
        <v>13</v>
      </c>
      <c r="B241" s="111" t="s">
        <v>14</v>
      </c>
      <c r="C241" s="174"/>
      <c r="D241" s="155" t="s">
        <v>29</v>
      </c>
      <c r="E241" s="141"/>
      <c r="F241" s="155">
        <v>0</v>
      </c>
      <c r="G241" s="141"/>
      <c r="I241" s="102" t="s">
        <v>15</v>
      </c>
      <c r="J241" s="143" t="s">
        <v>7</v>
      </c>
      <c r="K241" s="165">
        <v>0</v>
      </c>
      <c r="M241" s="158" t="s">
        <v>13</v>
      </c>
      <c r="N241" s="111" t="s">
        <v>14</v>
      </c>
      <c r="O241" s="174"/>
      <c r="P241" s="155" t="s">
        <v>29</v>
      </c>
      <c r="Q241" s="141"/>
      <c r="R241" s="155">
        <v>0</v>
      </c>
      <c r="S241" s="141"/>
      <c r="U241" s="102" t="s">
        <v>15</v>
      </c>
      <c r="V241" s="143" t="s">
        <v>7</v>
      </c>
      <c r="W241" s="165">
        <v>0</v>
      </c>
      <c r="Y241" s="158" t="s">
        <v>13</v>
      </c>
      <c r="Z241" s="111" t="s">
        <v>14</v>
      </c>
      <c r="AA241" s="174"/>
      <c r="AB241" s="155" t="s">
        <v>29</v>
      </c>
      <c r="AC241" s="141"/>
      <c r="AD241" s="155">
        <v>0</v>
      </c>
      <c r="AE241" s="141"/>
      <c r="AG241" s="102" t="s">
        <v>15</v>
      </c>
      <c r="AH241" s="143" t="s">
        <v>7</v>
      </c>
      <c r="AI241" s="165">
        <v>0</v>
      </c>
      <c r="AK241" s="158" t="s">
        <v>13</v>
      </c>
      <c r="AL241" s="111" t="s">
        <v>14</v>
      </c>
      <c r="AM241" s="174"/>
      <c r="AN241" s="155" t="s">
        <v>29</v>
      </c>
      <c r="AO241" s="141"/>
      <c r="AP241" s="155">
        <v>0</v>
      </c>
      <c r="AQ241" s="141"/>
      <c r="AS241" s="102" t="s">
        <v>15</v>
      </c>
      <c r="AT241" s="143" t="s">
        <v>7</v>
      </c>
      <c r="AU241" s="165">
        <v>0</v>
      </c>
      <c r="AW241" s="158" t="s">
        <v>13</v>
      </c>
      <c r="AX241" s="111" t="s">
        <v>14</v>
      </c>
      <c r="AY241" s="174"/>
      <c r="AZ241" s="155" t="s">
        <v>29</v>
      </c>
      <c r="BA241" s="141"/>
      <c r="BB241" s="155">
        <v>0</v>
      </c>
      <c r="BC241" s="141"/>
      <c r="BE241" s="102" t="s">
        <v>15</v>
      </c>
      <c r="BF241" s="143" t="s">
        <v>7</v>
      </c>
      <c r="BG241" s="165">
        <v>0</v>
      </c>
      <c r="BI241" s="158" t="s">
        <v>13</v>
      </c>
      <c r="BJ241" s="111" t="s">
        <v>14</v>
      </c>
      <c r="BK241" s="174"/>
      <c r="BL241" s="155" t="s">
        <v>29</v>
      </c>
      <c r="BM241" s="141"/>
      <c r="BN241" s="155">
        <v>0</v>
      </c>
      <c r="BO241" s="141"/>
      <c r="BQ241" s="102" t="s">
        <v>15</v>
      </c>
      <c r="BR241" s="143" t="s">
        <v>7</v>
      </c>
      <c r="BS241" s="165">
        <v>0</v>
      </c>
      <c r="BU241" s="158" t="s">
        <v>13</v>
      </c>
      <c r="BV241" s="111" t="s">
        <v>14</v>
      </c>
      <c r="BW241" s="174"/>
      <c r="BX241" s="155" t="s">
        <v>29</v>
      </c>
      <c r="BY241" s="141"/>
      <c r="BZ241" s="155">
        <v>0</v>
      </c>
      <c r="CA241" s="141"/>
      <c r="CC241" s="102" t="s">
        <v>15</v>
      </c>
      <c r="CD241" s="143" t="s">
        <v>7</v>
      </c>
      <c r="CE241" s="165">
        <v>0</v>
      </c>
      <c r="CG241" s="158" t="s">
        <v>13</v>
      </c>
      <c r="CH241" s="111" t="s">
        <v>14</v>
      </c>
      <c r="CI241" s="174"/>
      <c r="CJ241" s="155" t="s">
        <v>29</v>
      </c>
      <c r="CK241" s="141"/>
      <c r="CL241" s="155">
        <v>0</v>
      </c>
      <c r="CM241" s="141"/>
      <c r="CO241" s="102" t="s">
        <v>15</v>
      </c>
      <c r="CP241" s="143" t="s">
        <v>7</v>
      </c>
      <c r="CQ241" s="165">
        <v>0</v>
      </c>
      <c r="CS241" s="158" t="s">
        <v>13</v>
      </c>
      <c r="CT241" s="111" t="s">
        <v>14</v>
      </c>
      <c r="CU241" s="174"/>
      <c r="CV241" s="155" t="s">
        <v>29</v>
      </c>
      <c r="CW241" s="141"/>
      <c r="CX241" s="155">
        <v>0</v>
      </c>
      <c r="CY241" s="141"/>
      <c r="DA241" s="102" t="s">
        <v>15</v>
      </c>
      <c r="DB241" s="143" t="s">
        <v>7</v>
      </c>
      <c r="DC241" s="165">
        <v>0</v>
      </c>
      <c r="DD241" s="2"/>
      <c r="DE241" s="158" t="s">
        <v>13</v>
      </c>
      <c r="DF241" s="111" t="s">
        <v>14</v>
      </c>
      <c r="DG241" s="174"/>
      <c r="DH241" s="155" t="s">
        <v>29</v>
      </c>
      <c r="DI241" s="141"/>
      <c r="DJ241" s="155">
        <v>0</v>
      </c>
      <c r="DK241" s="141"/>
      <c r="DM241" s="102" t="s">
        <v>15</v>
      </c>
      <c r="DN241" s="143" t="s">
        <v>7</v>
      </c>
      <c r="DO241" s="165">
        <v>0</v>
      </c>
      <c r="DP241" s="2"/>
      <c r="DQ241" s="158" t="s">
        <v>13</v>
      </c>
      <c r="DR241" s="111" t="s">
        <v>14</v>
      </c>
      <c r="DS241" s="174"/>
      <c r="DT241" s="155" t="s">
        <v>29</v>
      </c>
      <c r="DU241" s="141"/>
      <c r="DV241" s="155">
        <v>0</v>
      </c>
      <c r="DW241" s="141"/>
      <c r="DY241" s="102" t="s">
        <v>15</v>
      </c>
      <c r="DZ241" s="143" t="s">
        <v>7</v>
      </c>
      <c r="EA241" s="165">
        <v>0</v>
      </c>
      <c r="EC241" s="158" t="s">
        <v>13</v>
      </c>
      <c r="ED241" s="111" t="s">
        <v>14</v>
      </c>
      <c r="EE241" s="174"/>
      <c r="EF241" s="155" t="s">
        <v>29</v>
      </c>
      <c r="EG241" s="141"/>
      <c r="EH241" s="155">
        <v>0</v>
      </c>
      <c r="EI241" s="141"/>
      <c r="EK241" s="102" t="s">
        <v>15</v>
      </c>
      <c r="EL241" s="143" t="s">
        <v>7</v>
      </c>
      <c r="EM241" s="165">
        <v>0</v>
      </c>
      <c r="EO241" s="232" t="s">
        <v>13</v>
      </c>
      <c r="EP241" s="111" t="s">
        <v>14</v>
      </c>
      <c r="EQ241" s="124"/>
      <c r="ER241" s="155" t="s">
        <v>29</v>
      </c>
      <c r="ES241" s="141"/>
      <c r="ET241" s="156">
        <f t="shared" si="18"/>
        <v>0</v>
      </c>
      <c r="EU241" s="157"/>
      <c r="EW241" s="121" t="s">
        <v>15</v>
      </c>
      <c r="EX241" s="229" t="s">
        <v>7</v>
      </c>
      <c r="EY241" s="229">
        <f>K241+W241+AI241+AU241+BG241+BS241+CE241+CQ241+DC241+DO241+EA241+EM241</f>
        <v>0</v>
      </c>
    </row>
    <row r="242" spans="1:155" ht="17.100000000000001" customHeight="1" thickBot="1" x14ac:dyDescent="0.25">
      <c r="A242" s="159"/>
      <c r="B242" s="113"/>
      <c r="C242" s="175"/>
      <c r="D242" s="154" t="s">
        <v>16</v>
      </c>
      <c r="E242" s="142"/>
      <c r="F242" s="154">
        <v>0</v>
      </c>
      <c r="G242" s="142"/>
      <c r="I242" s="103"/>
      <c r="J242" s="140"/>
      <c r="K242" s="166"/>
      <c r="M242" s="159"/>
      <c r="N242" s="113"/>
      <c r="O242" s="175"/>
      <c r="P242" s="154" t="s">
        <v>16</v>
      </c>
      <c r="Q242" s="142"/>
      <c r="R242" s="154">
        <v>0</v>
      </c>
      <c r="S242" s="142"/>
      <c r="U242" s="103"/>
      <c r="V242" s="140"/>
      <c r="W242" s="166"/>
      <c r="Y242" s="159"/>
      <c r="Z242" s="113"/>
      <c r="AA242" s="175"/>
      <c r="AB242" s="154" t="s">
        <v>16</v>
      </c>
      <c r="AC242" s="142"/>
      <c r="AD242" s="154">
        <v>0</v>
      </c>
      <c r="AE242" s="142"/>
      <c r="AG242" s="103"/>
      <c r="AH242" s="140"/>
      <c r="AI242" s="166"/>
      <c r="AK242" s="159"/>
      <c r="AL242" s="113"/>
      <c r="AM242" s="175"/>
      <c r="AN242" s="154" t="s">
        <v>16</v>
      </c>
      <c r="AO242" s="142"/>
      <c r="AP242" s="154">
        <v>0</v>
      </c>
      <c r="AQ242" s="142"/>
      <c r="AS242" s="103"/>
      <c r="AT242" s="140"/>
      <c r="AU242" s="166"/>
      <c r="AW242" s="159"/>
      <c r="AX242" s="113"/>
      <c r="AY242" s="175"/>
      <c r="AZ242" s="154" t="s">
        <v>16</v>
      </c>
      <c r="BA242" s="142"/>
      <c r="BB242" s="154">
        <v>0</v>
      </c>
      <c r="BC242" s="142"/>
      <c r="BE242" s="103"/>
      <c r="BF242" s="140"/>
      <c r="BG242" s="166"/>
      <c r="BI242" s="159"/>
      <c r="BJ242" s="113"/>
      <c r="BK242" s="175"/>
      <c r="BL242" s="154" t="s">
        <v>16</v>
      </c>
      <c r="BM242" s="142"/>
      <c r="BN242" s="154">
        <v>0</v>
      </c>
      <c r="BO242" s="142"/>
      <c r="BQ242" s="103"/>
      <c r="BR242" s="140"/>
      <c r="BS242" s="166"/>
      <c r="BU242" s="159"/>
      <c r="BV242" s="113"/>
      <c r="BW242" s="175"/>
      <c r="BX242" s="154" t="s">
        <v>16</v>
      </c>
      <c r="BY242" s="142"/>
      <c r="BZ242" s="154">
        <v>0</v>
      </c>
      <c r="CA242" s="142"/>
      <c r="CC242" s="103"/>
      <c r="CD242" s="140"/>
      <c r="CE242" s="166"/>
      <c r="CG242" s="159"/>
      <c r="CH242" s="113"/>
      <c r="CI242" s="175"/>
      <c r="CJ242" s="154" t="s">
        <v>16</v>
      </c>
      <c r="CK242" s="142"/>
      <c r="CL242" s="154">
        <v>0</v>
      </c>
      <c r="CM242" s="142"/>
      <c r="CO242" s="103"/>
      <c r="CP242" s="140"/>
      <c r="CQ242" s="166"/>
      <c r="CS242" s="159"/>
      <c r="CT242" s="113"/>
      <c r="CU242" s="175"/>
      <c r="CV242" s="154" t="s">
        <v>16</v>
      </c>
      <c r="CW242" s="142"/>
      <c r="CX242" s="154">
        <v>0</v>
      </c>
      <c r="CY242" s="142"/>
      <c r="DA242" s="103"/>
      <c r="DB242" s="140"/>
      <c r="DC242" s="166"/>
      <c r="DD242" s="2"/>
      <c r="DE242" s="159"/>
      <c r="DF242" s="113"/>
      <c r="DG242" s="175"/>
      <c r="DH242" s="154" t="s">
        <v>16</v>
      </c>
      <c r="DI242" s="142"/>
      <c r="DJ242" s="154">
        <v>0</v>
      </c>
      <c r="DK242" s="142"/>
      <c r="DM242" s="103"/>
      <c r="DN242" s="140"/>
      <c r="DO242" s="166"/>
      <c r="DP242" s="2"/>
      <c r="DQ242" s="159"/>
      <c r="DR242" s="113"/>
      <c r="DS242" s="175"/>
      <c r="DT242" s="154" t="s">
        <v>16</v>
      </c>
      <c r="DU242" s="142"/>
      <c r="DV242" s="154">
        <v>0</v>
      </c>
      <c r="DW242" s="142"/>
      <c r="DY242" s="103"/>
      <c r="DZ242" s="140"/>
      <c r="EA242" s="166"/>
      <c r="EC242" s="159"/>
      <c r="ED242" s="113"/>
      <c r="EE242" s="175"/>
      <c r="EF242" s="154" t="s">
        <v>16</v>
      </c>
      <c r="EG242" s="142"/>
      <c r="EH242" s="154">
        <v>0</v>
      </c>
      <c r="EI242" s="142"/>
      <c r="EK242" s="103"/>
      <c r="EL242" s="140"/>
      <c r="EM242" s="166"/>
      <c r="EO242" s="233"/>
      <c r="EP242" s="113"/>
      <c r="EQ242" s="112"/>
      <c r="ER242" s="154" t="s">
        <v>16</v>
      </c>
      <c r="ES242" s="142"/>
      <c r="ET242" s="156">
        <f t="shared" si="18"/>
        <v>0</v>
      </c>
      <c r="EU242" s="157"/>
      <c r="EW242" s="122"/>
      <c r="EX242" s="139"/>
      <c r="EY242" s="237"/>
    </row>
    <row r="243" spans="1:155" ht="17.100000000000001" customHeight="1" thickBot="1" x14ac:dyDescent="0.25">
      <c r="A243" s="159"/>
      <c r="B243" s="125"/>
      <c r="C243" s="176"/>
      <c r="D243" s="177" t="s">
        <v>17</v>
      </c>
      <c r="E243" s="178"/>
      <c r="F243" s="177">
        <v>0</v>
      </c>
      <c r="G243" s="178"/>
      <c r="I243" s="103"/>
      <c r="J243" s="140" t="s">
        <v>11</v>
      </c>
      <c r="K243" s="166">
        <v>0</v>
      </c>
      <c r="M243" s="159"/>
      <c r="N243" s="125"/>
      <c r="O243" s="176"/>
      <c r="P243" s="177" t="s">
        <v>17</v>
      </c>
      <c r="Q243" s="178"/>
      <c r="R243" s="177">
        <v>0</v>
      </c>
      <c r="S243" s="178"/>
      <c r="U243" s="103"/>
      <c r="V243" s="140" t="s">
        <v>11</v>
      </c>
      <c r="W243" s="166">
        <v>0</v>
      </c>
      <c r="Y243" s="159"/>
      <c r="Z243" s="125"/>
      <c r="AA243" s="176"/>
      <c r="AB243" s="177" t="s">
        <v>17</v>
      </c>
      <c r="AC243" s="178"/>
      <c r="AD243" s="177">
        <v>0</v>
      </c>
      <c r="AE243" s="178"/>
      <c r="AG243" s="103"/>
      <c r="AH243" s="140" t="s">
        <v>11</v>
      </c>
      <c r="AI243" s="166">
        <v>0</v>
      </c>
      <c r="AK243" s="159"/>
      <c r="AL243" s="125"/>
      <c r="AM243" s="176"/>
      <c r="AN243" s="177" t="s">
        <v>17</v>
      </c>
      <c r="AO243" s="178"/>
      <c r="AP243" s="177">
        <v>0</v>
      </c>
      <c r="AQ243" s="178"/>
      <c r="AS243" s="103"/>
      <c r="AT243" s="140" t="s">
        <v>11</v>
      </c>
      <c r="AU243" s="166">
        <v>0</v>
      </c>
      <c r="AW243" s="159"/>
      <c r="AX243" s="125"/>
      <c r="AY243" s="176"/>
      <c r="AZ243" s="177" t="s">
        <v>17</v>
      </c>
      <c r="BA243" s="178"/>
      <c r="BB243" s="177">
        <v>0</v>
      </c>
      <c r="BC243" s="178"/>
      <c r="BE243" s="103"/>
      <c r="BF243" s="140" t="s">
        <v>11</v>
      </c>
      <c r="BG243" s="166">
        <v>0</v>
      </c>
      <c r="BI243" s="159"/>
      <c r="BJ243" s="125"/>
      <c r="BK243" s="176"/>
      <c r="BL243" s="177" t="s">
        <v>17</v>
      </c>
      <c r="BM243" s="178"/>
      <c r="BN243" s="177">
        <v>0</v>
      </c>
      <c r="BO243" s="178"/>
      <c r="BQ243" s="103"/>
      <c r="BR243" s="140" t="s">
        <v>11</v>
      </c>
      <c r="BS243" s="166">
        <v>0</v>
      </c>
      <c r="BU243" s="159"/>
      <c r="BV243" s="125"/>
      <c r="BW243" s="176"/>
      <c r="BX243" s="177" t="s">
        <v>17</v>
      </c>
      <c r="BY243" s="178"/>
      <c r="BZ243" s="177">
        <v>0</v>
      </c>
      <c r="CA243" s="178"/>
      <c r="CC243" s="103"/>
      <c r="CD243" s="140" t="s">
        <v>11</v>
      </c>
      <c r="CE243" s="166">
        <v>0</v>
      </c>
      <c r="CG243" s="159"/>
      <c r="CH243" s="125"/>
      <c r="CI243" s="176"/>
      <c r="CJ243" s="177" t="s">
        <v>17</v>
      </c>
      <c r="CK243" s="178"/>
      <c r="CL243" s="177">
        <v>0</v>
      </c>
      <c r="CM243" s="178"/>
      <c r="CO243" s="103"/>
      <c r="CP243" s="140" t="s">
        <v>11</v>
      </c>
      <c r="CQ243" s="166">
        <v>0</v>
      </c>
      <c r="CS243" s="159"/>
      <c r="CT243" s="125"/>
      <c r="CU243" s="176"/>
      <c r="CV243" s="177" t="s">
        <v>17</v>
      </c>
      <c r="CW243" s="178"/>
      <c r="CX243" s="177">
        <v>0</v>
      </c>
      <c r="CY243" s="178"/>
      <c r="DA243" s="103"/>
      <c r="DB243" s="140" t="s">
        <v>11</v>
      </c>
      <c r="DC243" s="166">
        <v>0</v>
      </c>
      <c r="DD243" s="2"/>
      <c r="DE243" s="159"/>
      <c r="DF243" s="125"/>
      <c r="DG243" s="176"/>
      <c r="DH243" s="177" t="s">
        <v>17</v>
      </c>
      <c r="DI243" s="178"/>
      <c r="DJ243" s="177">
        <v>0</v>
      </c>
      <c r="DK243" s="178"/>
      <c r="DM243" s="103"/>
      <c r="DN243" s="140" t="s">
        <v>11</v>
      </c>
      <c r="DO243" s="166">
        <v>0</v>
      </c>
      <c r="DP243" s="2"/>
      <c r="DQ243" s="159"/>
      <c r="DR243" s="125"/>
      <c r="DS243" s="176"/>
      <c r="DT243" s="177" t="s">
        <v>17</v>
      </c>
      <c r="DU243" s="178"/>
      <c r="DV243" s="177">
        <v>0</v>
      </c>
      <c r="DW243" s="178"/>
      <c r="DY243" s="103"/>
      <c r="DZ243" s="140" t="s">
        <v>11</v>
      </c>
      <c r="EA243" s="166">
        <v>0</v>
      </c>
      <c r="EC243" s="159"/>
      <c r="ED243" s="125"/>
      <c r="EE243" s="176"/>
      <c r="EF243" s="177" t="s">
        <v>17</v>
      </c>
      <c r="EG243" s="178"/>
      <c r="EH243" s="177">
        <v>0</v>
      </c>
      <c r="EI243" s="178"/>
      <c r="EK243" s="103"/>
      <c r="EL243" s="140" t="s">
        <v>11</v>
      </c>
      <c r="EM243" s="166">
        <v>0</v>
      </c>
      <c r="EO243" s="233"/>
      <c r="EP243" s="125"/>
      <c r="EQ243" s="126"/>
      <c r="ER243" s="177" t="s">
        <v>17</v>
      </c>
      <c r="ES243" s="178"/>
      <c r="ET243" s="156">
        <f t="shared" si="18"/>
        <v>0</v>
      </c>
      <c r="EU243" s="157"/>
      <c r="EW243" s="122"/>
      <c r="EX243" s="238" t="s">
        <v>11</v>
      </c>
      <c r="EY243" s="229">
        <f>K243+W243+AI243+AU243+BG243+BS243+CE243+CQ243+DC243+DO243+EA243+EM243</f>
        <v>0</v>
      </c>
    </row>
    <row r="244" spans="1:155" ht="17.100000000000001" customHeight="1" thickBot="1" x14ac:dyDescent="0.25">
      <c r="A244" s="159"/>
      <c r="B244" s="111" t="s">
        <v>18</v>
      </c>
      <c r="C244" s="174"/>
      <c r="D244" s="155" t="s">
        <v>19</v>
      </c>
      <c r="E244" s="141"/>
      <c r="F244" s="155">
        <v>0</v>
      </c>
      <c r="G244" s="141"/>
      <c r="I244" s="103"/>
      <c r="J244" s="144"/>
      <c r="K244" s="180"/>
      <c r="M244" s="159"/>
      <c r="N244" s="111" t="s">
        <v>18</v>
      </c>
      <c r="O244" s="174"/>
      <c r="P244" s="155" t="s">
        <v>19</v>
      </c>
      <c r="Q244" s="141"/>
      <c r="R244" s="155">
        <v>0</v>
      </c>
      <c r="S244" s="141"/>
      <c r="U244" s="103"/>
      <c r="V244" s="144"/>
      <c r="W244" s="180"/>
      <c r="Y244" s="159"/>
      <c r="Z244" s="111" t="s">
        <v>18</v>
      </c>
      <c r="AA244" s="174"/>
      <c r="AB244" s="155" t="s">
        <v>19</v>
      </c>
      <c r="AC244" s="141"/>
      <c r="AD244" s="155">
        <v>0</v>
      </c>
      <c r="AE244" s="141"/>
      <c r="AG244" s="103"/>
      <c r="AH244" s="144"/>
      <c r="AI244" s="180"/>
      <c r="AK244" s="159"/>
      <c r="AL244" s="111" t="s">
        <v>18</v>
      </c>
      <c r="AM244" s="174"/>
      <c r="AN244" s="155" t="s">
        <v>19</v>
      </c>
      <c r="AO244" s="141"/>
      <c r="AP244" s="155">
        <v>0</v>
      </c>
      <c r="AQ244" s="141"/>
      <c r="AS244" s="103"/>
      <c r="AT244" s="144"/>
      <c r="AU244" s="180"/>
      <c r="AW244" s="159"/>
      <c r="AX244" s="111" t="s">
        <v>18</v>
      </c>
      <c r="AY244" s="174"/>
      <c r="AZ244" s="155" t="s">
        <v>19</v>
      </c>
      <c r="BA244" s="141"/>
      <c r="BB244" s="155">
        <v>0</v>
      </c>
      <c r="BC244" s="141"/>
      <c r="BE244" s="103"/>
      <c r="BF244" s="144"/>
      <c r="BG244" s="180"/>
      <c r="BI244" s="159"/>
      <c r="BJ244" s="111" t="s">
        <v>18</v>
      </c>
      <c r="BK244" s="174"/>
      <c r="BL244" s="155" t="s">
        <v>19</v>
      </c>
      <c r="BM244" s="141"/>
      <c r="BN244" s="155">
        <v>0</v>
      </c>
      <c r="BO244" s="141"/>
      <c r="BQ244" s="103"/>
      <c r="BR244" s="144"/>
      <c r="BS244" s="180"/>
      <c r="BU244" s="159"/>
      <c r="BV244" s="111" t="s">
        <v>18</v>
      </c>
      <c r="BW244" s="174"/>
      <c r="BX244" s="155" t="s">
        <v>19</v>
      </c>
      <c r="BY244" s="141"/>
      <c r="BZ244" s="155">
        <v>0</v>
      </c>
      <c r="CA244" s="141"/>
      <c r="CC244" s="103"/>
      <c r="CD244" s="144"/>
      <c r="CE244" s="180"/>
      <c r="CG244" s="159"/>
      <c r="CH244" s="111" t="s">
        <v>18</v>
      </c>
      <c r="CI244" s="174"/>
      <c r="CJ244" s="155" t="s">
        <v>19</v>
      </c>
      <c r="CK244" s="141"/>
      <c r="CL244" s="155">
        <v>0</v>
      </c>
      <c r="CM244" s="141"/>
      <c r="CO244" s="103"/>
      <c r="CP244" s="144"/>
      <c r="CQ244" s="180"/>
      <c r="CS244" s="159"/>
      <c r="CT244" s="111" t="s">
        <v>18</v>
      </c>
      <c r="CU244" s="174"/>
      <c r="CV244" s="155" t="s">
        <v>19</v>
      </c>
      <c r="CW244" s="141"/>
      <c r="CX244" s="155">
        <v>0</v>
      </c>
      <c r="CY244" s="141"/>
      <c r="DA244" s="103"/>
      <c r="DB244" s="144"/>
      <c r="DC244" s="180"/>
      <c r="DD244" s="2"/>
      <c r="DE244" s="159"/>
      <c r="DF244" s="111" t="s">
        <v>18</v>
      </c>
      <c r="DG244" s="174"/>
      <c r="DH244" s="155" t="s">
        <v>19</v>
      </c>
      <c r="DI244" s="141"/>
      <c r="DJ244" s="155">
        <v>0</v>
      </c>
      <c r="DK244" s="141"/>
      <c r="DM244" s="103"/>
      <c r="DN244" s="144"/>
      <c r="DO244" s="180"/>
      <c r="DP244" s="2"/>
      <c r="DQ244" s="159"/>
      <c r="DR244" s="111" t="s">
        <v>18</v>
      </c>
      <c r="DS244" s="174"/>
      <c r="DT244" s="155" t="s">
        <v>19</v>
      </c>
      <c r="DU244" s="141"/>
      <c r="DV244" s="155">
        <v>0</v>
      </c>
      <c r="DW244" s="141"/>
      <c r="DY244" s="103"/>
      <c r="DZ244" s="144"/>
      <c r="EA244" s="180"/>
      <c r="EC244" s="159"/>
      <c r="ED244" s="111" t="s">
        <v>18</v>
      </c>
      <c r="EE244" s="174"/>
      <c r="EF244" s="155" t="s">
        <v>19</v>
      </c>
      <c r="EG244" s="141"/>
      <c r="EH244" s="155">
        <v>0</v>
      </c>
      <c r="EI244" s="141"/>
      <c r="EK244" s="103"/>
      <c r="EL244" s="144"/>
      <c r="EM244" s="180"/>
      <c r="EO244" s="233"/>
      <c r="EP244" s="111" t="s">
        <v>18</v>
      </c>
      <c r="EQ244" s="124"/>
      <c r="ER244" s="155" t="s">
        <v>19</v>
      </c>
      <c r="ES244" s="141"/>
      <c r="ET244" s="156">
        <f t="shared" si="18"/>
        <v>0</v>
      </c>
      <c r="EU244" s="157"/>
      <c r="EW244" s="123"/>
      <c r="EX244" s="237"/>
      <c r="EY244" s="139"/>
    </row>
    <row r="245" spans="1:155" ht="17.100000000000001" customHeight="1" thickBot="1" x14ac:dyDescent="0.25">
      <c r="A245" s="159"/>
      <c r="B245" s="125"/>
      <c r="C245" s="176"/>
      <c r="D245" s="177" t="s">
        <v>20</v>
      </c>
      <c r="E245" s="178"/>
      <c r="F245" s="177">
        <v>0</v>
      </c>
      <c r="G245" s="178"/>
      <c r="I245" s="167" t="s">
        <v>21</v>
      </c>
      <c r="J245" s="168"/>
      <c r="K245" s="172">
        <f>SUM(K237:K244)</f>
        <v>0</v>
      </c>
      <c r="M245" s="159"/>
      <c r="N245" s="125"/>
      <c r="O245" s="176"/>
      <c r="P245" s="177" t="s">
        <v>20</v>
      </c>
      <c r="Q245" s="178"/>
      <c r="R245" s="177">
        <v>0</v>
      </c>
      <c r="S245" s="178"/>
      <c r="U245" s="167" t="s">
        <v>21</v>
      </c>
      <c r="V245" s="168"/>
      <c r="W245" s="172">
        <f>SUM(W237:W244)</f>
        <v>0</v>
      </c>
      <c r="Y245" s="159"/>
      <c r="Z245" s="125"/>
      <c r="AA245" s="176"/>
      <c r="AB245" s="177" t="s">
        <v>20</v>
      </c>
      <c r="AC245" s="178"/>
      <c r="AD245" s="177">
        <v>0</v>
      </c>
      <c r="AE245" s="178"/>
      <c r="AG245" s="167" t="s">
        <v>21</v>
      </c>
      <c r="AH245" s="168"/>
      <c r="AI245" s="172">
        <f>SUM(AI237:AI244)</f>
        <v>0</v>
      </c>
      <c r="AK245" s="159"/>
      <c r="AL245" s="125"/>
      <c r="AM245" s="176"/>
      <c r="AN245" s="177" t="s">
        <v>20</v>
      </c>
      <c r="AO245" s="178"/>
      <c r="AP245" s="177">
        <v>0</v>
      </c>
      <c r="AQ245" s="178"/>
      <c r="AS245" s="167" t="s">
        <v>21</v>
      </c>
      <c r="AT245" s="168"/>
      <c r="AU245" s="172">
        <f>SUM(AU237:AU244)</f>
        <v>0</v>
      </c>
      <c r="AW245" s="159"/>
      <c r="AX245" s="125"/>
      <c r="AY245" s="176"/>
      <c r="AZ245" s="177" t="s">
        <v>20</v>
      </c>
      <c r="BA245" s="178"/>
      <c r="BB245" s="177">
        <v>0</v>
      </c>
      <c r="BC245" s="178"/>
      <c r="BE245" s="167" t="s">
        <v>21</v>
      </c>
      <c r="BF245" s="168"/>
      <c r="BG245" s="172">
        <f>SUM(BG237:BG244)</f>
        <v>0</v>
      </c>
      <c r="BI245" s="159"/>
      <c r="BJ245" s="125"/>
      <c r="BK245" s="176"/>
      <c r="BL245" s="177" t="s">
        <v>20</v>
      </c>
      <c r="BM245" s="178"/>
      <c r="BN245" s="177">
        <v>0</v>
      </c>
      <c r="BO245" s="178"/>
      <c r="BQ245" s="167" t="s">
        <v>21</v>
      </c>
      <c r="BR245" s="168"/>
      <c r="BS245" s="172">
        <f>SUM(BS237:BS244)</f>
        <v>0</v>
      </c>
      <c r="BU245" s="159"/>
      <c r="BV245" s="125"/>
      <c r="BW245" s="176"/>
      <c r="BX245" s="177" t="s">
        <v>20</v>
      </c>
      <c r="BY245" s="178"/>
      <c r="BZ245" s="177">
        <v>0</v>
      </c>
      <c r="CA245" s="178"/>
      <c r="CC245" s="167" t="s">
        <v>21</v>
      </c>
      <c r="CD245" s="168"/>
      <c r="CE245" s="172">
        <f>SUM(CE237:CE244)</f>
        <v>0</v>
      </c>
      <c r="CG245" s="159"/>
      <c r="CH245" s="125"/>
      <c r="CI245" s="176"/>
      <c r="CJ245" s="177" t="s">
        <v>20</v>
      </c>
      <c r="CK245" s="178"/>
      <c r="CL245" s="177">
        <v>0</v>
      </c>
      <c r="CM245" s="178"/>
      <c r="CO245" s="167" t="s">
        <v>21</v>
      </c>
      <c r="CP245" s="168"/>
      <c r="CQ245" s="172">
        <f>SUM(CQ237:CQ244)</f>
        <v>0</v>
      </c>
      <c r="CS245" s="159"/>
      <c r="CT245" s="125"/>
      <c r="CU245" s="176"/>
      <c r="CV245" s="177" t="s">
        <v>20</v>
      </c>
      <c r="CW245" s="178"/>
      <c r="CX245" s="177">
        <v>0</v>
      </c>
      <c r="CY245" s="178"/>
      <c r="DA245" s="167" t="s">
        <v>21</v>
      </c>
      <c r="DB245" s="168"/>
      <c r="DC245" s="172">
        <f>SUM(DC237:DC244)</f>
        <v>0</v>
      </c>
      <c r="DD245" s="2"/>
      <c r="DE245" s="159"/>
      <c r="DF245" s="125"/>
      <c r="DG245" s="176"/>
      <c r="DH245" s="177" t="s">
        <v>20</v>
      </c>
      <c r="DI245" s="178"/>
      <c r="DJ245" s="177">
        <v>0</v>
      </c>
      <c r="DK245" s="178"/>
      <c r="DM245" s="167" t="s">
        <v>21</v>
      </c>
      <c r="DN245" s="168"/>
      <c r="DO245" s="172">
        <f>SUM(DO237:DO244)</f>
        <v>0</v>
      </c>
      <c r="DP245" s="2"/>
      <c r="DQ245" s="159"/>
      <c r="DR245" s="125"/>
      <c r="DS245" s="176"/>
      <c r="DT245" s="177" t="s">
        <v>20</v>
      </c>
      <c r="DU245" s="178"/>
      <c r="DV245" s="177">
        <v>0</v>
      </c>
      <c r="DW245" s="178"/>
      <c r="DY245" s="167" t="s">
        <v>21</v>
      </c>
      <c r="DZ245" s="168"/>
      <c r="EA245" s="172">
        <f>SUM(EA237:EA244)</f>
        <v>0</v>
      </c>
      <c r="EC245" s="159"/>
      <c r="ED245" s="125"/>
      <c r="EE245" s="176"/>
      <c r="EF245" s="177" t="s">
        <v>20</v>
      </c>
      <c r="EG245" s="178"/>
      <c r="EH245" s="177">
        <v>0</v>
      </c>
      <c r="EI245" s="178"/>
      <c r="EK245" s="167" t="s">
        <v>21</v>
      </c>
      <c r="EL245" s="168"/>
      <c r="EM245" s="172">
        <f>SUM(EM237:EM244)</f>
        <v>0</v>
      </c>
      <c r="EO245" s="233"/>
      <c r="EP245" s="125"/>
      <c r="EQ245" s="126"/>
      <c r="ER245" s="177" t="s">
        <v>20</v>
      </c>
      <c r="ES245" s="178"/>
      <c r="ET245" s="156">
        <f t="shared" si="18"/>
        <v>0</v>
      </c>
      <c r="EU245" s="157"/>
      <c r="EW245" s="167" t="s">
        <v>21</v>
      </c>
      <c r="EX245" s="239"/>
      <c r="EY245" s="240">
        <f>SUM(EY237:EY244)</f>
        <v>0</v>
      </c>
    </row>
    <row r="246" spans="1:155" ht="17.100000000000001" customHeight="1" thickBot="1" x14ac:dyDescent="0.25">
      <c r="A246" s="159"/>
      <c r="B246" s="111" t="s">
        <v>22</v>
      </c>
      <c r="C246" s="174"/>
      <c r="D246" s="155" t="s">
        <v>23</v>
      </c>
      <c r="E246" s="141"/>
      <c r="F246" s="155">
        <v>0</v>
      </c>
      <c r="G246" s="141"/>
      <c r="I246" s="169"/>
      <c r="J246" s="168"/>
      <c r="K246" s="172"/>
      <c r="M246" s="159"/>
      <c r="N246" s="111" t="s">
        <v>22</v>
      </c>
      <c r="O246" s="174"/>
      <c r="P246" s="155" t="s">
        <v>23</v>
      </c>
      <c r="Q246" s="141"/>
      <c r="R246" s="155">
        <v>0</v>
      </c>
      <c r="S246" s="141"/>
      <c r="U246" s="169"/>
      <c r="V246" s="168"/>
      <c r="W246" s="172"/>
      <c r="Y246" s="159"/>
      <c r="Z246" s="111" t="s">
        <v>22</v>
      </c>
      <c r="AA246" s="174"/>
      <c r="AB246" s="155" t="s">
        <v>23</v>
      </c>
      <c r="AC246" s="141"/>
      <c r="AD246" s="155">
        <v>0</v>
      </c>
      <c r="AE246" s="141"/>
      <c r="AG246" s="169"/>
      <c r="AH246" s="168"/>
      <c r="AI246" s="172"/>
      <c r="AK246" s="159"/>
      <c r="AL246" s="111" t="s">
        <v>22</v>
      </c>
      <c r="AM246" s="174"/>
      <c r="AN246" s="155" t="s">
        <v>23</v>
      </c>
      <c r="AO246" s="141"/>
      <c r="AP246" s="155">
        <v>0</v>
      </c>
      <c r="AQ246" s="141"/>
      <c r="AS246" s="169"/>
      <c r="AT246" s="168"/>
      <c r="AU246" s="172"/>
      <c r="AW246" s="159"/>
      <c r="AX246" s="111" t="s">
        <v>22</v>
      </c>
      <c r="AY246" s="174"/>
      <c r="AZ246" s="155" t="s">
        <v>23</v>
      </c>
      <c r="BA246" s="141"/>
      <c r="BB246" s="155">
        <v>0</v>
      </c>
      <c r="BC246" s="141"/>
      <c r="BE246" s="169"/>
      <c r="BF246" s="168"/>
      <c r="BG246" s="172"/>
      <c r="BI246" s="159"/>
      <c r="BJ246" s="111" t="s">
        <v>22</v>
      </c>
      <c r="BK246" s="174"/>
      <c r="BL246" s="155" t="s">
        <v>23</v>
      </c>
      <c r="BM246" s="141"/>
      <c r="BN246" s="155">
        <v>0</v>
      </c>
      <c r="BO246" s="141"/>
      <c r="BQ246" s="169"/>
      <c r="BR246" s="168"/>
      <c r="BS246" s="172"/>
      <c r="BU246" s="159"/>
      <c r="BV246" s="111" t="s">
        <v>22</v>
      </c>
      <c r="BW246" s="174"/>
      <c r="BX246" s="155" t="s">
        <v>23</v>
      </c>
      <c r="BY246" s="141"/>
      <c r="BZ246" s="155">
        <v>0</v>
      </c>
      <c r="CA246" s="141"/>
      <c r="CC246" s="169"/>
      <c r="CD246" s="168"/>
      <c r="CE246" s="172"/>
      <c r="CG246" s="159"/>
      <c r="CH246" s="111" t="s">
        <v>22</v>
      </c>
      <c r="CI246" s="174"/>
      <c r="CJ246" s="155" t="s">
        <v>23</v>
      </c>
      <c r="CK246" s="141"/>
      <c r="CL246" s="155">
        <v>0</v>
      </c>
      <c r="CM246" s="141"/>
      <c r="CO246" s="169"/>
      <c r="CP246" s="168"/>
      <c r="CQ246" s="172"/>
      <c r="CS246" s="159"/>
      <c r="CT246" s="111" t="s">
        <v>22</v>
      </c>
      <c r="CU246" s="174"/>
      <c r="CV246" s="155" t="s">
        <v>23</v>
      </c>
      <c r="CW246" s="141"/>
      <c r="CX246" s="155">
        <v>0</v>
      </c>
      <c r="CY246" s="141"/>
      <c r="DA246" s="169"/>
      <c r="DB246" s="168"/>
      <c r="DC246" s="172"/>
      <c r="DD246" s="2"/>
      <c r="DE246" s="159"/>
      <c r="DF246" s="111" t="s">
        <v>22</v>
      </c>
      <c r="DG246" s="174"/>
      <c r="DH246" s="155" t="s">
        <v>23</v>
      </c>
      <c r="DI246" s="141"/>
      <c r="DJ246" s="155">
        <v>0</v>
      </c>
      <c r="DK246" s="141"/>
      <c r="DM246" s="169"/>
      <c r="DN246" s="168"/>
      <c r="DO246" s="172"/>
      <c r="DP246" s="2"/>
      <c r="DQ246" s="159"/>
      <c r="DR246" s="111" t="s">
        <v>22</v>
      </c>
      <c r="DS246" s="174"/>
      <c r="DT246" s="155" t="s">
        <v>23</v>
      </c>
      <c r="DU246" s="141"/>
      <c r="DV246" s="155">
        <v>0</v>
      </c>
      <c r="DW246" s="141"/>
      <c r="DY246" s="169"/>
      <c r="DZ246" s="168"/>
      <c r="EA246" s="172"/>
      <c r="EC246" s="159"/>
      <c r="ED246" s="111" t="s">
        <v>22</v>
      </c>
      <c r="EE246" s="174"/>
      <c r="EF246" s="155" t="s">
        <v>23</v>
      </c>
      <c r="EG246" s="141"/>
      <c r="EH246" s="155">
        <v>0</v>
      </c>
      <c r="EI246" s="141"/>
      <c r="EK246" s="169"/>
      <c r="EL246" s="168"/>
      <c r="EM246" s="172"/>
      <c r="EO246" s="233"/>
      <c r="EP246" s="111" t="s">
        <v>22</v>
      </c>
      <c r="EQ246" s="124"/>
      <c r="ER246" s="155" t="s">
        <v>23</v>
      </c>
      <c r="ES246" s="141"/>
      <c r="ET246" s="156">
        <f t="shared" si="18"/>
        <v>0</v>
      </c>
      <c r="EU246" s="157"/>
      <c r="EW246" s="169"/>
      <c r="EX246" s="168"/>
      <c r="EY246" s="172"/>
    </row>
    <row r="247" spans="1:155" ht="17.100000000000001" customHeight="1" thickBot="1" x14ac:dyDescent="0.25">
      <c r="A247" s="159"/>
      <c r="B247" s="113"/>
      <c r="C247" s="175"/>
      <c r="D247" s="154" t="s">
        <v>24</v>
      </c>
      <c r="E247" s="142"/>
      <c r="F247" s="154">
        <v>0</v>
      </c>
      <c r="G247" s="142"/>
      <c r="I247" s="170"/>
      <c r="J247" s="171"/>
      <c r="K247" s="173"/>
      <c r="M247" s="159"/>
      <c r="N247" s="113"/>
      <c r="O247" s="175"/>
      <c r="P247" s="154" t="s">
        <v>24</v>
      </c>
      <c r="Q247" s="142"/>
      <c r="R247" s="154">
        <v>0</v>
      </c>
      <c r="S247" s="142"/>
      <c r="U247" s="170"/>
      <c r="V247" s="171"/>
      <c r="W247" s="173"/>
      <c r="Y247" s="159"/>
      <c r="Z247" s="113"/>
      <c r="AA247" s="175"/>
      <c r="AB247" s="154" t="s">
        <v>24</v>
      </c>
      <c r="AC247" s="142"/>
      <c r="AD247" s="154">
        <v>0</v>
      </c>
      <c r="AE247" s="142"/>
      <c r="AG247" s="170"/>
      <c r="AH247" s="171"/>
      <c r="AI247" s="173"/>
      <c r="AK247" s="159"/>
      <c r="AL247" s="113"/>
      <c r="AM247" s="175"/>
      <c r="AN247" s="154" t="s">
        <v>24</v>
      </c>
      <c r="AO247" s="142"/>
      <c r="AP247" s="154">
        <v>0</v>
      </c>
      <c r="AQ247" s="142"/>
      <c r="AS247" s="170"/>
      <c r="AT247" s="171"/>
      <c r="AU247" s="173"/>
      <c r="AW247" s="159"/>
      <c r="AX247" s="113"/>
      <c r="AY247" s="175"/>
      <c r="AZ247" s="154" t="s">
        <v>24</v>
      </c>
      <c r="BA247" s="142"/>
      <c r="BB247" s="154">
        <v>0</v>
      </c>
      <c r="BC247" s="142"/>
      <c r="BE247" s="170"/>
      <c r="BF247" s="171"/>
      <c r="BG247" s="173"/>
      <c r="BI247" s="159"/>
      <c r="BJ247" s="113"/>
      <c r="BK247" s="175"/>
      <c r="BL247" s="154" t="s">
        <v>24</v>
      </c>
      <c r="BM247" s="142"/>
      <c r="BN247" s="154">
        <v>0</v>
      </c>
      <c r="BO247" s="142"/>
      <c r="BQ247" s="170"/>
      <c r="BR247" s="171"/>
      <c r="BS247" s="173"/>
      <c r="BU247" s="159"/>
      <c r="BV247" s="113"/>
      <c r="BW247" s="175"/>
      <c r="BX247" s="154" t="s">
        <v>24</v>
      </c>
      <c r="BY247" s="142"/>
      <c r="BZ247" s="154">
        <v>0</v>
      </c>
      <c r="CA247" s="142"/>
      <c r="CC247" s="170"/>
      <c r="CD247" s="171"/>
      <c r="CE247" s="173"/>
      <c r="CG247" s="159"/>
      <c r="CH247" s="113"/>
      <c r="CI247" s="175"/>
      <c r="CJ247" s="154" t="s">
        <v>24</v>
      </c>
      <c r="CK247" s="142"/>
      <c r="CL247" s="154">
        <v>0</v>
      </c>
      <c r="CM247" s="142"/>
      <c r="CO247" s="170"/>
      <c r="CP247" s="171"/>
      <c r="CQ247" s="173"/>
      <c r="CS247" s="159"/>
      <c r="CT247" s="113"/>
      <c r="CU247" s="175"/>
      <c r="CV247" s="154" t="s">
        <v>24</v>
      </c>
      <c r="CW247" s="142"/>
      <c r="CX247" s="154">
        <v>0</v>
      </c>
      <c r="CY247" s="142"/>
      <c r="DA247" s="170"/>
      <c r="DB247" s="171"/>
      <c r="DC247" s="173"/>
      <c r="DD247" s="2"/>
      <c r="DE247" s="159"/>
      <c r="DF247" s="113"/>
      <c r="DG247" s="175"/>
      <c r="DH247" s="154" t="s">
        <v>24</v>
      </c>
      <c r="DI247" s="142"/>
      <c r="DJ247" s="154">
        <v>0</v>
      </c>
      <c r="DK247" s="142"/>
      <c r="DM247" s="170"/>
      <c r="DN247" s="171"/>
      <c r="DO247" s="173"/>
      <c r="DP247" s="2"/>
      <c r="DQ247" s="159"/>
      <c r="DR247" s="113"/>
      <c r="DS247" s="175"/>
      <c r="DT247" s="154" t="s">
        <v>24</v>
      </c>
      <c r="DU247" s="142"/>
      <c r="DV247" s="154">
        <v>0</v>
      </c>
      <c r="DW247" s="142"/>
      <c r="DY247" s="170"/>
      <c r="DZ247" s="171"/>
      <c r="EA247" s="173"/>
      <c r="EC247" s="159"/>
      <c r="ED247" s="113"/>
      <c r="EE247" s="175"/>
      <c r="EF247" s="154" t="s">
        <v>24</v>
      </c>
      <c r="EG247" s="142"/>
      <c r="EH247" s="154">
        <v>0</v>
      </c>
      <c r="EI247" s="142"/>
      <c r="EK247" s="170"/>
      <c r="EL247" s="171"/>
      <c r="EM247" s="173"/>
      <c r="EO247" s="233"/>
      <c r="EP247" s="113"/>
      <c r="EQ247" s="112"/>
      <c r="ER247" s="154" t="s">
        <v>24</v>
      </c>
      <c r="ES247" s="142"/>
      <c r="ET247" s="156">
        <f t="shared" si="18"/>
        <v>0</v>
      </c>
      <c r="EU247" s="157"/>
      <c r="EW247" s="170"/>
      <c r="EX247" s="171"/>
      <c r="EY247" s="173"/>
    </row>
    <row r="248" spans="1:155" ht="17.100000000000001" customHeight="1" thickBot="1" x14ac:dyDescent="0.25">
      <c r="A248" s="159"/>
      <c r="B248" s="113"/>
      <c r="C248" s="175"/>
      <c r="D248" s="154" t="s">
        <v>25</v>
      </c>
      <c r="E248" s="142"/>
      <c r="F248" s="154">
        <v>0</v>
      </c>
      <c r="G248" s="142"/>
      <c r="I248" s="111" t="s">
        <v>26</v>
      </c>
      <c r="J248" s="124"/>
      <c r="K248" s="162">
        <v>0</v>
      </c>
      <c r="M248" s="159"/>
      <c r="N248" s="113"/>
      <c r="O248" s="175"/>
      <c r="P248" s="154" t="s">
        <v>25</v>
      </c>
      <c r="Q248" s="142"/>
      <c r="R248" s="154">
        <v>0</v>
      </c>
      <c r="S248" s="142"/>
      <c r="U248" s="111" t="s">
        <v>26</v>
      </c>
      <c r="V248" s="124"/>
      <c r="W248" s="162">
        <v>0</v>
      </c>
      <c r="Y248" s="159"/>
      <c r="Z248" s="113"/>
      <c r="AA248" s="175"/>
      <c r="AB248" s="154" t="s">
        <v>25</v>
      </c>
      <c r="AC248" s="142"/>
      <c r="AD248" s="154">
        <v>0</v>
      </c>
      <c r="AE248" s="142"/>
      <c r="AG248" s="111" t="s">
        <v>26</v>
      </c>
      <c r="AH248" s="124"/>
      <c r="AI248" s="162">
        <v>0</v>
      </c>
      <c r="AK248" s="159"/>
      <c r="AL248" s="113"/>
      <c r="AM248" s="175"/>
      <c r="AN248" s="154" t="s">
        <v>25</v>
      </c>
      <c r="AO248" s="142"/>
      <c r="AP248" s="154">
        <v>0</v>
      </c>
      <c r="AQ248" s="142"/>
      <c r="AS248" s="111" t="s">
        <v>26</v>
      </c>
      <c r="AT248" s="124"/>
      <c r="AU248" s="162">
        <v>0</v>
      </c>
      <c r="AW248" s="159"/>
      <c r="AX248" s="113"/>
      <c r="AY248" s="175"/>
      <c r="AZ248" s="154" t="s">
        <v>25</v>
      </c>
      <c r="BA248" s="142"/>
      <c r="BB248" s="154">
        <v>0</v>
      </c>
      <c r="BC248" s="142"/>
      <c r="BE248" s="111" t="s">
        <v>26</v>
      </c>
      <c r="BF248" s="124"/>
      <c r="BG248" s="162">
        <v>0</v>
      </c>
      <c r="BI248" s="159"/>
      <c r="BJ248" s="113"/>
      <c r="BK248" s="175"/>
      <c r="BL248" s="154" t="s">
        <v>25</v>
      </c>
      <c r="BM248" s="142"/>
      <c r="BN248" s="154">
        <v>0</v>
      </c>
      <c r="BO248" s="142"/>
      <c r="BQ248" s="111" t="s">
        <v>26</v>
      </c>
      <c r="BR248" s="124"/>
      <c r="BS248" s="162">
        <v>0</v>
      </c>
      <c r="BU248" s="159"/>
      <c r="BV248" s="113"/>
      <c r="BW248" s="175"/>
      <c r="BX248" s="154" t="s">
        <v>25</v>
      </c>
      <c r="BY248" s="142"/>
      <c r="BZ248" s="154">
        <v>0</v>
      </c>
      <c r="CA248" s="142"/>
      <c r="CC248" s="111" t="s">
        <v>26</v>
      </c>
      <c r="CD248" s="124"/>
      <c r="CE248" s="162">
        <v>0</v>
      </c>
      <c r="CG248" s="159"/>
      <c r="CH248" s="113"/>
      <c r="CI248" s="175"/>
      <c r="CJ248" s="154" t="s">
        <v>25</v>
      </c>
      <c r="CK248" s="142"/>
      <c r="CL248" s="154">
        <v>0</v>
      </c>
      <c r="CM248" s="142"/>
      <c r="CO248" s="111" t="s">
        <v>26</v>
      </c>
      <c r="CP248" s="124"/>
      <c r="CQ248" s="162">
        <v>0</v>
      </c>
      <c r="CS248" s="159"/>
      <c r="CT248" s="113"/>
      <c r="CU248" s="175"/>
      <c r="CV248" s="154" t="s">
        <v>25</v>
      </c>
      <c r="CW248" s="142"/>
      <c r="CX248" s="154">
        <v>0</v>
      </c>
      <c r="CY248" s="142"/>
      <c r="DA248" s="111" t="s">
        <v>26</v>
      </c>
      <c r="DB248" s="124"/>
      <c r="DC248" s="162">
        <v>0</v>
      </c>
      <c r="DD248" s="2"/>
      <c r="DE248" s="159"/>
      <c r="DF248" s="113"/>
      <c r="DG248" s="175"/>
      <c r="DH248" s="154" t="s">
        <v>25</v>
      </c>
      <c r="DI248" s="142"/>
      <c r="DJ248" s="154">
        <v>0</v>
      </c>
      <c r="DK248" s="142"/>
      <c r="DM248" s="111" t="s">
        <v>26</v>
      </c>
      <c r="DN248" s="124"/>
      <c r="DO248" s="162">
        <v>0</v>
      </c>
      <c r="DP248" s="2"/>
      <c r="DQ248" s="159"/>
      <c r="DR248" s="113"/>
      <c r="DS248" s="175"/>
      <c r="DT248" s="154" t="s">
        <v>25</v>
      </c>
      <c r="DU248" s="142"/>
      <c r="DV248" s="154">
        <v>0</v>
      </c>
      <c r="DW248" s="142"/>
      <c r="DY248" s="111" t="s">
        <v>26</v>
      </c>
      <c r="DZ248" s="124"/>
      <c r="EA248" s="162">
        <v>0</v>
      </c>
      <c r="EC248" s="159"/>
      <c r="ED248" s="113"/>
      <c r="EE248" s="175"/>
      <c r="EF248" s="154" t="s">
        <v>25</v>
      </c>
      <c r="EG248" s="142"/>
      <c r="EH248" s="154">
        <v>0</v>
      </c>
      <c r="EI248" s="142"/>
      <c r="EK248" s="111" t="s">
        <v>26</v>
      </c>
      <c r="EL248" s="124"/>
      <c r="EM248" s="162">
        <v>0</v>
      </c>
      <c r="EO248" s="233"/>
      <c r="EP248" s="113"/>
      <c r="EQ248" s="112"/>
      <c r="ER248" s="154" t="s">
        <v>25</v>
      </c>
      <c r="ES248" s="142"/>
      <c r="ET248" s="156">
        <f t="shared" si="18"/>
        <v>0</v>
      </c>
      <c r="EU248" s="157"/>
      <c r="EW248" s="111" t="s">
        <v>26</v>
      </c>
      <c r="EX248" s="124"/>
      <c r="EY248" s="162">
        <f>K248+W248+AI248+AU248+BG248+BS248+CE248+CQ248+DC248+DO248+EA248+EM248</f>
        <v>0</v>
      </c>
    </row>
    <row r="249" spans="1:155" ht="17.100000000000001" customHeight="1" thickBot="1" x14ac:dyDescent="0.25">
      <c r="A249" s="159"/>
      <c r="B249" s="125"/>
      <c r="C249" s="176"/>
      <c r="D249" s="177" t="s">
        <v>27</v>
      </c>
      <c r="E249" s="178"/>
      <c r="F249" s="177">
        <v>0</v>
      </c>
      <c r="G249" s="178"/>
      <c r="I249" s="113"/>
      <c r="J249" s="112"/>
      <c r="K249" s="163"/>
      <c r="M249" s="159"/>
      <c r="N249" s="125"/>
      <c r="O249" s="176"/>
      <c r="P249" s="177" t="s">
        <v>27</v>
      </c>
      <c r="Q249" s="178"/>
      <c r="R249" s="177">
        <v>0</v>
      </c>
      <c r="S249" s="178"/>
      <c r="U249" s="113"/>
      <c r="V249" s="112"/>
      <c r="W249" s="163"/>
      <c r="Y249" s="159"/>
      <c r="Z249" s="125"/>
      <c r="AA249" s="176"/>
      <c r="AB249" s="177" t="s">
        <v>27</v>
      </c>
      <c r="AC249" s="178"/>
      <c r="AD249" s="177">
        <v>0</v>
      </c>
      <c r="AE249" s="178"/>
      <c r="AG249" s="113"/>
      <c r="AH249" s="112"/>
      <c r="AI249" s="163"/>
      <c r="AK249" s="159"/>
      <c r="AL249" s="125"/>
      <c r="AM249" s="176"/>
      <c r="AN249" s="177" t="s">
        <v>27</v>
      </c>
      <c r="AO249" s="178"/>
      <c r="AP249" s="177">
        <v>0</v>
      </c>
      <c r="AQ249" s="178"/>
      <c r="AS249" s="113"/>
      <c r="AT249" s="112"/>
      <c r="AU249" s="163"/>
      <c r="AW249" s="159"/>
      <c r="AX249" s="125"/>
      <c r="AY249" s="176"/>
      <c r="AZ249" s="177" t="s">
        <v>27</v>
      </c>
      <c r="BA249" s="178"/>
      <c r="BB249" s="177">
        <v>0</v>
      </c>
      <c r="BC249" s="178"/>
      <c r="BE249" s="113"/>
      <c r="BF249" s="112"/>
      <c r="BG249" s="163"/>
      <c r="BI249" s="159"/>
      <c r="BJ249" s="125"/>
      <c r="BK249" s="176"/>
      <c r="BL249" s="177" t="s">
        <v>27</v>
      </c>
      <c r="BM249" s="178"/>
      <c r="BN249" s="177">
        <v>0</v>
      </c>
      <c r="BO249" s="178"/>
      <c r="BQ249" s="113"/>
      <c r="BR249" s="112"/>
      <c r="BS249" s="163"/>
      <c r="BU249" s="159"/>
      <c r="BV249" s="125"/>
      <c r="BW249" s="176"/>
      <c r="BX249" s="177" t="s">
        <v>27</v>
      </c>
      <c r="BY249" s="178"/>
      <c r="BZ249" s="177">
        <v>0</v>
      </c>
      <c r="CA249" s="178"/>
      <c r="CC249" s="113"/>
      <c r="CD249" s="112"/>
      <c r="CE249" s="163"/>
      <c r="CG249" s="159"/>
      <c r="CH249" s="125"/>
      <c r="CI249" s="176"/>
      <c r="CJ249" s="177" t="s">
        <v>27</v>
      </c>
      <c r="CK249" s="178"/>
      <c r="CL249" s="177">
        <v>0</v>
      </c>
      <c r="CM249" s="178"/>
      <c r="CO249" s="113"/>
      <c r="CP249" s="112"/>
      <c r="CQ249" s="163"/>
      <c r="CS249" s="159"/>
      <c r="CT249" s="125"/>
      <c r="CU249" s="176"/>
      <c r="CV249" s="177" t="s">
        <v>27</v>
      </c>
      <c r="CW249" s="178"/>
      <c r="CX249" s="177">
        <v>0</v>
      </c>
      <c r="CY249" s="178"/>
      <c r="DA249" s="113"/>
      <c r="DB249" s="112"/>
      <c r="DC249" s="163"/>
      <c r="DD249" s="2"/>
      <c r="DE249" s="159"/>
      <c r="DF249" s="125"/>
      <c r="DG249" s="176"/>
      <c r="DH249" s="177" t="s">
        <v>27</v>
      </c>
      <c r="DI249" s="178"/>
      <c r="DJ249" s="177">
        <v>0</v>
      </c>
      <c r="DK249" s="178"/>
      <c r="DM249" s="113"/>
      <c r="DN249" s="112"/>
      <c r="DO249" s="163"/>
      <c r="DP249" s="2"/>
      <c r="DQ249" s="159"/>
      <c r="DR249" s="125"/>
      <c r="DS249" s="176"/>
      <c r="DT249" s="177" t="s">
        <v>27</v>
      </c>
      <c r="DU249" s="178"/>
      <c r="DV249" s="177">
        <v>0</v>
      </c>
      <c r="DW249" s="178"/>
      <c r="DY249" s="113"/>
      <c r="DZ249" s="112"/>
      <c r="EA249" s="163"/>
      <c r="EC249" s="159"/>
      <c r="ED249" s="125"/>
      <c r="EE249" s="176"/>
      <c r="EF249" s="177" t="s">
        <v>27</v>
      </c>
      <c r="EG249" s="178"/>
      <c r="EH249" s="177">
        <v>0</v>
      </c>
      <c r="EI249" s="178"/>
      <c r="EK249" s="113"/>
      <c r="EL249" s="112"/>
      <c r="EM249" s="163"/>
      <c r="EO249" s="233"/>
      <c r="EP249" s="125"/>
      <c r="EQ249" s="126"/>
      <c r="ER249" s="177" t="s">
        <v>27</v>
      </c>
      <c r="ES249" s="178"/>
      <c r="ET249" s="156">
        <f t="shared" si="18"/>
        <v>0</v>
      </c>
      <c r="EU249" s="157"/>
      <c r="EW249" s="113"/>
      <c r="EX249" s="112"/>
      <c r="EY249" s="163"/>
    </row>
    <row r="250" spans="1:155" ht="17.100000000000001" customHeight="1" thickBot="1" x14ac:dyDescent="0.25">
      <c r="A250" s="159"/>
      <c r="B250" s="111" t="s">
        <v>28</v>
      </c>
      <c r="C250" s="174"/>
      <c r="D250" s="155" t="s">
        <v>29</v>
      </c>
      <c r="E250" s="141"/>
      <c r="F250" s="155">
        <v>0</v>
      </c>
      <c r="G250" s="141"/>
      <c r="I250" s="125"/>
      <c r="J250" s="126"/>
      <c r="K250" s="164"/>
      <c r="M250" s="159"/>
      <c r="N250" s="111" t="s">
        <v>28</v>
      </c>
      <c r="O250" s="174"/>
      <c r="P250" s="155" t="s">
        <v>29</v>
      </c>
      <c r="Q250" s="141"/>
      <c r="R250" s="155">
        <v>0</v>
      </c>
      <c r="S250" s="141"/>
      <c r="U250" s="125"/>
      <c r="V250" s="126"/>
      <c r="W250" s="164"/>
      <c r="Y250" s="159"/>
      <c r="Z250" s="111" t="s">
        <v>28</v>
      </c>
      <c r="AA250" s="174"/>
      <c r="AB250" s="155" t="s">
        <v>29</v>
      </c>
      <c r="AC250" s="141"/>
      <c r="AD250" s="155">
        <v>0</v>
      </c>
      <c r="AE250" s="141"/>
      <c r="AG250" s="125"/>
      <c r="AH250" s="126"/>
      <c r="AI250" s="164"/>
      <c r="AK250" s="159"/>
      <c r="AL250" s="111" t="s">
        <v>28</v>
      </c>
      <c r="AM250" s="174"/>
      <c r="AN250" s="155" t="s">
        <v>29</v>
      </c>
      <c r="AO250" s="141"/>
      <c r="AP250" s="155">
        <v>0</v>
      </c>
      <c r="AQ250" s="141"/>
      <c r="AS250" s="125"/>
      <c r="AT250" s="126"/>
      <c r="AU250" s="164"/>
      <c r="AW250" s="159"/>
      <c r="AX250" s="111" t="s">
        <v>28</v>
      </c>
      <c r="AY250" s="174"/>
      <c r="AZ250" s="155" t="s">
        <v>29</v>
      </c>
      <c r="BA250" s="141"/>
      <c r="BB250" s="155">
        <v>0</v>
      </c>
      <c r="BC250" s="141"/>
      <c r="BE250" s="125"/>
      <c r="BF250" s="126"/>
      <c r="BG250" s="164"/>
      <c r="BI250" s="159"/>
      <c r="BJ250" s="111" t="s">
        <v>28</v>
      </c>
      <c r="BK250" s="174"/>
      <c r="BL250" s="155" t="s">
        <v>29</v>
      </c>
      <c r="BM250" s="141"/>
      <c r="BN250" s="155">
        <v>0</v>
      </c>
      <c r="BO250" s="141"/>
      <c r="BQ250" s="125"/>
      <c r="BR250" s="126"/>
      <c r="BS250" s="164"/>
      <c r="BU250" s="159"/>
      <c r="BV250" s="111" t="s">
        <v>28</v>
      </c>
      <c r="BW250" s="174"/>
      <c r="BX250" s="155" t="s">
        <v>29</v>
      </c>
      <c r="BY250" s="141"/>
      <c r="BZ250" s="155">
        <v>0</v>
      </c>
      <c r="CA250" s="141"/>
      <c r="CC250" s="125"/>
      <c r="CD250" s="126"/>
      <c r="CE250" s="164"/>
      <c r="CG250" s="159"/>
      <c r="CH250" s="111" t="s">
        <v>28</v>
      </c>
      <c r="CI250" s="174"/>
      <c r="CJ250" s="155" t="s">
        <v>29</v>
      </c>
      <c r="CK250" s="141"/>
      <c r="CL250" s="155">
        <v>0</v>
      </c>
      <c r="CM250" s="141"/>
      <c r="CO250" s="125"/>
      <c r="CP250" s="126"/>
      <c r="CQ250" s="164"/>
      <c r="CS250" s="159"/>
      <c r="CT250" s="111" t="s">
        <v>28</v>
      </c>
      <c r="CU250" s="174"/>
      <c r="CV250" s="155" t="s">
        <v>29</v>
      </c>
      <c r="CW250" s="141"/>
      <c r="CX250" s="155">
        <v>0</v>
      </c>
      <c r="CY250" s="141"/>
      <c r="DA250" s="125"/>
      <c r="DB250" s="126"/>
      <c r="DC250" s="164"/>
      <c r="DD250" s="2"/>
      <c r="DE250" s="159"/>
      <c r="DF250" s="111" t="s">
        <v>28</v>
      </c>
      <c r="DG250" s="174"/>
      <c r="DH250" s="155" t="s">
        <v>29</v>
      </c>
      <c r="DI250" s="141"/>
      <c r="DJ250" s="155">
        <v>0</v>
      </c>
      <c r="DK250" s="141"/>
      <c r="DM250" s="125"/>
      <c r="DN250" s="126"/>
      <c r="DO250" s="164"/>
      <c r="DP250" s="2"/>
      <c r="DQ250" s="159"/>
      <c r="DR250" s="111" t="s">
        <v>28</v>
      </c>
      <c r="DS250" s="174"/>
      <c r="DT250" s="155" t="s">
        <v>29</v>
      </c>
      <c r="DU250" s="141"/>
      <c r="DV250" s="155">
        <v>0</v>
      </c>
      <c r="DW250" s="141"/>
      <c r="DY250" s="125"/>
      <c r="DZ250" s="126"/>
      <c r="EA250" s="164"/>
      <c r="EC250" s="159"/>
      <c r="ED250" s="111" t="s">
        <v>28</v>
      </c>
      <c r="EE250" s="174"/>
      <c r="EF250" s="155" t="s">
        <v>29</v>
      </c>
      <c r="EG250" s="141"/>
      <c r="EH250" s="155">
        <v>0</v>
      </c>
      <c r="EI250" s="141"/>
      <c r="EK250" s="125"/>
      <c r="EL250" s="126"/>
      <c r="EM250" s="164"/>
      <c r="EO250" s="233"/>
      <c r="EP250" s="111" t="s">
        <v>28</v>
      </c>
      <c r="EQ250" s="124"/>
      <c r="ER250" s="155" t="s">
        <v>29</v>
      </c>
      <c r="ES250" s="141"/>
      <c r="ET250" s="156">
        <f t="shared" si="18"/>
        <v>0</v>
      </c>
      <c r="EU250" s="157"/>
      <c r="EW250" s="125"/>
      <c r="EX250" s="126"/>
      <c r="EY250" s="164"/>
    </row>
    <row r="251" spans="1:155" ht="17.100000000000001" customHeight="1" thickBot="1" x14ac:dyDescent="0.25">
      <c r="A251" s="159"/>
      <c r="B251" s="113"/>
      <c r="C251" s="175"/>
      <c r="D251" s="154" t="s">
        <v>30</v>
      </c>
      <c r="E251" s="142"/>
      <c r="F251" s="154">
        <v>0</v>
      </c>
      <c r="G251" s="142"/>
      <c r="I251" s="111" t="s">
        <v>31</v>
      </c>
      <c r="J251" s="124"/>
      <c r="K251" s="162">
        <v>0</v>
      </c>
      <c r="M251" s="159"/>
      <c r="N251" s="113"/>
      <c r="O251" s="175"/>
      <c r="P251" s="154" t="s">
        <v>30</v>
      </c>
      <c r="Q251" s="142"/>
      <c r="R251" s="154">
        <v>0</v>
      </c>
      <c r="S251" s="142"/>
      <c r="U251" s="111" t="s">
        <v>31</v>
      </c>
      <c r="V251" s="124"/>
      <c r="W251" s="162">
        <v>0</v>
      </c>
      <c r="Y251" s="159"/>
      <c r="Z251" s="113"/>
      <c r="AA251" s="175"/>
      <c r="AB251" s="154" t="s">
        <v>30</v>
      </c>
      <c r="AC251" s="142"/>
      <c r="AD251" s="154">
        <v>0</v>
      </c>
      <c r="AE251" s="142"/>
      <c r="AG251" s="111" t="s">
        <v>31</v>
      </c>
      <c r="AH251" s="124"/>
      <c r="AI251" s="162">
        <v>0</v>
      </c>
      <c r="AK251" s="159"/>
      <c r="AL251" s="113"/>
      <c r="AM251" s="175"/>
      <c r="AN251" s="154" t="s">
        <v>30</v>
      </c>
      <c r="AO251" s="142"/>
      <c r="AP251" s="154">
        <v>0</v>
      </c>
      <c r="AQ251" s="142"/>
      <c r="AS251" s="111" t="s">
        <v>31</v>
      </c>
      <c r="AT251" s="124"/>
      <c r="AU251" s="162">
        <v>0</v>
      </c>
      <c r="AW251" s="159"/>
      <c r="AX251" s="113"/>
      <c r="AY251" s="175"/>
      <c r="AZ251" s="154" t="s">
        <v>30</v>
      </c>
      <c r="BA251" s="142"/>
      <c r="BB251" s="154">
        <v>0</v>
      </c>
      <c r="BC251" s="142"/>
      <c r="BE251" s="111" t="s">
        <v>31</v>
      </c>
      <c r="BF251" s="124"/>
      <c r="BG251" s="162">
        <v>0</v>
      </c>
      <c r="BI251" s="159"/>
      <c r="BJ251" s="113"/>
      <c r="BK251" s="175"/>
      <c r="BL251" s="154" t="s">
        <v>30</v>
      </c>
      <c r="BM251" s="142"/>
      <c r="BN251" s="154">
        <v>0</v>
      </c>
      <c r="BO251" s="142"/>
      <c r="BQ251" s="111" t="s">
        <v>31</v>
      </c>
      <c r="BR251" s="124"/>
      <c r="BS251" s="162">
        <v>0</v>
      </c>
      <c r="BU251" s="159"/>
      <c r="BV251" s="113"/>
      <c r="BW251" s="175"/>
      <c r="BX251" s="154" t="s">
        <v>30</v>
      </c>
      <c r="BY251" s="142"/>
      <c r="BZ251" s="154">
        <v>0</v>
      </c>
      <c r="CA251" s="142"/>
      <c r="CC251" s="111" t="s">
        <v>31</v>
      </c>
      <c r="CD251" s="124"/>
      <c r="CE251" s="162">
        <v>0</v>
      </c>
      <c r="CG251" s="159"/>
      <c r="CH251" s="113"/>
      <c r="CI251" s="175"/>
      <c r="CJ251" s="154" t="s">
        <v>30</v>
      </c>
      <c r="CK251" s="142"/>
      <c r="CL251" s="154">
        <v>0</v>
      </c>
      <c r="CM251" s="142"/>
      <c r="CO251" s="111" t="s">
        <v>31</v>
      </c>
      <c r="CP251" s="124"/>
      <c r="CQ251" s="162">
        <v>0</v>
      </c>
      <c r="CS251" s="159"/>
      <c r="CT251" s="113"/>
      <c r="CU251" s="175"/>
      <c r="CV251" s="154" t="s">
        <v>30</v>
      </c>
      <c r="CW251" s="142"/>
      <c r="CX251" s="154">
        <v>0</v>
      </c>
      <c r="CY251" s="142"/>
      <c r="DA251" s="111" t="s">
        <v>31</v>
      </c>
      <c r="DB251" s="124"/>
      <c r="DC251" s="162">
        <v>0</v>
      </c>
      <c r="DD251" s="2"/>
      <c r="DE251" s="159"/>
      <c r="DF251" s="113"/>
      <c r="DG251" s="175"/>
      <c r="DH251" s="154" t="s">
        <v>30</v>
      </c>
      <c r="DI251" s="142"/>
      <c r="DJ251" s="154">
        <v>0</v>
      </c>
      <c r="DK251" s="142"/>
      <c r="DM251" s="111" t="s">
        <v>31</v>
      </c>
      <c r="DN251" s="124"/>
      <c r="DO251" s="162">
        <v>0</v>
      </c>
      <c r="DP251" s="2"/>
      <c r="DQ251" s="159"/>
      <c r="DR251" s="113"/>
      <c r="DS251" s="175"/>
      <c r="DT251" s="154" t="s">
        <v>30</v>
      </c>
      <c r="DU251" s="142"/>
      <c r="DV251" s="154">
        <v>0</v>
      </c>
      <c r="DW251" s="142"/>
      <c r="DY251" s="111" t="s">
        <v>31</v>
      </c>
      <c r="DZ251" s="124"/>
      <c r="EA251" s="162">
        <v>0</v>
      </c>
      <c r="EC251" s="159"/>
      <c r="ED251" s="113"/>
      <c r="EE251" s="175"/>
      <c r="EF251" s="154" t="s">
        <v>30</v>
      </c>
      <c r="EG251" s="142"/>
      <c r="EH251" s="154">
        <v>0</v>
      </c>
      <c r="EI251" s="142"/>
      <c r="EK251" s="111" t="s">
        <v>31</v>
      </c>
      <c r="EL251" s="124"/>
      <c r="EM251" s="162">
        <v>0</v>
      </c>
      <c r="EO251" s="233"/>
      <c r="EP251" s="113"/>
      <c r="EQ251" s="112"/>
      <c r="ER251" s="154" t="s">
        <v>30</v>
      </c>
      <c r="ES251" s="142"/>
      <c r="ET251" s="156">
        <f t="shared" si="18"/>
        <v>0</v>
      </c>
      <c r="EU251" s="157"/>
      <c r="EW251" s="111" t="s">
        <v>31</v>
      </c>
      <c r="EX251" s="124"/>
      <c r="EY251" s="162">
        <f>K251+W251+AI251+AU251+BG251+BS251+CE251+CQ251+DC251+DO251+EA251+EM251</f>
        <v>0</v>
      </c>
    </row>
    <row r="252" spans="1:155" ht="17.100000000000001" customHeight="1" thickBot="1" x14ac:dyDescent="0.25">
      <c r="A252" s="159"/>
      <c r="B252" s="125"/>
      <c r="C252" s="176"/>
      <c r="D252" s="177" t="s">
        <v>32</v>
      </c>
      <c r="E252" s="178"/>
      <c r="F252" s="177">
        <v>0</v>
      </c>
      <c r="G252" s="178"/>
      <c r="I252" s="113"/>
      <c r="J252" s="112"/>
      <c r="K252" s="163"/>
      <c r="M252" s="159"/>
      <c r="N252" s="125"/>
      <c r="O252" s="176"/>
      <c r="P252" s="177" t="s">
        <v>32</v>
      </c>
      <c r="Q252" s="178"/>
      <c r="R252" s="177">
        <v>0</v>
      </c>
      <c r="S252" s="178"/>
      <c r="U252" s="113"/>
      <c r="V252" s="112"/>
      <c r="W252" s="163"/>
      <c r="Y252" s="159"/>
      <c r="Z252" s="125"/>
      <c r="AA252" s="176"/>
      <c r="AB252" s="177" t="s">
        <v>32</v>
      </c>
      <c r="AC252" s="178"/>
      <c r="AD252" s="177">
        <v>0</v>
      </c>
      <c r="AE252" s="178"/>
      <c r="AG252" s="113"/>
      <c r="AH252" s="112"/>
      <c r="AI252" s="163"/>
      <c r="AK252" s="159"/>
      <c r="AL252" s="125"/>
      <c r="AM252" s="176"/>
      <c r="AN252" s="177" t="s">
        <v>32</v>
      </c>
      <c r="AO252" s="178"/>
      <c r="AP252" s="177">
        <v>0</v>
      </c>
      <c r="AQ252" s="178"/>
      <c r="AS252" s="113"/>
      <c r="AT252" s="112"/>
      <c r="AU252" s="163"/>
      <c r="AW252" s="159"/>
      <c r="AX252" s="125"/>
      <c r="AY252" s="176"/>
      <c r="AZ252" s="177" t="s">
        <v>32</v>
      </c>
      <c r="BA252" s="178"/>
      <c r="BB252" s="177">
        <v>0</v>
      </c>
      <c r="BC252" s="178"/>
      <c r="BE252" s="113"/>
      <c r="BF252" s="112"/>
      <c r="BG252" s="163"/>
      <c r="BI252" s="159"/>
      <c r="BJ252" s="125"/>
      <c r="BK252" s="176"/>
      <c r="BL252" s="177" t="s">
        <v>32</v>
      </c>
      <c r="BM252" s="178"/>
      <c r="BN252" s="177">
        <v>0</v>
      </c>
      <c r="BO252" s="178"/>
      <c r="BQ252" s="113"/>
      <c r="BR252" s="112"/>
      <c r="BS252" s="163"/>
      <c r="BU252" s="159"/>
      <c r="BV252" s="125"/>
      <c r="BW252" s="176"/>
      <c r="BX252" s="177" t="s">
        <v>32</v>
      </c>
      <c r="BY252" s="178"/>
      <c r="BZ252" s="177">
        <v>0</v>
      </c>
      <c r="CA252" s="178"/>
      <c r="CC252" s="113"/>
      <c r="CD252" s="112"/>
      <c r="CE252" s="163"/>
      <c r="CG252" s="159"/>
      <c r="CH252" s="125"/>
      <c r="CI252" s="176"/>
      <c r="CJ252" s="177" t="s">
        <v>32</v>
      </c>
      <c r="CK252" s="178"/>
      <c r="CL252" s="177">
        <v>0</v>
      </c>
      <c r="CM252" s="178"/>
      <c r="CO252" s="113"/>
      <c r="CP252" s="112"/>
      <c r="CQ252" s="163"/>
      <c r="CS252" s="159"/>
      <c r="CT252" s="125"/>
      <c r="CU252" s="176"/>
      <c r="CV252" s="177" t="s">
        <v>32</v>
      </c>
      <c r="CW252" s="178"/>
      <c r="CX252" s="177">
        <v>0</v>
      </c>
      <c r="CY252" s="178"/>
      <c r="DA252" s="113"/>
      <c r="DB252" s="112"/>
      <c r="DC252" s="163"/>
      <c r="DD252" s="2"/>
      <c r="DE252" s="159"/>
      <c r="DF252" s="125"/>
      <c r="DG252" s="176"/>
      <c r="DH252" s="177" t="s">
        <v>32</v>
      </c>
      <c r="DI252" s="178"/>
      <c r="DJ252" s="177">
        <v>0</v>
      </c>
      <c r="DK252" s="178"/>
      <c r="DM252" s="113"/>
      <c r="DN252" s="112"/>
      <c r="DO252" s="163"/>
      <c r="DP252" s="2"/>
      <c r="DQ252" s="159"/>
      <c r="DR252" s="125"/>
      <c r="DS252" s="176"/>
      <c r="DT252" s="177" t="s">
        <v>32</v>
      </c>
      <c r="DU252" s="178"/>
      <c r="DV252" s="177">
        <v>0</v>
      </c>
      <c r="DW252" s="178"/>
      <c r="DY252" s="113"/>
      <c r="DZ252" s="112"/>
      <c r="EA252" s="163"/>
      <c r="EC252" s="159"/>
      <c r="ED252" s="125"/>
      <c r="EE252" s="176"/>
      <c r="EF252" s="177" t="s">
        <v>32</v>
      </c>
      <c r="EG252" s="178"/>
      <c r="EH252" s="177">
        <v>0</v>
      </c>
      <c r="EI252" s="178"/>
      <c r="EK252" s="113"/>
      <c r="EL252" s="112"/>
      <c r="EM252" s="163"/>
      <c r="EO252" s="233"/>
      <c r="EP252" s="125"/>
      <c r="EQ252" s="126"/>
      <c r="ER252" s="177" t="s">
        <v>32</v>
      </c>
      <c r="ES252" s="178"/>
      <c r="ET252" s="156">
        <f t="shared" si="18"/>
        <v>0</v>
      </c>
      <c r="EU252" s="157"/>
      <c r="EW252" s="113"/>
      <c r="EX252" s="112"/>
      <c r="EY252" s="163"/>
    </row>
    <row r="253" spans="1:155" ht="17.100000000000001" customHeight="1" thickBot="1" x14ac:dyDescent="0.25">
      <c r="A253" s="159"/>
      <c r="B253" s="111" t="s">
        <v>33</v>
      </c>
      <c r="C253" s="174"/>
      <c r="D253" s="155" t="s">
        <v>34</v>
      </c>
      <c r="E253" s="141"/>
      <c r="F253" s="155">
        <v>0</v>
      </c>
      <c r="G253" s="141"/>
      <c r="I253" s="125"/>
      <c r="J253" s="126"/>
      <c r="K253" s="164"/>
      <c r="M253" s="159"/>
      <c r="N253" s="111" t="s">
        <v>33</v>
      </c>
      <c r="O253" s="174"/>
      <c r="P253" s="155" t="s">
        <v>34</v>
      </c>
      <c r="Q253" s="141"/>
      <c r="R253" s="155">
        <v>0</v>
      </c>
      <c r="S253" s="141"/>
      <c r="U253" s="125"/>
      <c r="V253" s="126"/>
      <c r="W253" s="164"/>
      <c r="Y253" s="159"/>
      <c r="Z253" s="111" t="s">
        <v>33</v>
      </c>
      <c r="AA253" s="174"/>
      <c r="AB253" s="155" t="s">
        <v>34</v>
      </c>
      <c r="AC253" s="141"/>
      <c r="AD253" s="155">
        <v>0</v>
      </c>
      <c r="AE253" s="141"/>
      <c r="AG253" s="125"/>
      <c r="AH253" s="126"/>
      <c r="AI253" s="164"/>
      <c r="AK253" s="159"/>
      <c r="AL253" s="111" t="s">
        <v>33</v>
      </c>
      <c r="AM253" s="174"/>
      <c r="AN253" s="155" t="s">
        <v>34</v>
      </c>
      <c r="AO253" s="141"/>
      <c r="AP253" s="155">
        <v>0</v>
      </c>
      <c r="AQ253" s="141"/>
      <c r="AS253" s="125"/>
      <c r="AT253" s="126"/>
      <c r="AU253" s="164"/>
      <c r="AW253" s="159"/>
      <c r="AX253" s="111" t="s">
        <v>33</v>
      </c>
      <c r="AY253" s="174"/>
      <c r="AZ253" s="155" t="s">
        <v>34</v>
      </c>
      <c r="BA253" s="141"/>
      <c r="BB253" s="155">
        <v>0</v>
      </c>
      <c r="BC253" s="141"/>
      <c r="BE253" s="125"/>
      <c r="BF253" s="126"/>
      <c r="BG253" s="164"/>
      <c r="BI253" s="159"/>
      <c r="BJ253" s="111" t="s">
        <v>33</v>
      </c>
      <c r="BK253" s="174"/>
      <c r="BL253" s="155" t="s">
        <v>34</v>
      </c>
      <c r="BM253" s="141"/>
      <c r="BN253" s="155">
        <v>0</v>
      </c>
      <c r="BO253" s="141"/>
      <c r="BQ253" s="125"/>
      <c r="BR253" s="126"/>
      <c r="BS253" s="164"/>
      <c r="BU253" s="159"/>
      <c r="BV253" s="111" t="s">
        <v>33</v>
      </c>
      <c r="BW253" s="174"/>
      <c r="BX253" s="155" t="s">
        <v>34</v>
      </c>
      <c r="BY253" s="141"/>
      <c r="BZ253" s="155">
        <v>0</v>
      </c>
      <c r="CA253" s="141"/>
      <c r="CC253" s="125"/>
      <c r="CD253" s="126"/>
      <c r="CE253" s="164"/>
      <c r="CG253" s="159"/>
      <c r="CH253" s="111" t="s">
        <v>33</v>
      </c>
      <c r="CI253" s="174"/>
      <c r="CJ253" s="155" t="s">
        <v>34</v>
      </c>
      <c r="CK253" s="141"/>
      <c r="CL253" s="155">
        <v>0</v>
      </c>
      <c r="CM253" s="141"/>
      <c r="CO253" s="125"/>
      <c r="CP253" s="126"/>
      <c r="CQ253" s="164"/>
      <c r="CS253" s="159"/>
      <c r="CT253" s="111" t="s">
        <v>33</v>
      </c>
      <c r="CU253" s="174"/>
      <c r="CV253" s="155" t="s">
        <v>34</v>
      </c>
      <c r="CW253" s="141"/>
      <c r="CX253" s="155">
        <v>0</v>
      </c>
      <c r="CY253" s="141"/>
      <c r="DA253" s="125"/>
      <c r="DB253" s="126"/>
      <c r="DC253" s="164"/>
      <c r="DD253" s="2"/>
      <c r="DE253" s="159"/>
      <c r="DF253" s="111" t="s">
        <v>33</v>
      </c>
      <c r="DG253" s="174"/>
      <c r="DH253" s="155" t="s">
        <v>34</v>
      </c>
      <c r="DI253" s="141"/>
      <c r="DJ253" s="155">
        <v>0</v>
      </c>
      <c r="DK253" s="141"/>
      <c r="DM253" s="125"/>
      <c r="DN253" s="126"/>
      <c r="DO253" s="164"/>
      <c r="DP253" s="2"/>
      <c r="DQ253" s="159"/>
      <c r="DR253" s="111" t="s">
        <v>33</v>
      </c>
      <c r="DS253" s="174"/>
      <c r="DT253" s="155" t="s">
        <v>34</v>
      </c>
      <c r="DU253" s="141"/>
      <c r="DV253" s="155">
        <v>0</v>
      </c>
      <c r="DW253" s="141"/>
      <c r="DY253" s="125"/>
      <c r="DZ253" s="126"/>
      <c r="EA253" s="164"/>
      <c r="EC253" s="159"/>
      <c r="ED253" s="111" t="s">
        <v>33</v>
      </c>
      <c r="EE253" s="174"/>
      <c r="EF253" s="155" t="s">
        <v>34</v>
      </c>
      <c r="EG253" s="141"/>
      <c r="EH253" s="155">
        <v>0</v>
      </c>
      <c r="EI253" s="141"/>
      <c r="EK253" s="125"/>
      <c r="EL253" s="126"/>
      <c r="EM253" s="164"/>
      <c r="EO253" s="233"/>
      <c r="EP253" s="111" t="s">
        <v>33</v>
      </c>
      <c r="EQ253" s="124"/>
      <c r="ER253" s="155" t="s">
        <v>34</v>
      </c>
      <c r="ES253" s="141"/>
      <c r="ET253" s="156">
        <f t="shared" si="18"/>
        <v>0</v>
      </c>
      <c r="EU253" s="157"/>
      <c r="EW253" s="125"/>
      <c r="EX253" s="126"/>
      <c r="EY253" s="164"/>
    </row>
    <row r="254" spans="1:155" ht="17.100000000000001" customHeight="1" thickBot="1" x14ac:dyDescent="0.25">
      <c r="A254" s="159"/>
      <c r="B254" s="125"/>
      <c r="C254" s="176"/>
      <c r="D254" s="177" t="s">
        <v>35</v>
      </c>
      <c r="E254" s="178"/>
      <c r="F254" s="177">
        <v>0</v>
      </c>
      <c r="G254" s="178"/>
      <c r="I254" s="7"/>
      <c r="J254" s="8"/>
      <c r="K254" s="9">
        <f>SUM(K248:K253)</f>
        <v>0</v>
      </c>
      <c r="M254" s="159"/>
      <c r="N254" s="125"/>
      <c r="O254" s="176"/>
      <c r="P254" s="177" t="s">
        <v>35</v>
      </c>
      <c r="Q254" s="178"/>
      <c r="R254" s="177">
        <v>0</v>
      </c>
      <c r="S254" s="178"/>
      <c r="U254" s="7"/>
      <c r="V254" s="8"/>
      <c r="W254" s="9">
        <f>SUM(W248:W253)</f>
        <v>0</v>
      </c>
      <c r="Y254" s="159"/>
      <c r="Z254" s="125"/>
      <c r="AA254" s="176"/>
      <c r="AB254" s="177" t="s">
        <v>35</v>
      </c>
      <c r="AC254" s="178"/>
      <c r="AD254" s="177">
        <v>0</v>
      </c>
      <c r="AE254" s="178"/>
      <c r="AG254" s="7"/>
      <c r="AH254" s="8"/>
      <c r="AI254" s="9">
        <f>SUM(AI248:AI253)</f>
        <v>0</v>
      </c>
      <c r="AK254" s="159"/>
      <c r="AL254" s="125"/>
      <c r="AM254" s="176"/>
      <c r="AN254" s="177" t="s">
        <v>35</v>
      </c>
      <c r="AO254" s="178"/>
      <c r="AP254" s="177">
        <v>0</v>
      </c>
      <c r="AQ254" s="178"/>
      <c r="AS254" s="7"/>
      <c r="AT254" s="8"/>
      <c r="AU254" s="9">
        <f>SUM(AU248:AU253)</f>
        <v>0</v>
      </c>
      <c r="AW254" s="159"/>
      <c r="AX254" s="125"/>
      <c r="AY254" s="176"/>
      <c r="AZ254" s="177" t="s">
        <v>35</v>
      </c>
      <c r="BA254" s="178"/>
      <c r="BB254" s="177">
        <v>0</v>
      </c>
      <c r="BC254" s="178"/>
      <c r="BE254" s="7"/>
      <c r="BF254" s="8"/>
      <c r="BG254" s="9">
        <f>SUM(BG248:BG253)</f>
        <v>0</v>
      </c>
      <c r="BI254" s="159"/>
      <c r="BJ254" s="125"/>
      <c r="BK254" s="176"/>
      <c r="BL254" s="177" t="s">
        <v>35</v>
      </c>
      <c r="BM254" s="178"/>
      <c r="BN254" s="177">
        <v>0</v>
      </c>
      <c r="BO254" s="178"/>
      <c r="BQ254" s="7"/>
      <c r="BR254" s="8"/>
      <c r="BS254" s="9">
        <f>SUM(BS248:BS253)</f>
        <v>0</v>
      </c>
      <c r="BU254" s="159"/>
      <c r="BV254" s="125"/>
      <c r="BW254" s="176"/>
      <c r="BX254" s="177" t="s">
        <v>35</v>
      </c>
      <c r="BY254" s="178"/>
      <c r="BZ254" s="177">
        <v>0</v>
      </c>
      <c r="CA254" s="178"/>
      <c r="CC254" s="7"/>
      <c r="CD254" s="8"/>
      <c r="CE254" s="9">
        <f>SUM(CE248:CE253)</f>
        <v>0</v>
      </c>
      <c r="CG254" s="159"/>
      <c r="CH254" s="125"/>
      <c r="CI254" s="176"/>
      <c r="CJ254" s="177" t="s">
        <v>35</v>
      </c>
      <c r="CK254" s="178"/>
      <c r="CL254" s="177">
        <v>0</v>
      </c>
      <c r="CM254" s="178"/>
      <c r="CO254" s="7"/>
      <c r="CP254" s="8"/>
      <c r="CQ254" s="9">
        <f>SUM(CQ248:CQ253)</f>
        <v>0</v>
      </c>
      <c r="CS254" s="159"/>
      <c r="CT254" s="125"/>
      <c r="CU254" s="176"/>
      <c r="CV254" s="177" t="s">
        <v>35</v>
      </c>
      <c r="CW254" s="178"/>
      <c r="CX254" s="177">
        <v>0</v>
      </c>
      <c r="CY254" s="178"/>
      <c r="DA254" s="7"/>
      <c r="DB254" s="8"/>
      <c r="DC254" s="9">
        <f>SUM(DC248:DC253)</f>
        <v>0</v>
      </c>
      <c r="DD254" s="2"/>
      <c r="DE254" s="159"/>
      <c r="DF254" s="125"/>
      <c r="DG254" s="176"/>
      <c r="DH254" s="177" t="s">
        <v>35</v>
      </c>
      <c r="DI254" s="178"/>
      <c r="DJ254" s="177">
        <v>0</v>
      </c>
      <c r="DK254" s="178"/>
      <c r="DM254" s="7"/>
      <c r="DN254" s="8"/>
      <c r="DO254" s="9">
        <f>SUM(DO248:DO253)</f>
        <v>0</v>
      </c>
      <c r="DP254" s="2"/>
      <c r="DQ254" s="159"/>
      <c r="DR254" s="125"/>
      <c r="DS254" s="176"/>
      <c r="DT254" s="177" t="s">
        <v>35</v>
      </c>
      <c r="DU254" s="178"/>
      <c r="DV254" s="177">
        <v>0</v>
      </c>
      <c r="DW254" s="178"/>
      <c r="DY254" s="7"/>
      <c r="DZ254" s="8"/>
      <c r="EA254" s="9">
        <f>SUM(EA248:EA253)</f>
        <v>0</v>
      </c>
      <c r="EC254" s="159"/>
      <c r="ED254" s="125"/>
      <c r="EE254" s="176"/>
      <c r="EF254" s="177" t="s">
        <v>35</v>
      </c>
      <c r="EG254" s="178"/>
      <c r="EH254" s="177">
        <v>0</v>
      </c>
      <c r="EI254" s="178"/>
      <c r="EK254" s="7"/>
      <c r="EL254" s="8"/>
      <c r="EM254" s="9">
        <f>SUM(EM248:EM253)</f>
        <v>0</v>
      </c>
      <c r="EO254" s="233"/>
      <c r="EP254" s="125"/>
      <c r="EQ254" s="126"/>
      <c r="ER254" s="177" t="s">
        <v>35</v>
      </c>
      <c r="ES254" s="178"/>
      <c r="ET254" s="156">
        <f t="shared" si="18"/>
        <v>0</v>
      </c>
      <c r="EU254" s="157"/>
      <c r="EW254" s="7"/>
      <c r="EX254" s="8"/>
      <c r="EY254" s="9">
        <f>SUM(EY248:EY253)</f>
        <v>0</v>
      </c>
    </row>
    <row r="255" spans="1:155" ht="17.100000000000001" customHeight="1" thickBot="1" x14ac:dyDescent="0.25">
      <c r="A255" s="160"/>
      <c r="B255" s="102" t="s">
        <v>36</v>
      </c>
      <c r="C255" s="148"/>
      <c r="D255" s="148"/>
      <c r="E255" s="128"/>
      <c r="F255" s="156">
        <v>0</v>
      </c>
      <c r="G255" s="157"/>
      <c r="I255" s="111" t="s">
        <v>37</v>
      </c>
      <c r="J255" s="124"/>
      <c r="K255" s="162">
        <v>0</v>
      </c>
      <c r="M255" s="160"/>
      <c r="N255" s="102" t="s">
        <v>36</v>
      </c>
      <c r="O255" s="148"/>
      <c r="P255" s="148"/>
      <c r="Q255" s="128"/>
      <c r="R255" s="156">
        <v>0</v>
      </c>
      <c r="S255" s="157"/>
      <c r="U255" s="111" t="s">
        <v>37</v>
      </c>
      <c r="V255" s="124"/>
      <c r="W255" s="162">
        <v>0</v>
      </c>
      <c r="Y255" s="160"/>
      <c r="Z255" s="102" t="s">
        <v>36</v>
      </c>
      <c r="AA255" s="148"/>
      <c r="AB255" s="148"/>
      <c r="AC255" s="128"/>
      <c r="AD255" s="156">
        <v>0</v>
      </c>
      <c r="AE255" s="157"/>
      <c r="AG255" s="111" t="s">
        <v>37</v>
      </c>
      <c r="AH255" s="124"/>
      <c r="AI255" s="162">
        <v>0</v>
      </c>
      <c r="AK255" s="160"/>
      <c r="AL255" s="102" t="s">
        <v>36</v>
      </c>
      <c r="AM255" s="148"/>
      <c r="AN255" s="148"/>
      <c r="AO255" s="128"/>
      <c r="AP255" s="156">
        <v>0</v>
      </c>
      <c r="AQ255" s="157"/>
      <c r="AS255" s="111" t="s">
        <v>37</v>
      </c>
      <c r="AT255" s="124"/>
      <c r="AU255" s="162">
        <v>0</v>
      </c>
      <c r="AW255" s="160"/>
      <c r="AX255" s="102" t="s">
        <v>36</v>
      </c>
      <c r="AY255" s="148"/>
      <c r="AZ255" s="148"/>
      <c r="BA255" s="128"/>
      <c r="BB255" s="156">
        <v>0</v>
      </c>
      <c r="BC255" s="157"/>
      <c r="BE255" s="111" t="s">
        <v>37</v>
      </c>
      <c r="BF255" s="124"/>
      <c r="BG255" s="162">
        <v>0</v>
      </c>
      <c r="BI255" s="160"/>
      <c r="BJ255" s="102" t="s">
        <v>36</v>
      </c>
      <c r="BK255" s="148"/>
      <c r="BL255" s="148"/>
      <c r="BM255" s="128"/>
      <c r="BN255" s="156">
        <v>0</v>
      </c>
      <c r="BO255" s="157"/>
      <c r="BQ255" s="111" t="s">
        <v>37</v>
      </c>
      <c r="BR255" s="124"/>
      <c r="BS255" s="162">
        <v>0</v>
      </c>
      <c r="BU255" s="160"/>
      <c r="BV255" s="102" t="s">
        <v>36</v>
      </c>
      <c r="BW255" s="148"/>
      <c r="BX255" s="148"/>
      <c r="BY255" s="128"/>
      <c r="BZ255" s="156">
        <v>0</v>
      </c>
      <c r="CA255" s="157"/>
      <c r="CC255" s="111" t="s">
        <v>37</v>
      </c>
      <c r="CD255" s="124"/>
      <c r="CE255" s="162">
        <v>0</v>
      </c>
      <c r="CG255" s="160"/>
      <c r="CH255" s="102" t="s">
        <v>36</v>
      </c>
      <c r="CI255" s="148"/>
      <c r="CJ255" s="148"/>
      <c r="CK255" s="128"/>
      <c r="CL255" s="156">
        <v>0</v>
      </c>
      <c r="CM255" s="157"/>
      <c r="CO255" s="111" t="s">
        <v>37</v>
      </c>
      <c r="CP255" s="124"/>
      <c r="CQ255" s="162">
        <v>0</v>
      </c>
      <c r="CS255" s="160"/>
      <c r="CT255" s="102" t="s">
        <v>36</v>
      </c>
      <c r="CU255" s="148"/>
      <c r="CV255" s="148"/>
      <c r="CW255" s="128"/>
      <c r="CX255" s="156">
        <v>0</v>
      </c>
      <c r="CY255" s="157"/>
      <c r="DA255" s="111" t="s">
        <v>37</v>
      </c>
      <c r="DB255" s="124"/>
      <c r="DC255" s="162">
        <v>0</v>
      </c>
      <c r="DD255" s="2"/>
      <c r="DE255" s="160"/>
      <c r="DF255" s="102" t="s">
        <v>36</v>
      </c>
      <c r="DG255" s="148"/>
      <c r="DH255" s="148"/>
      <c r="DI255" s="128"/>
      <c r="DJ255" s="156">
        <v>0</v>
      </c>
      <c r="DK255" s="157"/>
      <c r="DM255" s="111" t="s">
        <v>37</v>
      </c>
      <c r="DN255" s="124"/>
      <c r="DO255" s="162">
        <v>0</v>
      </c>
      <c r="DP255" s="2"/>
      <c r="DQ255" s="160"/>
      <c r="DR255" s="102" t="s">
        <v>36</v>
      </c>
      <c r="DS255" s="148"/>
      <c r="DT255" s="148"/>
      <c r="DU255" s="128"/>
      <c r="DV255" s="156">
        <v>0</v>
      </c>
      <c r="DW255" s="157"/>
      <c r="DY255" s="111" t="s">
        <v>37</v>
      </c>
      <c r="DZ255" s="124"/>
      <c r="EA255" s="162">
        <v>0</v>
      </c>
      <c r="EC255" s="160"/>
      <c r="ED255" s="102" t="s">
        <v>36</v>
      </c>
      <c r="EE255" s="148"/>
      <c r="EF255" s="148"/>
      <c r="EG255" s="128"/>
      <c r="EH255" s="156">
        <v>0</v>
      </c>
      <c r="EI255" s="157"/>
      <c r="EK255" s="111" t="s">
        <v>37</v>
      </c>
      <c r="EL255" s="124"/>
      <c r="EM255" s="162">
        <v>0</v>
      </c>
      <c r="EO255" s="234"/>
      <c r="EP255" s="156" t="s">
        <v>36</v>
      </c>
      <c r="EQ255" s="187"/>
      <c r="ER255" s="187"/>
      <c r="ES255" s="157"/>
      <c r="ET255" s="156">
        <f t="shared" si="18"/>
        <v>0</v>
      </c>
      <c r="EU255" s="157"/>
      <c r="EW255" s="111" t="s">
        <v>37</v>
      </c>
      <c r="EX255" s="124"/>
      <c r="EY255" s="162">
        <f>K255+W255+AI255+AU255+BG255+BS255+CE255+CQ255+DC255+DO255+EA255+EM255</f>
        <v>0</v>
      </c>
    </row>
    <row r="256" spans="1:155" ht="17.100000000000001" customHeight="1" thickBot="1" x14ac:dyDescent="0.25">
      <c r="A256" s="111" t="s">
        <v>38</v>
      </c>
      <c r="B256" s="174"/>
      <c r="C256" s="124"/>
      <c r="D256" s="155" t="s">
        <v>39</v>
      </c>
      <c r="E256" s="161"/>
      <c r="F256" s="155">
        <v>0</v>
      </c>
      <c r="G256" s="141"/>
      <c r="I256" s="113"/>
      <c r="J256" s="112"/>
      <c r="K256" s="163"/>
      <c r="M256" s="111" t="s">
        <v>38</v>
      </c>
      <c r="N256" s="174"/>
      <c r="O256" s="124"/>
      <c r="P256" s="155" t="s">
        <v>39</v>
      </c>
      <c r="Q256" s="161"/>
      <c r="R256" s="155">
        <v>0</v>
      </c>
      <c r="S256" s="141"/>
      <c r="U256" s="113"/>
      <c r="V256" s="112"/>
      <c r="W256" s="163"/>
      <c r="Y256" s="111" t="s">
        <v>38</v>
      </c>
      <c r="Z256" s="174"/>
      <c r="AA256" s="124"/>
      <c r="AB256" s="155" t="s">
        <v>39</v>
      </c>
      <c r="AC256" s="161"/>
      <c r="AD256" s="155">
        <v>0</v>
      </c>
      <c r="AE256" s="141"/>
      <c r="AG256" s="113"/>
      <c r="AH256" s="112"/>
      <c r="AI256" s="163"/>
      <c r="AK256" s="111" t="s">
        <v>38</v>
      </c>
      <c r="AL256" s="174"/>
      <c r="AM256" s="124"/>
      <c r="AN256" s="155" t="s">
        <v>39</v>
      </c>
      <c r="AO256" s="161"/>
      <c r="AP256" s="155">
        <v>0</v>
      </c>
      <c r="AQ256" s="141"/>
      <c r="AS256" s="113"/>
      <c r="AT256" s="112"/>
      <c r="AU256" s="163"/>
      <c r="AW256" s="111" t="s">
        <v>38</v>
      </c>
      <c r="AX256" s="174"/>
      <c r="AY256" s="124"/>
      <c r="AZ256" s="155" t="s">
        <v>39</v>
      </c>
      <c r="BA256" s="161"/>
      <c r="BB256" s="155">
        <v>0</v>
      </c>
      <c r="BC256" s="141"/>
      <c r="BE256" s="113"/>
      <c r="BF256" s="112"/>
      <c r="BG256" s="163"/>
      <c r="BI256" s="111" t="s">
        <v>38</v>
      </c>
      <c r="BJ256" s="174"/>
      <c r="BK256" s="124"/>
      <c r="BL256" s="155" t="s">
        <v>39</v>
      </c>
      <c r="BM256" s="161"/>
      <c r="BN256" s="155">
        <v>0</v>
      </c>
      <c r="BO256" s="141"/>
      <c r="BQ256" s="113"/>
      <c r="BR256" s="112"/>
      <c r="BS256" s="163"/>
      <c r="BU256" s="111" t="s">
        <v>38</v>
      </c>
      <c r="BV256" s="174"/>
      <c r="BW256" s="124"/>
      <c r="BX256" s="155" t="s">
        <v>39</v>
      </c>
      <c r="BY256" s="161"/>
      <c r="BZ256" s="155">
        <v>0</v>
      </c>
      <c r="CA256" s="141"/>
      <c r="CC256" s="113"/>
      <c r="CD256" s="112"/>
      <c r="CE256" s="163"/>
      <c r="CG256" s="111" t="s">
        <v>38</v>
      </c>
      <c r="CH256" s="174"/>
      <c r="CI256" s="124"/>
      <c r="CJ256" s="155" t="s">
        <v>39</v>
      </c>
      <c r="CK256" s="161"/>
      <c r="CL256" s="155">
        <v>0</v>
      </c>
      <c r="CM256" s="141"/>
      <c r="CO256" s="113"/>
      <c r="CP256" s="112"/>
      <c r="CQ256" s="163"/>
      <c r="CS256" s="111" t="s">
        <v>38</v>
      </c>
      <c r="CT256" s="174"/>
      <c r="CU256" s="124"/>
      <c r="CV256" s="155" t="s">
        <v>39</v>
      </c>
      <c r="CW256" s="161"/>
      <c r="CX256" s="155">
        <v>0</v>
      </c>
      <c r="CY256" s="141"/>
      <c r="DA256" s="113"/>
      <c r="DB256" s="112"/>
      <c r="DC256" s="163"/>
      <c r="DD256" s="2"/>
      <c r="DE256" s="111" t="s">
        <v>38</v>
      </c>
      <c r="DF256" s="174"/>
      <c r="DG256" s="124"/>
      <c r="DH256" s="155" t="s">
        <v>39</v>
      </c>
      <c r="DI256" s="161"/>
      <c r="DJ256" s="155">
        <v>0</v>
      </c>
      <c r="DK256" s="141"/>
      <c r="DM256" s="113"/>
      <c r="DN256" s="112"/>
      <c r="DO256" s="163"/>
      <c r="DP256" s="2"/>
      <c r="DQ256" s="111" t="s">
        <v>38</v>
      </c>
      <c r="DR256" s="174"/>
      <c r="DS256" s="124"/>
      <c r="DT256" s="155" t="s">
        <v>39</v>
      </c>
      <c r="DU256" s="161"/>
      <c r="DV256" s="155">
        <v>0</v>
      </c>
      <c r="DW256" s="141"/>
      <c r="DY256" s="113"/>
      <c r="DZ256" s="112"/>
      <c r="EA256" s="163"/>
      <c r="EC256" s="111" t="s">
        <v>38</v>
      </c>
      <c r="ED256" s="174"/>
      <c r="EE256" s="124"/>
      <c r="EF256" s="155" t="s">
        <v>39</v>
      </c>
      <c r="EG256" s="161"/>
      <c r="EH256" s="155">
        <v>0</v>
      </c>
      <c r="EI256" s="141"/>
      <c r="EK256" s="113"/>
      <c r="EL256" s="112"/>
      <c r="EM256" s="163"/>
      <c r="EO256" s="111" t="s">
        <v>38</v>
      </c>
      <c r="EP256" s="174"/>
      <c r="EQ256" s="124"/>
      <c r="ER256" s="155" t="s">
        <v>39</v>
      </c>
      <c r="ES256" s="141"/>
      <c r="ET256" s="156">
        <f t="shared" si="18"/>
        <v>0</v>
      </c>
      <c r="EU256" s="157"/>
      <c r="EW256" s="113"/>
      <c r="EX256" s="112"/>
      <c r="EY256" s="163"/>
    </row>
    <row r="257" spans="1:156" ht="17.100000000000001" customHeight="1" thickBot="1" x14ac:dyDescent="0.25">
      <c r="A257" s="113"/>
      <c r="B257" s="175"/>
      <c r="C257" s="112"/>
      <c r="D257" s="154" t="s">
        <v>40</v>
      </c>
      <c r="E257" s="181"/>
      <c r="F257" s="154">
        <v>0</v>
      </c>
      <c r="G257" s="142"/>
      <c r="I257" s="125"/>
      <c r="J257" s="126"/>
      <c r="K257" s="164"/>
      <c r="M257" s="113"/>
      <c r="N257" s="175"/>
      <c r="O257" s="112"/>
      <c r="P257" s="154" t="s">
        <v>40</v>
      </c>
      <c r="Q257" s="181"/>
      <c r="R257" s="154">
        <v>0</v>
      </c>
      <c r="S257" s="142"/>
      <c r="U257" s="125"/>
      <c r="V257" s="126"/>
      <c r="W257" s="164"/>
      <c r="Y257" s="113"/>
      <c r="Z257" s="175"/>
      <c r="AA257" s="112"/>
      <c r="AB257" s="154" t="s">
        <v>40</v>
      </c>
      <c r="AC257" s="181"/>
      <c r="AD257" s="154">
        <v>0</v>
      </c>
      <c r="AE257" s="142"/>
      <c r="AG257" s="125"/>
      <c r="AH257" s="126"/>
      <c r="AI257" s="164"/>
      <c r="AK257" s="113"/>
      <c r="AL257" s="175"/>
      <c r="AM257" s="112"/>
      <c r="AN257" s="154" t="s">
        <v>40</v>
      </c>
      <c r="AO257" s="181"/>
      <c r="AP257" s="154">
        <v>0</v>
      </c>
      <c r="AQ257" s="142"/>
      <c r="AS257" s="125"/>
      <c r="AT257" s="126"/>
      <c r="AU257" s="164"/>
      <c r="AW257" s="113"/>
      <c r="AX257" s="175"/>
      <c r="AY257" s="112"/>
      <c r="AZ257" s="154" t="s">
        <v>40</v>
      </c>
      <c r="BA257" s="181"/>
      <c r="BB257" s="154">
        <v>0</v>
      </c>
      <c r="BC257" s="142"/>
      <c r="BE257" s="125"/>
      <c r="BF257" s="126"/>
      <c r="BG257" s="164"/>
      <c r="BI257" s="113"/>
      <c r="BJ257" s="175"/>
      <c r="BK257" s="112"/>
      <c r="BL257" s="154" t="s">
        <v>40</v>
      </c>
      <c r="BM257" s="181"/>
      <c r="BN257" s="154">
        <v>0</v>
      </c>
      <c r="BO257" s="142"/>
      <c r="BQ257" s="125"/>
      <c r="BR257" s="126"/>
      <c r="BS257" s="164"/>
      <c r="BU257" s="113"/>
      <c r="BV257" s="175"/>
      <c r="BW257" s="112"/>
      <c r="BX257" s="154" t="s">
        <v>40</v>
      </c>
      <c r="BY257" s="181"/>
      <c r="BZ257" s="154">
        <v>0</v>
      </c>
      <c r="CA257" s="142"/>
      <c r="CC257" s="125"/>
      <c r="CD257" s="126"/>
      <c r="CE257" s="164"/>
      <c r="CG257" s="113"/>
      <c r="CH257" s="175"/>
      <c r="CI257" s="112"/>
      <c r="CJ257" s="154" t="s">
        <v>40</v>
      </c>
      <c r="CK257" s="181"/>
      <c r="CL257" s="154">
        <v>0</v>
      </c>
      <c r="CM257" s="142"/>
      <c r="CO257" s="125"/>
      <c r="CP257" s="126"/>
      <c r="CQ257" s="164"/>
      <c r="CS257" s="113"/>
      <c r="CT257" s="175"/>
      <c r="CU257" s="112"/>
      <c r="CV257" s="154" t="s">
        <v>40</v>
      </c>
      <c r="CW257" s="181"/>
      <c r="CX257" s="154">
        <v>0</v>
      </c>
      <c r="CY257" s="142"/>
      <c r="DA257" s="125"/>
      <c r="DB257" s="126"/>
      <c r="DC257" s="164"/>
      <c r="DD257" s="2"/>
      <c r="DE257" s="113"/>
      <c r="DF257" s="175"/>
      <c r="DG257" s="112"/>
      <c r="DH257" s="154" t="s">
        <v>40</v>
      </c>
      <c r="DI257" s="181"/>
      <c r="DJ257" s="154">
        <v>0</v>
      </c>
      <c r="DK257" s="142"/>
      <c r="DM257" s="125"/>
      <c r="DN257" s="126"/>
      <c r="DO257" s="164"/>
      <c r="DP257" s="2"/>
      <c r="DQ257" s="113"/>
      <c r="DR257" s="175"/>
      <c r="DS257" s="112"/>
      <c r="DT257" s="154" t="s">
        <v>40</v>
      </c>
      <c r="DU257" s="181"/>
      <c r="DV257" s="154">
        <v>0</v>
      </c>
      <c r="DW257" s="142"/>
      <c r="DY257" s="125"/>
      <c r="DZ257" s="126"/>
      <c r="EA257" s="164"/>
      <c r="EC257" s="113"/>
      <c r="ED257" s="175"/>
      <c r="EE257" s="112"/>
      <c r="EF257" s="154" t="s">
        <v>40</v>
      </c>
      <c r="EG257" s="181"/>
      <c r="EH257" s="154">
        <v>0</v>
      </c>
      <c r="EI257" s="142"/>
      <c r="EK257" s="125"/>
      <c r="EL257" s="126"/>
      <c r="EM257" s="164"/>
      <c r="EO257" s="113"/>
      <c r="EP257" s="175"/>
      <c r="EQ257" s="112"/>
      <c r="ER257" s="154" t="s">
        <v>40</v>
      </c>
      <c r="ES257" s="142"/>
      <c r="ET257" s="156">
        <f t="shared" si="18"/>
        <v>0</v>
      </c>
      <c r="EU257" s="157"/>
      <c r="EW257" s="125"/>
      <c r="EX257" s="126"/>
      <c r="EY257" s="164"/>
    </row>
    <row r="258" spans="1:156" ht="17.100000000000001" customHeight="1" thickBot="1" x14ac:dyDescent="0.25">
      <c r="A258" s="113"/>
      <c r="B258" s="175"/>
      <c r="C258" s="112"/>
      <c r="D258" s="154" t="s">
        <v>41</v>
      </c>
      <c r="E258" s="181"/>
      <c r="F258" s="154">
        <v>0</v>
      </c>
      <c r="G258" s="142"/>
      <c r="I258" s="111" t="s">
        <v>20</v>
      </c>
      <c r="J258" s="124"/>
      <c r="K258" s="162">
        <v>0</v>
      </c>
      <c r="M258" s="113"/>
      <c r="N258" s="175"/>
      <c r="O258" s="112"/>
      <c r="P258" s="154" t="s">
        <v>41</v>
      </c>
      <c r="Q258" s="181"/>
      <c r="R258" s="154">
        <v>0</v>
      </c>
      <c r="S258" s="142"/>
      <c r="U258" s="111" t="s">
        <v>20</v>
      </c>
      <c r="V258" s="124"/>
      <c r="W258" s="162">
        <v>0</v>
      </c>
      <c r="Y258" s="113"/>
      <c r="Z258" s="175"/>
      <c r="AA258" s="112"/>
      <c r="AB258" s="154" t="s">
        <v>41</v>
      </c>
      <c r="AC258" s="181"/>
      <c r="AD258" s="154">
        <v>0</v>
      </c>
      <c r="AE258" s="142"/>
      <c r="AG258" s="111" t="s">
        <v>20</v>
      </c>
      <c r="AH258" s="124"/>
      <c r="AI258" s="162">
        <v>0</v>
      </c>
      <c r="AK258" s="113"/>
      <c r="AL258" s="175"/>
      <c r="AM258" s="112"/>
      <c r="AN258" s="154" t="s">
        <v>41</v>
      </c>
      <c r="AO258" s="181"/>
      <c r="AP258" s="154">
        <v>0</v>
      </c>
      <c r="AQ258" s="142"/>
      <c r="AS258" s="111" t="s">
        <v>20</v>
      </c>
      <c r="AT258" s="124"/>
      <c r="AU258" s="162">
        <v>0</v>
      </c>
      <c r="AW258" s="113"/>
      <c r="AX258" s="175"/>
      <c r="AY258" s="112"/>
      <c r="AZ258" s="154" t="s">
        <v>41</v>
      </c>
      <c r="BA258" s="181"/>
      <c r="BB258" s="154">
        <v>0</v>
      </c>
      <c r="BC258" s="142"/>
      <c r="BE258" s="111" t="s">
        <v>20</v>
      </c>
      <c r="BF258" s="124"/>
      <c r="BG258" s="162">
        <v>0</v>
      </c>
      <c r="BI258" s="113"/>
      <c r="BJ258" s="175"/>
      <c r="BK258" s="112"/>
      <c r="BL258" s="154" t="s">
        <v>41</v>
      </c>
      <c r="BM258" s="181"/>
      <c r="BN258" s="154">
        <v>0</v>
      </c>
      <c r="BO258" s="142"/>
      <c r="BQ258" s="111" t="s">
        <v>20</v>
      </c>
      <c r="BR258" s="124"/>
      <c r="BS258" s="162">
        <v>0</v>
      </c>
      <c r="BU258" s="113"/>
      <c r="BV258" s="175"/>
      <c r="BW258" s="112"/>
      <c r="BX258" s="154" t="s">
        <v>41</v>
      </c>
      <c r="BY258" s="181"/>
      <c r="BZ258" s="154">
        <v>0</v>
      </c>
      <c r="CA258" s="142"/>
      <c r="CC258" s="111" t="s">
        <v>20</v>
      </c>
      <c r="CD258" s="124"/>
      <c r="CE258" s="162">
        <v>0</v>
      </c>
      <c r="CG258" s="113"/>
      <c r="CH258" s="175"/>
      <c r="CI258" s="112"/>
      <c r="CJ258" s="154" t="s">
        <v>41</v>
      </c>
      <c r="CK258" s="181"/>
      <c r="CL258" s="154">
        <v>0</v>
      </c>
      <c r="CM258" s="142"/>
      <c r="CO258" s="111" t="s">
        <v>20</v>
      </c>
      <c r="CP258" s="124"/>
      <c r="CQ258" s="162">
        <v>0</v>
      </c>
      <c r="CS258" s="113"/>
      <c r="CT258" s="175"/>
      <c r="CU258" s="112"/>
      <c r="CV258" s="154" t="s">
        <v>41</v>
      </c>
      <c r="CW258" s="181"/>
      <c r="CX258" s="154">
        <v>0</v>
      </c>
      <c r="CY258" s="142"/>
      <c r="DA258" s="111" t="s">
        <v>20</v>
      </c>
      <c r="DB258" s="124"/>
      <c r="DC258" s="162">
        <v>0</v>
      </c>
      <c r="DD258" s="2"/>
      <c r="DE258" s="113"/>
      <c r="DF258" s="175"/>
      <c r="DG258" s="112"/>
      <c r="DH258" s="154" t="s">
        <v>41</v>
      </c>
      <c r="DI258" s="181"/>
      <c r="DJ258" s="154">
        <v>0</v>
      </c>
      <c r="DK258" s="142"/>
      <c r="DM258" s="111" t="s">
        <v>20</v>
      </c>
      <c r="DN258" s="124"/>
      <c r="DO258" s="162">
        <v>0</v>
      </c>
      <c r="DP258" s="2"/>
      <c r="DQ258" s="113"/>
      <c r="DR258" s="175"/>
      <c r="DS258" s="112"/>
      <c r="DT258" s="154" t="s">
        <v>41</v>
      </c>
      <c r="DU258" s="181"/>
      <c r="DV258" s="154">
        <v>0</v>
      </c>
      <c r="DW258" s="142"/>
      <c r="DY258" s="111" t="s">
        <v>20</v>
      </c>
      <c r="DZ258" s="124"/>
      <c r="EA258" s="162">
        <v>0</v>
      </c>
      <c r="EC258" s="113"/>
      <c r="ED258" s="175"/>
      <c r="EE258" s="112"/>
      <c r="EF258" s="154" t="s">
        <v>41</v>
      </c>
      <c r="EG258" s="181"/>
      <c r="EH258" s="154">
        <v>0</v>
      </c>
      <c r="EI258" s="142"/>
      <c r="EK258" s="111" t="s">
        <v>20</v>
      </c>
      <c r="EL258" s="124"/>
      <c r="EM258" s="162">
        <v>0</v>
      </c>
      <c r="EO258" s="113"/>
      <c r="EP258" s="175"/>
      <c r="EQ258" s="112"/>
      <c r="ER258" s="154" t="s">
        <v>41</v>
      </c>
      <c r="ES258" s="142"/>
      <c r="ET258" s="156">
        <f t="shared" si="18"/>
        <v>0</v>
      </c>
      <c r="EU258" s="157"/>
      <c r="EW258" s="111" t="s">
        <v>20</v>
      </c>
      <c r="EX258" s="124"/>
      <c r="EY258" s="162">
        <f>K258+W258+AI258+AU258+BG258+BS258+CE258+CQ258+DC258+DO258+EA258+EM258</f>
        <v>0</v>
      </c>
    </row>
    <row r="259" spans="1:156" ht="17.100000000000001" customHeight="1" thickBot="1" x14ac:dyDescent="0.25">
      <c r="A259" s="125"/>
      <c r="B259" s="175"/>
      <c r="C259" s="112"/>
      <c r="D259" s="188" t="s">
        <v>42</v>
      </c>
      <c r="E259" s="189"/>
      <c r="F259" s="188">
        <v>0</v>
      </c>
      <c r="G259" s="194"/>
      <c r="I259" s="113"/>
      <c r="J259" s="112"/>
      <c r="K259" s="163"/>
      <c r="M259" s="125"/>
      <c r="N259" s="175"/>
      <c r="O259" s="112"/>
      <c r="P259" s="188" t="s">
        <v>42</v>
      </c>
      <c r="Q259" s="189"/>
      <c r="R259" s="188">
        <v>0</v>
      </c>
      <c r="S259" s="194"/>
      <c r="U259" s="113"/>
      <c r="V259" s="112"/>
      <c r="W259" s="163"/>
      <c r="Y259" s="125"/>
      <c r="Z259" s="175"/>
      <c r="AA259" s="112"/>
      <c r="AB259" s="188" t="s">
        <v>42</v>
      </c>
      <c r="AC259" s="189"/>
      <c r="AD259" s="188">
        <v>0</v>
      </c>
      <c r="AE259" s="194"/>
      <c r="AG259" s="113"/>
      <c r="AH259" s="112"/>
      <c r="AI259" s="163"/>
      <c r="AK259" s="125"/>
      <c r="AL259" s="175"/>
      <c r="AM259" s="112"/>
      <c r="AN259" s="188" t="s">
        <v>42</v>
      </c>
      <c r="AO259" s="189"/>
      <c r="AP259" s="188">
        <v>0</v>
      </c>
      <c r="AQ259" s="194"/>
      <c r="AS259" s="113"/>
      <c r="AT259" s="112"/>
      <c r="AU259" s="163"/>
      <c r="AW259" s="125"/>
      <c r="AX259" s="175"/>
      <c r="AY259" s="112"/>
      <c r="AZ259" s="188" t="s">
        <v>42</v>
      </c>
      <c r="BA259" s="189"/>
      <c r="BB259" s="188">
        <v>0</v>
      </c>
      <c r="BC259" s="194"/>
      <c r="BE259" s="113"/>
      <c r="BF259" s="112"/>
      <c r="BG259" s="163"/>
      <c r="BI259" s="125"/>
      <c r="BJ259" s="175"/>
      <c r="BK259" s="112"/>
      <c r="BL259" s="188" t="s">
        <v>42</v>
      </c>
      <c r="BM259" s="189"/>
      <c r="BN259" s="188">
        <v>0</v>
      </c>
      <c r="BO259" s="194"/>
      <c r="BQ259" s="113"/>
      <c r="BR259" s="112"/>
      <c r="BS259" s="163"/>
      <c r="BU259" s="125"/>
      <c r="BV259" s="175"/>
      <c r="BW259" s="112"/>
      <c r="BX259" s="188" t="s">
        <v>42</v>
      </c>
      <c r="BY259" s="189"/>
      <c r="BZ259" s="188">
        <v>0</v>
      </c>
      <c r="CA259" s="194"/>
      <c r="CC259" s="113"/>
      <c r="CD259" s="112"/>
      <c r="CE259" s="163"/>
      <c r="CG259" s="125"/>
      <c r="CH259" s="175"/>
      <c r="CI259" s="112"/>
      <c r="CJ259" s="188" t="s">
        <v>42</v>
      </c>
      <c r="CK259" s="189"/>
      <c r="CL259" s="188">
        <v>0</v>
      </c>
      <c r="CM259" s="194"/>
      <c r="CO259" s="113"/>
      <c r="CP259" s="112"/>
      <c r="CQ259" s="163"/>
      <c r="CS259" s="125"/>
      <c r="CT259" s="175"/>
      <c r="CU259" s="112"/>
      <c r="CV259" s="188" t="s">
        <v>42</v>
      </c>
      <c r="CW259" s="189"/>
      <c r="CX259" s="188">
        <v>0</v>
      </c>
      <c r="CY259" s="194"/>
      <c r="DA259" s="113"/>
      <c r="DB259" s="112"/>
      <c r="DC259" s="163"/>
      <c r="DD259" s="2"/>
      <c r="DE259" s="125"/>
      <c r="DF259" s="175"/>
      <c r="DG259" s="112"/>
      <c r="DH259" s="188" t="s">
        <v>42</v>
      </c>
      <c r="DI259" s="189"/>
      <c r="DJ259" s="188">
        <v>0</v>
      </c>
      <c r="DK259" s="194"/>
      <c r="DM259" s="113"/>
      <c r="DN259" s="112"/>
      <c r="DO259" s="163"/>
      <c r="DP259" s="2"/>
      <c r="DQ259" s="125"/>
      <c r="DR259" s="175"/>
      <c r="DS259" s="112"/>
      <c r="DT259" s="188" t="s">
        <v>42</v>
      </c>
      <c r="DU259" s="189"/>
      <c r="DV259" s="188">
        <v>0</v>
      </c>
      <c r="DW259" s="194"/>
      <c r="DY259" s="113"/>
      <c r="DZ259" s="112"/>
      <c r="EA259" s="163"/>
      <c r="EC259" s="125"/>
      <c r="ED259" s="175"/>
      <c r="EE259" s="112"/>
      <c r="EF259" s="188" t="s">
        <v>42</v>
      </c>
      <c r="EG259" s="189"/>
      <c r="EH259" s="188">
        <v>0</v>
      </c>
      <c r="EI259" s="194"/>
      <c r="EK259" s="113"/>
      <c r="EL259" s="112"/>
      <c r="EM259" s="163"/>
      <c r="EO259" s="125"/>
      <c r="EP259" s="176"/>
      <c r="EQ259" s="126"/>
      <c r="ER259" s="177" t="s">
        <v>42</v>
      </c>
      <c r="ES259" s="178"/>
      <c r="ET259" s="156">
        <f t="shared" si="18"/>
        <v>0</v>
      </c>
      <c r="EU259" s="157"/>
      <c r="EW259" s="113"/>
      <c r="EX259" s="112"/>
      <c r="EY259" s="163"/>
    </row>
    <row r="260" spans="1:156" ht="17.100000000000001" customHeight="1" thickBot="1" x14ac:dyDescent="0.25">
      <c r="A260" s="111" t="s">
        <v>43</v>
      </c>
      <c r="B260" s="61">
        <f>1</f>
        <v>1</v>
      </c>
      <c r="C260" s="62">
        <v>2</v>
      </c>
      <c r="D260" s="62">
        <v>3</v>
      </c>
      <c r="E260" s="62">
        <v>4</v>
      </c>
      <c r="F260" s="62">
        <v>5</v>
      </c>
      <c r="G260" s="80">
        <v>6</v>
      </c>
      <c r="I260" s="125"/>
      <c r="J260" s="126"/>
      <c r="K260" s="164"/>
      <c r="M260" s="111" t="s">
        <v>43</v>
      </c>
      <c r="N260" s="61">
        <f>1</f>
        <v>1</v>
      </c>
      <c r="O260" s="62">
        <v>2</v>
      </c>
      <c r="P260" s="62">
        <v>3</v>
      </c>
      <c r="Q260" s="62">
        <v>4</v>
      </c>
      <c r="R260" s="62">
        <v>5</v>
      </c>
      <c r="S260" s="80">
        <v>6</v>
      </c>
      <c r="U260" s="125"/>
      <c r="V260" s="126"/>
      <c r="W260" s="164"/>
      <c r="Y260" s="111" t="s">
        <v>43</v>
      </c>
      <c r="Z260" s="61">
        <f>1</f>
        <v>1</v>
      </c>
      <c r="AA260" s="62">
        <v>2</v>
      </c>
      <c r="AB260" s="62">
        <v>3</v>
      </c>
      <c r="AC260" s="62">
        <v>4</v>
      </c>
      <c r="AD260" s="62">
        <v>5</v>
      </c>
      <c r="AE260" s="80">
        <v>6</v>
      </c>
      <c r="AG260" s="125"/>
      <c r="AH260" s="126"/>
      <c r="AI260" s="164"/>
      <c r="AK260" s="111" t="s">
        <v>43</v>
      </c>
      <c r="AL260" s="61">
        <f>1</f>
        <v>1</v>
      </c>
      <c r="AM260" s="62">
        <v>2</v>
      </c>
      <c r="AN260" s="62">
        <v>3</v>
      </c>
      <c r="AO260" s="62">
        <v>4</v>
      </c>
      <c r="AP260" s="62">
        <v>5</v>
      </c>
      <c r="AQ260" s="80">
        <v>6</v>
      </c>
      <c r="AS260" s="125"/>
      <c r="AT260" s="126"/>
      <c r="AU260" s="164"/>
      <c r="AW260" s="111" t="s">
        <v>43</v>
      </c>
      <c r="AX260" s="61">
        <f>1</f>
        <v>1</v>
      </c>
      <c r="AY260" s="62">
        <v>2</v>
      </c>
      <c r="AZ260" s="62">
        <v>3</v>
      </c>
      <c r="BA260" s="62">
        <v>4</v>
      </c>
      <c r="BB260" s="62">
        <v>5</v>
      </c>
      <c r="BC260" s="80">
        <v>6</v>
      </c>
      <c r="BE260" s="125"/>
      <c r="BF260" s="126"/>
      <c r="BG260" s="164"/>
      <c r="BI260" s="111" t="s">
        <v>43</v>
      </c>
      <c r="BJ260" s="61">
        <f>1</f>
        <v>1</v>
      </c>
      <c r="BK260" s="62">
        <v>2</v>
      </c>
      <c r="BL260" s="62">
        <v>3</v>
      </c>
      <c r="BM260" s="62">
        <v>4</v>
      </c>
      <c r="BN260" s="62">
        <v>5</v>
      </c>
      <c r="BO260" s="80">
        <v>6</v>
      </c>
      <c r="BQ260" s="125"/>
      <c r="BR260" s="126"/>
      <c r="BS260" s="164"/>
      <c r="BU260" s="111" t="s">
        <v>43</v>
      </c>
      <c r="BV260" s="61">
        <f>1</f>
        <v>1</v>
      </c>
      <c r="BW260" s="62">
        <v>2</v>
      </c>
      <c r="BX260" s="62">
        <v>3</v>
      </c>
      <c r="BY260" s="62">
        <v>4</v>
      </c>
      <c r="BZ260" s="62">
        <v>5</v>
      </c>
      <c r="CA260" s="80">
        <v>6</v>
      </c>
      <c r="CC260" s="125"/>
      <c r="CD260" s="126"/>
      <c r="CE260" s="164"/>
      <c r="CG260" s="111" t="s">
        <v>43</v>
      </c>
      <c r="CH260" s="61">
        <f>1</f>
        <v>1</v>
      </c>
      <c r="CI260" s="62">
        <v>2</v>
      </c>
      <c r="CJ260" s="62">
        <v>3</v>
      </c>
      <c r="CK260" s="62">
        <v>4</v>
      </c>
      <c r="CL260" s="62">
        <v>5</v>
      </c>
      <c r="CM260" s="80">
        <v>6</v>
      </c>
      <c r="CO260" s="125"/>
      <c r="CP260" s="126"/>
      <c r="CQ260" s="164"/>
      <c r="CS260" s="111" t="s">
        <v>43</v>
      </c>
      <c r="CT260" s="61">
        <f>1</f>
        <v>1</v>
      </c>
      <c r="CU260" s="62">
        <v>2</v>
      </c>
      <c r="CV260" s="62">
        <v>3</v>
      </c>
      <c r="CW260" s="62">
        <v>4</v>
      </c>
      <c r="CX260" s="62">
        <v>5</v>
      </c>
      <c r="CY260" s="80">
        <v>6</v>
      </c>
      <c r="DA260" s="125"/>
      <c r="DB260" s="126"/>
      <c r="DC260" s="164"/>
      <c r="DD260" s="2"/>
      <c r="DE260" s="111" t="s">
        <v>43</v>
      </c>
      <c r="DF260" s="61">
        <f>1</f>
        <v>1</v>
      </c>
      <c r="DG260" s="62">
        <v>2</v>
      </c>
      <c r="DH260" s="62">
        <v>3</v>
      </c>
      <c r="DI260" s="62">
        <v>4</v>
      </c>
      <c r="DJ260" s="62">
        <v>5</v>
      </c>
      <c r="DK260" s="80">
        <v>6</v>
      </c>
      <c r="DM260" s="125"/>
      <c r="DN260" s="126"/>
      <c r="DO260" s="164"/>
      <c r="DP260" s="2"/>
      <c r="DQ260" s="111" t="s">
        <v>43</v>
      </c>
      <c r="DR260" s="61">
        <f>1</f>
        <v>1</v>
      </c>
      <c r="DS260" s="62">
        <v>2</v>
      </c>
      <c r="DT260" s="62">
        <v>3</v>
      </c>
      <c r="DU260" s="62">
        <v>4</v>
      </c>
      <c r="DV260" s="62">
        <v>5</v>
      </c>
      <c r="DW260" s="80">
        <v>6</v>
      </c>
      <c r="DY260" s="125"/>
      <c r="DZ260" s="126"/>
      <c r="EA260" s="164"/>
      <c r="EC260" s="111" t="s">
        <v>43</v>
      </c>
      <c r="ED260" s="61">
        <f>1</f>
        <v>1</v>
      </c>
      <c r="EE260" s="62">
        <v>2</v>
      </c>
      <c r="EF260" s="62">
        <v>3</v>
      </c>
      <c r="EG260" s="62">
        <v>4</v>
      </c>
      <c r="EH260" s="62">
        <v>5</v>
      </c>
      <c r="EI260" s="80">
        <v>6</v>
      </c>
      <c r="EK260" s="125"/>
      <c r="EL260" s="126"/>
      <c r="EM260" s="164"/>
      <c r="EO260" s="229" t="s">
        <v>43</v>
      </c>
      <c r="EP260" s="61">
        <f>1</f>
        <v>1</v>
      </c>
      <c r="EQ260" s="62">
        <v>2</v>
      </c>
      <c r="ER260" s="62">
        <v>3</v>
      </c>
      <c r="ES260" s="62">
        <v>4</v>
      </c>
      <c r="ET260" s="62">
        <v>5</v>
      </c>
      <c r="EU260" s="80">
        <v>6</v>
      </c>
      <c r="EW260" s="125"/>
      <c r="EX260" s="126"/>
      <c r="EY260" s="164"/>
    </row>
    <row r="261" spans="1:156" ht="17.100000000000001" customHeight="1" thickBot="1" x14ac:dyDescent="0.25">
      <c r="A261" s="125"/>
      <c r="B261" s="10">
        <v>0</v>
      </c>
      <c r="C261" s="11">
        <v>0</v>
      </c>
      <c r="D261" s="11">
        <v>0</v>
      </c>
      <c r="E261" s="11">
        <v>0</v>
      </c>
      <c r="F261" s="11">
        <v>0</v>
      </c>
      <c r="G261" s="12">
        <v>0</v>
      </c>
      <c r="H261" s="13"/>
      <c r="I261" s="14"/>
      <c r="J261" s="14"/>
      <c r="K261" s="9">
        <f>SUM(K255:K260)</f>
        <v>0</v>
      </c>
      <c r="M261" s="125"/>
      <c r="N261" s="10">
        <v>0</v>
      </c>
      <c r="O261" s="11">
        <v>0</v>
      </c>
      <c r="P261" s="11">
        <v>0</v>
      </c>
      <c r="Q261" s="11">
        <v>0</v>
      </c>
      <c r="R261" s="11">
        <v>0</v>
      </c>
      <c r="S261" s="12">
        <v>0</v>
      </c>
      <c r="T261" s="13"/>
      <c r="U261" s="14"/>
      <c r="V261" s="14"/>
      <c r="W261" s="9">
        <f>SUM(W255:W260)</f>
        <v>0</v>
      </c>
      <c r="Y261" s="125"/>
      <c r="Z261" s="10">
        <v>0</v>
      </c>
      <c r="AA261" s="11">
        <v>0</v>
      </c>
      <c r="AB261" s="11">
        <v>0</v>
      </c>
      <c r="AC261" s="11">
        <v>0</v>
      </c>
      <c r="AD261" s="11">
        <v>0</v>
      </c>
      <c r="AE261" s="12">
        <v>0</v>
      </c>
      <c r="AF261" s="13"/>
      <c r="AG261" s="14"/>
      <c r="AH261" s="14"/>
      <c r="AI261" s="9">
        <f>SUM(AI255:AI260)</f>
        <v>0</v>
      </c>
      <c r="AK261" s="125"/>
      <c r="AL261" s="10">
        <v>0</v>
      </c>
      <c r="AM261" s="11">
        <v>0</v>
      </c>
      <c r="AN261" s="11">
        <v>0</v>
      </c>
      <c r="AO261" s="11">
        <v>0</v>
      </c>
      <c r="AP261" s="11">
        <v>0</v>
      </c>
      <c r="AQ261" s="12">
        <v>0</v>
      </c>
      <c r="AR261" s="13"/>
      <c r="AS261" s="14"/>
      <c r="AT261" s="14"/>
      <c r="AU261" s="9">
        <f>SUM(AU255:AU260)</f>
        <v>0</v>
      </c>
      <c r="AW261" s="125"/>
      <c r="AX261" s="10">
        <v>0</v>
      </c>
      <c r="AY261" s="11">
        <v>0</v>
      </c>
      <c r="AZ261" s="11">
        <v>0</v>
      </c>
      <c r="BA261" s="11">
        <v>0</v>
      </c>
      <c r="BB261" s="11">
        <v>0</v>
      </c>
      <c r="BC261" s="12">
        <v>0</v>
      </c>
      <c r="BD261" s="13"/>
      <c r="BE261" s="14"/>
      <c r="BF261" s="14"/>
      <c r="BG261" s="9">
        <f>SUM(BG255:BG260)</f>
        <v>0</v>
      </c>
      <c r="BI261" s="125"/>
      <c r="BJ261" s="10">
        <v>0</v>
      </c>
      <c r="BK261" s="11">
        <v>0</v>
      </c>
      <c r="BL261" s="11">
        <v>0</v>
      </c>
      <c r="BM261" s="11">
        <v>0</v>
      </c>
      <c r="BN261" s="11">
        <v>0</v>
      </c>
      <c r="BO261" s="12">
        <v>0</v>
      </c>
      <c r="BP261" s="13"/>
      <c r="BQ261" s="14"/>
      <c r="BR261" s="14"/>
      <c r="BS261" s="9">
        <f>SUM(BS255:BS260)</f>
        <v>0</v>
      </c>
      <c r="BU261" s="125"/>
      <c r="BV261" s="10">
        <v>0</v>
      </c>
      <c r="BW261" s="11">
        <v>0</v>
      </c>
      <c r="BX261" s="11">
        <v>0</v>
      </c>
      <c r="BY261" s="11">
        <v>0</v>
      </c>
      <c r="BZ261" s="11">
        <v>0</v>
      </c>
      <c r="CA261" s="12">
        <v>0</v>
      </c>
      <c r="CB261" s="13"/>
      <c r="CC261" s="14"/>
      <c r="CD261" s="14"/>
      <c r="CE261" s="9">
        <f>SUM(CE255:CE260)</f>
        <v>0</v>
      </c>
      <c r="CG261" s="125"/>
      <c r="CH261" s="10">
        <v>0</v>
      </c>
      <c r="CI261" s="11">
        <v>0</v>
      </c>
      <c r="CJ261" s="11">
        <v>0</v>
      </c>
      <c r="CK261" s="11">
        <v>0</v>
      </c>
      <c r="CL261" s="11">
        <v>0</v>
      </c>
      <c r="CM261" s="12">
        <v>0</v>
      </c>
      <c r="CN261" s="13"/>
      <c r="CO261" s="14"/>
      <c r="CP261" s="14"/>
      <c r="CQ261" s="9">
        <f>SUM(CQ255:CQ260)</f>
        <v>0</v>
      </c>
      <c r="CS261" s="125"/>
      <c r="CT261" s="10">
        <v>0</v>
      </c>
      <c r="CU261" s="11">
        <v>0</v>
      </c>
      <c r="CV261" s="11">
        <v>0</v>
      </c>
      <c r="CW261" s="11">
        <v>0</v>
      </c>
      <c r="CX261" s="11">
        <v>0</v>
      </c>
      <c r="CY261" s="12">
        <v>0</v>
      </c>
      <c r="CZ261" s="13"/>
      <c r="DA261" s="14"/>
      <c r="DB261" s="14"/>
      <c r="DC261" s="9">
        <f>SUM(DC255:DC260)</f>
        <v>0</v>
      </c>
      <c r="DD261" s="2"/>
      <c r="DE261" s="125"/>
      <c r="DF261" s="10">
        <v>0</v>
      </c>
      <c r="DG261" s="11">
        <v>0</v>
      </c>
      <c r="DH261" s="11">
        <v>0</v>
      </c>
      <c r="DI261" s="11">
        <v>0</v>
      </c>
      <c r="DJ261" s="11">
        <v>0</v>
      </c>
      <c r="DK261" s="12">
        <v>0</v>
      </c>
      <c r="DL261" s="13"/>
      <c r="DM261" s="14"/>
      <c r="DN261" s="14"/>
      <c r="DO261" s="9">
        <f>SUM(DO255:DO260)</f>
        <v>0</v>
      </c>
      <c r="DP261" s="2"/>
      <c r="DQ261" s="125"/>
      <c r="DR261" s="10">
        <v>0</v>
      </c>
      <c r="DS261" s="11">
        <v>0</v>
      </c>
      <c r="DT261" s="11">
        <v>0</v>
      </c>
      <c r="DU261" s="11">
        <v>0</v>
      </c>
      <c r="DV261" s="11">
        <v>0</v>
      </c>
      <c r="DW261" s="12">
        <v>0</v>
      </c>
      <c r="DX261" s="13"/>
      <c r="DY261" s="14"/>
      <c r="DZ261" s="14"/>
      <c r="EA261" s="9">
        <f>SUM(EA255:EA260)</f>
        <v>0</v>
      </c>
      <c r="EC261" s="125"/>
      <c r="ED261" s="10">
        <v>0</v>
      </c>
      <c r="EE261" s="11">
        <v>0</v>
      </c>
      <c r="EF261" s="11">
        <v>0</v>
      </c>
      <c r="EG261" s="11">
        <v>0</v>
      </c>
      <c r="EH261" s="11">
        <v>0</v>
      </c>
      <c r="EI261" s="12">
        <v>0</v>
      </c>
      <c r="EJ261" s="13"/>
      <c r="EK261" s="14"/>
      <c r="EL261" s="14"/>
      <c r="EM261" s="9">
        <f>SUM(EM255:EM260)</f>
        <v>0</v>
      </c>
      <c r="EO261" s="237"/>
      <c r="EP261" s="10">
        <f t="shared" ref="EP261:EU261" si="19">B261+N261+Z261+AL261+AX261+BJ261+BV261+CH261+CT261+DF261+DR261+ED261</f>
        <v>0</v>
      </c>
      <c r="EQ261" s="10">
        <f t="shared" si="19"/>
        <v>0</v>
      </c>
      <c r="ER261" s="10">
        <f t="shared" si="19"/>
        <v>0</v>
      </c>
      <c r="ES261" s="10">
        <f t="shared" si="19"/>
        <v>0</v>
      </c>
      <c r="ET261" s="10">
        <f t="shared" si="19"/>
        <v>0</v>
      </c>
      <c r="EU261" s="10">
        <f t="shared" si="19"/>
        <v>0</v>
      </c>
      <c r="EV261" s="13"/>
      <c r="EW261" s="14"/>
      <c r="EX261" s="14"/>
      <c r="EY261" s="9">
        <f>SUM(EY255:EY260)</f>
        <v>0</v>
      </c>
    </row>
    <row r="262" spans="1:156" s="70" customFormat="1" ht="18" customHeight="1" thickBot="1" x14ac:dyDescent="0.25">
      <c r="A262" s="59" t="s">
        <v>3</v>
      </c>
      <c r="B262" s="59"/>
      <c r="C262" s="179"/>
      <c r="D262" s="179"/>
      <c r="E262" s="179"/>
      <c r="F262" s="3"/>
      <c r="G262" s="64"/>
      <c r="H262" s="186"/>
      <c r="I262" s="186"/>
      <c r="J262" s="15"/>
      <c r="K262" s="3"/>
      <c r="L262" s="81"/>
      <c r="M262" s="59" t="s">
        <v>3</v>
      </c>
      <c r="N262" s="59"/>
      <c r="O262" s="179"/>
      <c r="P262" s="179"/>
      <c r="Q262" s="179"/>
      <c r="R262" s="3"/>
      <c r="S262" s="64"/>
      <c r="T262" s="186"/>
      <c r="U262" s="186"/>
      <c r="V262" s="15"/>
      <c r="W262" s="3"/>
      <c r="X262" s="81"/>
      <c r="Y262" s="59" t="s">
        <v>3</v>
      </c>
      <c r="Z262" s="59"/>
      <c r="AA262" s="179"/>
      <c r="AB262" s="179"/>
      <c r="AC262" s="179"/>
      <c r="AD262" s="3"/>
      <c r="AE262" s="64"/>
      <c r="AF262" s="186"/>
      <c r="AG262" s="186"/>
      <c r="AH262" s="15"/>
      <c r="AI262" s="3"/>
      <c r="AJ262" s="81"/>
      <c r="AK262" s="59" t="s">
        <v>3</v>
      </c>
      <c r="AL262" s="59"/>
      <c r="AM262" s="179"/>
      <c r="AN262" s="179"/>
      <c r="AO262" s="179"/>
      <c r="AP262" s="3"/>
      <c r="AQ262" s="64"/>
      <c r="AR262" s="186"/>
      <c r="AS262" s="186"/>
      <c r="AT262" s="15"/>
      <c r="AU262" s="3"/>
      <c r="AV262" s="81"/>
      <c r="AW262" s="59" t="s">
        <v>3</v>
      </c>
      <c r="AX262" s="59"/>
      <c r="AY262" s="179"/>
      <c r="AZ262" s="179"/>
      <c r="BA262" s="179"/>
      <c r="BB262" s="3"/>
      <c r="BC262" s="64"/>
      <c r="BD262" s="186"/>
      <c r="BE262" s="186"/>
      <c r="BF262" s="15"/>
      <c r="BG262" s="3"/>
      <c r="BI262" s="59" t="s">
        <v>3</v>
      </c>
      <c r="BJ262" s="59"/>
      <c r="BK262" s="179"/>
      <c r="BL262" s="179"/>
      <c r="BM262" s="179"/>
      <c r="BN262" s="3"/>
      <c r="BO262" s="64"/>
      <c r="BP262" s="186"/>
      <c r="BQ262" s="186"/>
      <c r="BR262" s="15"/>
      <c r="BS262" s="3"/>
      <c r="BU262" s="59" t="s">
        <v>3</v>
      </c>
      <c r="BV262" s="59"/>
      <c r="BW262" s="179"/>
      <c r="BX262" s="179"/>
      <c r="BY262" s="179"/>
      <c r="BZ262" s="3"/>
      <c r="CA262" s="64"/>
      <c r="CB262" s="186"/>
      <c r="CC262" s="186"/>
      <c r="CD262" s="15"/>
      <c r="CE262" s="3"/>
      <c r="CG262" s="59" t="s">
        <v>3</v>
      </c>
      <c r="CH262" s="59"/>
      <c r="CI262" s="179"/>
      <c r="CJ262" s="179"/>
      <c r="CK262" s="179"/>
      <c r="CL262" s="3"/>
      <c r="CM262" s="64"/>
      <c r="CN262" s="186"/>
      <c r="CO262" s="186"/>
      <c r="CP262" s="15"/>
      <c r="CQ262" s="3"/>
      <c r="CS262" s="59" t="s">
        <v>3</v>
      </c>
      <c r="CT262" s="59"/>
      <c r="CU262" s="179"/>
      <c r="CV262" s="179"/>
      <c r="CW262" s="179"/>
      <c r="CX262" s="3"/>
      <c r="CY262" s="64"/>
      <c r="CZ262" s="186"/>
      <c r="DA262" s="186"/>
      <c r="DB262" s="15"/>
      <c r="DC262" s="3"/>
      <c r="DE262" s="59" t="s">
        <v>3</v>
      </c>
      <c r="DF262" s="59"/>
      <c r="DG262" s="179"/>
      <c r="DH262" s="179"/>
      <c r="DI262" s="179"/>
      <c r="DJ262" s="3"/>
      <c r="DK262" s="64"/>
      <c r="DL262" s="186"/>
      <c r="DM262" s="186"/>
      <c r="DN262" s="15"/>
      <c r="DO262" s="3"/>
      <c r="DQ262" s="59" t="s">
        <v>3</v>
      </c>
      <c r="DR262" s="59"/>
      <c r="DS262" s="179"/>
      <c r="DT262" s="179"/>
      <c r="DU262" s="179"/>
      <c r="DV262" s="3"/>
      <c r="DW262" s="64"/>
      <c r="DX262" s="186"/>
      <c r="DY262" s="186"/>
      <c r="DZ262" s="15"/>
      <c r="EA262" s="3"/>
      <c r="EB262" s="82"/>
      <c r="EC262" s="59" t="s">
        <v>3</v>
      </c>
      <c r="ED262" s="59"/>
      <c r="EE262" s="179"/>
      <c r="EF262" s="179"/>
      <c r="EG262" s="179"/>
      <c r="EH262" s="3"/>
      <c r="EI262" s="64"/>
      <c r="EJ262" s="186"/>
      <c r="EK262" s="186"/>
      <c r="EL262" s="15"/>
      <c r="EM262" s="3"/>
      <c r="EN262" s="82"/>
      <c r="EO262" s="59" t="s">
        <v>3</v>
      </c>
      <c r="EP262" s="59"/>
      <c r="EQ262" s="230">
        <f>EE262</f>
        <v>0</v>
      </c>
      <c r="ER262" s="230"/>
      <c r="ES262" s="230"/>
      <c r="ET262" s="3"/>
      <c r="EU262" s="64"/>
      <c r="EV262" s="148"/>
      <c r="EW262" s="148"/>
      <c r="EX262" s="15"/>
      <c r="EY262" s="3"/>
      <c r="EZ262" s="82"/>
    </row>
    <row r="263" spans="1:156" ht="17.100000000000001" customHeight="1" thickBot="1" x14ac:dyDescent="0.25">
      <c r="A263" s="156" t="s">
        <v>4</v>
      </c>
      <c r="B263" s="187"/>
      <c r="C263" s="187"/>
      <c r="D263" s="187"/>
      <c r="E263" s="157"/>
      <c r="F263" s="156" t="s">
        <v>5</v>
      </c>
      <c r="G263" s="157"/>
      <c r="I263" s="102" t="s">
        <v>6</v>
      </c>
      <c r="J263" s="143" t="s">
        <v>7</v>
      </c>
      <c r="K263" s="165">
        <v>0</v>
      </c>
      <c r="M263" s="156" t="s">
        <v>4</v>
      </c>
      <c r="N263" s="187"/>
      <c r="O263" s="187"/>
      <c r="P263" s="187"/>
      <c r="Q263" s="157"/>
      <c r="R263" s="156" t="s">
        <v>5</v>
      </c>
      <c r="S263" s="157"/>
      <c r="U263" s="102" t="s">
        <v>6</v>
      </c>
      <c r="V263" s="143" t="s">
        <v>7</v>
      </c>
      <c r="W263" s="165">
        <v>0</v>
      </c>
      <c r="Y263" s="156" t="s">
        <v>4</v>
      </c>
      <c r="Z263" s="187"/>
      <c r="AA263" s="187"/>
      <c r="AB263" s="187"/>
      <c r="AC263" s="157"/>
      <c r="AD263" s="156" t="s">
        <v>5</v>
      </c>
      <c r="AE263" s="157"/>
      <c r="AG263" s="102" t="s">
        <v>6</v>
      </c>
      <c r="AH263" s="143" t="s">
        <v>7</v>
      </c>
      <c r="AI263" s="165">
        <v>0</v>
      </c>
      <c r="AK263" s="156" t="s">
        <v>4</v>
      </c>
      <c r="AL263" s="187"/>
      <c r="AM263" s="187"/>
      <c r="AN263" s="187"/>
      <c r="AO263" s="157"/>
      <c r="AP263" s="156" t="s">
        <v>5</v>
      </c>
      <c r="AQ263" s="157"/>
      <c r="AS263" s="102" t="s">
        <v>6</v>
      </c>
      <c r="AT263" s="143" t="s">
        <v>7</v>
      </c>
      <c r="AU263" s="165">
        <v>0</v>
      </c>
      <c r="AW263" s="156" t="s">
        <v>4</v>
      </c>
      <c r="AX263" s="187"/>
      <c r="AY263" s="187"/>
      <c r="AZ263" s="187"/>
      <c r="BA263" s="157"/>
      <c r="BB263" s="156" t="s">
        <v>5</v>
      </c>
      <c r="BC263" s="157"/>
      <c r="BE263" s="102" t="s">
        <v>6</v>
      </c>
      <c r="BF263" s="143" t="s">
        <v>7</v>
      </c>
      <c r="BG263" s="165">
        <v>0</v>
      </c>
      <c r="BI263" s="156" t="s">
        <v>4</v>
      </c>
      <c r="BJ263" s="187"/>
      <c r="BK263" s="187"/>
      <c r="BL263" s="187"/>
      <c r="BM263" s="157"/>
      <c r="BN263" s="156" t="s">
        <v>5</v>
      </c>
      <c r="BO263" s="157"/>
      <c r="BQ263" s="102" t="s">
        <v>6</v>
      </c>
      <c r="BR263" s="143" t="s">
        <v>7</v>
      </c>
      <c r="BS263" s="165">
        <v>0</v>
      </c>
      <c r="BU263" s="156" t="s">
        <v>4</v>
      </c>
      <c r="BV263" s="187"/>
      <c r="BW263" s="187"/>
      <c r="BX263" s="187"/>
      <c r="BY263" s="157"/>
      <c r="BZ263" s="156" t="s">
        <v>5</v>
      </c>
      <c r="CA263" s="157"/>
      <c r="CC263" s="102" t="s">
        <v>6</v>
      </c>
      <c r="CD263" s="143" t="s">
        <v>7</v>
      </c>
      <c r="CE263" s="165">
        <v>0</v>
      </c>
      <c r="CG263" s="156" t="s">
        <v>4</v>
      </c>
      <c r="CH263" s="187"/>
      <c r="CI263" s="187"/>
      <c r="CJ263" s="187"/>
      <c r="CK263" s="157"/>
      <c r="CL263" s="156" t="s">
        <v>5</v>
      </c>
      <c r="CM263" s="157"/>
      <c r="CO263" s="102" t="s">
        <v>6</v>
      </c>
      <c r="CP263" s="143" t="s">
        <v>7</v>
      </c>
      <c r="CQ263" s="165">
        <v>0</v>
      </c>
      <c r="CS263" s="156" t="s">
        <v>4</v>
      </c>
      <c r="CT263" s="187"/>
      <c r="CU263" s="187"/>
      <c r="CV263" s="187"/>
      <c r="CW263" s="157"/>
      <c r="CX263" s="156" t="s">
        <v>5</v>
      </c>
      <c r="CY263" s="157"/>
      <c r="DA263" s="102" t="s">
        <v>6</v>
      </c>
      <c r="DB263" s="143" t="s">
        <v>7</v>
      </c>
      <c r="DC263" s="165">
        <v>0</v>
      </c>
      <c r="DD263" s="2"/>
      <c r="DE263" s="156" t="s">
        <v>4</v>
      </c>
      <c r="DF263" s="187"/>
      <c r="DG263" s="187"/>
      <c r="DH263" s="187"/>
      <c r="DI263" s="157"/>
      <c r="DJ263" s="156" t="s">
        <v>5</v>
      </c>
      <c r="DK263" s="157"/>
      <c r="DM263" s="102" t="s">
        <v>6</v>
      </c>
      <c r="DN263" s="143" t="s">
        <v>7</v>
      </c>
      <c r="DO263" s="165">
        <v>0</v>
      </c>
      <c r="DP263" s="2"/>
      <c r="DQ263" s="156" t="s">
        <v>4</v>
      </c>
      <c r="DR263" s="187"/>
      <c r="DS263" s="187"/>
      <c r="DT263" s="187"/>
      <c r="DU263" s="157"/>
      <c r="DV263" s="156" t="s">
        <v>5</v>
      </c>
      <c r="DW263" s="157"/>
      <c r="DY263" s="102" t="s">
        <v>6</v>
      </c>
      <c r="DZ263" s="143" t="s">
        <v>7</v>
      </c>
      <c r="EA263" s="165">
        <v>0</v>
      </c>
      <c r="EC263" s="156" t="s">
        <v>4</v>
      </c>
      <c r="ED263" s="187"/>
      <c r="EE263" s="187"/>
      <c r="EF263" s="187"/>
      <c r="EG263" s="157"/>
      <c r="EH263" s="156" t="s">
        <v>5</v>
      </c>
      <c r="EI263" s="157"/>
      <c r="EK263" s="102" t="s">
        <v>6</v>
      </c>
      <c r="EL263" s="143" t="s">
        <v>7</v>
      </c>
      <c r="EM263" s="165">
        <v>0</v>
      </c>
      <c r="EO263" s="156" t="s">
        <v>4</v>
      </c>
      <c r="EP263" s="187"/>
      <c r="EQ263" s="187"/>
      <c r="ER263" s="187"/>
      <c r="ES263" s="157"/>
      <c r="ET263" s="156" t="s">
        <v>5</v>
      </c>
      <c r="EU263" s="157"/>
      <c r="EW263" s="121" t="s">
        <v>6</v>
      </c>
      <c r="EX263" s="229" t="s">
        <v>7</v>
      </c>
      <c r="EY263" s="229">
        <f>K263+W263+AI263+AU263+BG263+BS263+CE263+CQ263+DC263+DO263+EA263+EM263</f>
        <v>0</v>
      </c>
    </row>
    <row r="264" spans="1:156" ht="17.100000000000001" customHeight="1" thickBot="1" x14ac:dyDescent="0.25">
      <c r="A264" s="111" t="s">
        <v>8</v>
      </c>
      <c r="B264" s="174"/>
      <c r="C264" s="174"/>
      <c r="D264" s="155" t="s">
        <v>9</v>
      </c>
      <c r="E264" s="141"/>
      <c r="F264" s="155">
        <v>0</v>
      </c>
      <c r="G264" s="141"/>
      <c r="I264" s="103"/>
      <c r="J264" s="140"/>
      <c r="K264" s="166"/>
      <c r="M264" s="111" t="s">
        <v>8</v>
      </c>
      <c r="N264" s="174"/>
      <c r="O264" s="174"/>
      <c r="P264" s="155" t="s">
        <v>9</v>
      </c>
      <c r="Q264" s="141"/>
      <c r="R264" s="155">
        <v>0</v>
      </c>
      <c r="S264" s="141"/>
      <c r="U264" s="103"/>
      <c r="V264" s="140"/>
      <c r="W264" s="166"/>
      <c r="Y264" s="111" t="s">
        <v>8</v>
      </c>
      <c r="Z264" s="174"/>
      <c r="AA264" s="174"/>
      <c r="AB264" s="155" t="s">
        <v>9</v>
      </c>
      <c r="AC264" s="141"/>
      <c r="AD264" s="155">
        <v>0</v>
      </c>
      <c r="AE264" s="141"/>
      <c r="AG264" s="103"/>
      <c r="AH264" s="140"/>
      <c r="AI264" s="166"/>
      <c r="AK264" s="111" t="s">
        <v>8</v>
      </c>
      <c r="AL264" s="174"/>
      <c r="AM264" s="174"/>
      <c r="AN264" s="155" t="s">
        <v>9</v>
      </c>
      <c r="AO264" s="141"/>
      <c r="AP264" s="155">
        <v>0</v>
      </c>
      <c r="AQ264" s="141"/>
      <c r="AS264" s="103"/>
      <c r="AT264" s="140"/>
      <c r="AU264" s="166"/>
      <c r="AW264" s="111" t="s">
        <v>8</v>
      </c>
      <c r="AX264" s="174"/>
      <c r="AY264" s="174"/>
      <c r="AZ264" s="155" t="s">
        <v>9</v>
      </c>
      <c r="BA264" s="141"/>
      <c r="BB264" s="155">
        <v>0</v>
      </c>
      <c r="BC264" s="141"/>
      <c r="BE264" s="103"/>
      <c r="BF264" s="140"/>
      <c r="BG264" s="166"/>
      <c r="BI264" s="111" t="s">
        <v>8</v>
      </c>
      <c r="BJ264" s="174"/>
      <c r="BK264" s="174"/>
      <c r="BL264" s="155" t="s">
        <v>9</v>
      </c>
      <c r="BM264" s="141"/>
      <c r="BN264" s="155">
        <v>0</v>
      </c>
      <c r="BO264" s="141"/>
      <c r="BQ264" s="103"/>
      <c r="BR264" s="140"/>
      <c r="BS264" s="166"/>
      <c r="BU264" s="111" t="s">
        <v>8</v>
      </c>
      <c r="BV264" s="174"/>
      <c r="BW264" s="174"/>
      <c r="BX264" s="155" t="s">
        <v>9</v>
      </c>
      <c r="BY264" s="141"/>
      <c r="BZ264" s="155">
        <v>0</v>
      </c>
      <c r="CA264" s="141"/>
      <c r="CC264" s="103"/>
      <c r="CD264" s="140"/>
      <c r="CE264" s="166"/>
      <c r="CG264" s="111" t="s">
        <v>8</v>
      </c>
      <c r="CH264" s="174"/>
      <c r="CI264" s="174"/>
      <c r="CJ264" s="155" t="s">
        <v>9</v>
      </c>
      <c r="CK264" s="141"/>
      <c r="CL264" s="155">
        <v>0</v>
      </c>
      <c r="CM264" s="141"/>
      <c r="CO264" s="103"/>
      <c r="CP264" s="140"/>
      <c r="CQ264" s="166"/>
      <c r="CS264" s="111" t="s">
        <v>8</v>
      </c>
      <c r="CT264" s="174"/>
      <c r="CU264" s="174"/>
      <c r="CV264" s="155" t="s">
        <v>9</v>
      </c>
      <c r="CW264" s="141"/>
      <c r="CX264" s="155">
        <v>0</v>
      </c>
      <c r="CY264" s="141"/>
      <c r="DA264" s="103"/>
      <c r="DB264" s="140"/>
      <c r="DC264" s="166"/>
      <c r="DD264" s="2"/>
      <c r="DE264" s="111" t="s">
        <v>8</v>
      </c>
      <c r="DF264" s="174"/>
      <c r="DG264" s="174"/>
      <c r="DH264" s="155" t="s">
        <v>9</v>
      </c>
      <c r="DI264" s="141"/>
      <c r="DJ264" s="155">
        <v>0</v>
      </c>
      <c r="DK264" s="141"/>
      <c r="DM264" s="103"/>
      <c r="DN264" s="140"/>
      <c r="DO264" s="166"/>
      <c r="DP264" s="2"/>
      <c r="DQ264" s="111" t="s">
        <v>8</v>
      </c>
      <c r="DR264" s="174"/>
      <c r="DS264" s="174"/>
      <c r="DT264" s="155" t="s">
        <v>9</v>
      </c>
      <c r="DU264" s="141"/>
      <c r="DV264" s="155">
        <v>0</v>
      </c>
      <c r="DW264" s="141"/>
      <c r="DY264" s="103"/>
      <c r="DZ264" s="140"/>
      <c r="EA264" s="166"/>
      <c r="EC264" s="111" t="s">
        <v>8</v>
      </c>
      <c r="ED264" s="174"/>
      <c r="EE264" s="174"/>
      <c r="EF264" s="155" t="s">
        <v>9</v>
      </c>
      <c r="EG264" s="141"/>
      <c r="EH264" s="155">
        <v>0</v>
      </c>
      <c r="EI264" s="141"/>
      <c r="EK264" s="103"/>
      <c r="EL264" s="140"/>
      <c r="EM264" s="166"/>
      <c r="EO264" s="111" t="s">
        <v>8</v>
      </c>
      <c r="EP264" s="174"/>
      <c r="EQ264" s="124"/>
      <c r="ER264" s="155" t="s">
        <v>9</v>
      </c>
      <c r="ES264" s="141"/>
      <c r="ET264" s="156">
        <f>F264+R264+AD264+AP264+BB264+BN264+BZ264+CL264+CX264+DJ264+DV264+EH264</f>
        <v>0</v>
      </c>
      <c r="EU264" s="157"/>
      <c r="EW264" s="122"/>
      <c r="EX264" s="139"/>
      <c r="EY264" s="237"/>
    </row>
    <row r="265" spans="1:156" ht="17.100000000000001" customHeight="1" thickBot="1" x14ac:dyDescent="0.25">
      <c r="A265" s="113"/>
      <c r="B265" s="175"/>
      <c r="C265" s="175"/>
      <c r="D265" s="154" t="s">
        <v>10</v>
      </c>
      <c r="E265" s="142"/>
      <c r="F265" s="154">
        <v>0</v>
      </c>
      <c r="G265" s="142"/>
      <c r="I265" s="103"/>
      <c r="J265" s="140" t="s">
        <v>11</v>
      </c>
      <c r="K265" s="166">
        <v>0</v>
      </c>
      <c r="M265" s="113"/>
      <c r="N265" s="175"/>
      <c r="O265" s="175"/>
      <c r="P265" s="154" t="s">
        <v>10</v>
      </c>
      <c r="Q265" s="142"/>
      <c r="R265" s="154">
        <v>0</v>
      </c>
      <c r="S265" s="142"/>
      <c r="U265" s="103"/>
      <c r="V265" s="140" t="s">
        <v>11</v>
      </c>
      <c r="W265" s="166">
        <v>0</v>
      </c>
      <c r="Y265" s="113"/>
      <c r="Z265" s="175"/>
      <c r="AA265" s="175"/>
      <c r="AB265" s="154" t="s">
        <v>10</v>
      </c>
      <c r="AC265" s="142"/>
      <c r="AD265" s="154">
        <v>0</v>
      </c>
      <c r="AE265" s="142"/>
      <c r="AG265" s="103"/>
      <c r="AH265" s="140" t="s">
        <v>11</v>
      </c>
      <c r="AI265" s="166">
        <v>0</v>
      </c>
      <c r="AK265" s="113"/>
      <c r="AL265" s="175"/>
      <c r="AM265" s="175"/>
      <c r="AN265" s="154" t="s">
        <v>10</v>
      </c>
      <c r="AO265" s="142"/>
      <c r="AP265" s="154">
        <v>0</v>
      </c>
      <c r="AQ265" s="142"/>
      <c r="AS265" s="103"/>
      <c r="AT265" s="140" t="s">
        <v>11</v>
      </c>
      <c r="AU265" s="166">
        <v>0</v>
      </c>
      <c r="AW265" s="113"/>
      <c r="AX265" s="175"/>
      <c r="AY265" s="175"/>
      <c r="AZ265" s="154" t="s">
        <v>10</v>
      </c>
      <c r="BA265" s="142"/>
      <c r="BB265" s="154">
        <v>0</v>
      </c>
      <c r="BC265" s="142"/>
      <c r="BE265" s="103"/>
      <c r="BF265" s="140" t="s">
        <v>11</v>
      </c>
      <c r="BG265" s="166">
        <v>0</v>
      </c>
      <c r="BI265" s="113"/>
      <c r="BJ265" s="175"/>
      <c r="BK265" s="175"/>
      <c r="BL265" s="154" t="s">
        <v>10</v>
      </c>
      <c r="BM265" s="142"/>
      <c r="BN265" s="154">
        <v>0</v>
      </c>
      <c r="BO265" s="142"/>
      <c r="BQ265" s="103"/>
      <c r="BR265" s="140" t="s">
        <v>11</v>
      </c>
      <c r="BS265" s="166">
        <v>0</v>
      </c>
      <c r="BU265" s="113"/>
      <c r="BV265" s="175"/>
      <c r="BW265" s="175"/>
      <c r="BX265" s="154" t="s">
        <v>10</v>
      </c>
      <c r="BY265" s="142"/>
      <c r="BZ265" s="154">
        <v>0</v>
      </c>
      <c r="CA265" s="142"/>
      <c r="CC265" s="103"/>
      <c r="CD265" s="140" t="s">
        <v>11</v>
      </c>
      <c r="CE265" s="166">
        <v>0</v>
      </c>
      <c r="CG265" s="113"/>
      <c r="CH265" s="175"/>
      <c r="CI265" s="175"/>
      <c r="CJ265" s="154" t="s">
        <v>10</v>
      </c>
      <c r="CK265" s="142"/>
      <c r="CL265" s="154">
        <v>0</v>
      </c>
      <c r="CM265" s="142"/>
      <c r="CO265" s="103"/>
      <c r="CP265" s="140" t="s">
        <v>11</v>
      </c>
      <c r="CQ265" s="166">
        <v>0</v>
      </c>
      <c r="CS265" s="113"/>
      <c r="CT265" s="175"/>
      <c r="CU265" s="175"/>
      <c r="CV265" s="154" t="s">
        <v>10</v>
      </c>
      <c r="CW265" s="142"/>
      <c r="CX265" s="154">
        <v>0</v>
      </c>
      <c r="CY265" s="142"/>
      <c r="DA265" s="103"/>
      <c r="DB265" s="140" t="s">
        <v>11</v>
      </c>
      <c r="DC265" s="166">
        <v>0</v>
      </c>
      <c r="DD265" s="2"/>
      <c r="DE265" s="113"/>
      <c r="DF265" s="175"/>
      <c r="DG265" s="175"/>
      <c r="DH265" s="154" t="s">
        <v>10</v>
      </c>
      <c r="DI265" s="142"/>
      <c r="DJ265" s="154">
        <v>0</v>
      </c>
      <c r="DK265" s="142"/>
      <c r="DM265" s="103"/>
      <c r="DN265" s="140" t="s">
        <v>11</v>
      </c>
      <c r="DO265" s="166">
        <v>0</v>
      </c>
      <c r="DP265" s="2"/>
      <c r="DQ265" s="113"/>
      <c r="DR265" s="175"/>
      <c r="DS265" s="175"/>
      <c r="DT265" s="154" t="s">
        <v>10</v>
      </c>
      <c r="DU265" s="142"/>
      <c r="DV265" s="154">
        <v>0</v>
      </c>
      <c r="DW265" s="142"/>
      <c r="DY265" s="103"/>
      <c r="DZ265" s="140" t="s">
        <v>11</v>
      </c>
      <c r="EA265" s="166">
        <v>0</v>
      </c>
      <c r="EC265" s="113"/>
      <c r="ED265" s="175"/>
      <c r="EE265" s="175"/>
      <c r="EF265" s="154" t="s">
        <v>10</v>
      </c>
      <c r="EG265" s="142"/>
      <c r="EH265" s="154">
        <v>0</v>
      </c>
      <c r="EI265" s="142"/>
      <c r="EK265" s="103"/>
      <c r="EL265" s="140" t="s">
        <v>11</v>
      </c>
      <c r="EM265" s="166">
        <v>0</v>
      </c>
      <c r="EO265" s="113"/>
      <c r="EP265" s="175"/>
      <c r="EQ265" s="112"/>
      <c r="ER265" s="154" t="s">
        <v>10</v>
      </c>
      <c r="ES265" s="142"/>
      <c r="ET265" s="156">
        <f t="shared" ref="ET265:ET285" si="20">F265+R265+AD265+AP265+BB265+BN265+BZ265+CL265+CX265+DJ265+DV265+EH265</f>
        <v>0</v>
      </c>
      <c r="EU265" s="157"/>
      <c r="EW265" s="122"/>
      <c r="EX265" s="238" t="s">
        <v>11</v>
      </c>
      <c r="EY265" s="229">
        <f>K265+W265+AI265+AU265+BG265+BS265+CE265+CQ265+DC265+DO265+EA265+EM265</f>
        <v>0</v>
      </c>
    </row>
    <row r="266" spans="1:156" ht="17.100000000000001" customHeight="1" thickBot="1" x14ac:dyDescent="0.25">
      <c r="A266" s="125"/>
      <c r="B266" s="176"/>
      <c r="C266" s="176"/>
      <c r="D266" s="177" t="s">
        <v>12</v>
      </c>
      <c r="E266" s="178"/>
      <c r="F266" s="177">
        <v>0</v>
      </c>
      <c r="G266" s="178"/>
      <c r="I266" s="151"/>
      <c r="J266" s="144"/>
      <c r="K266" s="180"/>
      <c r="M266" s="125"/>
      <c r="N266" s="176"/>
      <c r="O266" s="176"/>
      <c r="P266" s="177" t="s">
        <v>12</v>
      </c>
      <c r="Q266" s="178"/>
      <c r="R266" s="177">
        <v>0</v>
      </c>
      <c r="S266" s="178"/>
      <c r="U266" s="151"/>
      <c r="V266" s="144"/>
      <c r="W266" s="180"/>
      <c r="Y266" s="125"/>
      <c r="Z266" s="176"/>
      <c r="AA266" s="176"/>
      <c r="AB266" s="177" t="s">
        <v>12</v>
      </c>
      <c r="AC266" s="178"/>
      <c r="AD266" s="177">
        <v>0</v>
      </c>
      <c r="AE266" s="178"/>
      <c r="AG266" s="151"/>
      <c r="AH266" s="144"/>
      <c r="AI266" s="180"/>
      <c r="AK266" s="125"/>
      <c r="AL266" s="176"/>
      <c r="AM266" s="176"/>
      <c r="AN266" s="177" t="s">
        <v>12</v>
      </c>
      <c r="AO266" s="178"/>
      <c r="AP266" s="177">
        <v>0</v>
      </c>
      <c r="AQ266" s="178"/>
      <c r="AS266" s="151"/>
      <c r="AT266" s="144"/>
      <c r="AU266" s="180"/>
      <c r="AW266" s="125"/>
      <c r="AX266" s="176"/>
      <c r="AY266" s="176"/>
      <c r="AZ266" s="177" t="s">
        <v>12</v>
      </c>
      <c r="BA266" s="178"/>
      <c r="BB266" s="177">
        <v>0</v>
      </c>
      <c r="BC266" s="178"/>
      <c r="BE266" s="151"/>
      <c r="BF266" s="144"/>
      <c r="BG266" s="180"/>
      <c r="BI266" s="125"/>
      <c r="BJ266" s="176"/>
      <c r="BK266" s="176"/>
      <c r="BL266" s="177" t="s">
        <v>12</v>
      </c>
      <c r="BM266" s="178"/>
      <c r="BN266" s="177">
        <v>0</v>
      </c>
      <c r="BO266" s="178"/>
      <c r="BQ266" s="151"/>
      <c r="BR266" s="144"/>
      <c r="BS266" s="180"/>
      <c r="BU266" s="125"/>
      <c r="BV266" s="176"/>
      <c r="BW266" s="176"/>
      <c r="BX266" s="177" t="s">
        <v>12</v>
      </c>
      <c r="BY266" s="178"/>
      <c r="BZ266" s="177">
        <v>0</v>
      </c>
      <c r="CA266" s="178"/>
      <c r="CC266" s="151"/>
      <c r="CD266" s="144"/>
      <c r="CE266" s="180"/>
      <c r="CG266" s="125"/>
      <c r="CH266" s="176"/>
      <c r="CI266" s="176"/>
      <c r="CJ266" s="177" t="s">
        <v>12</v>
      </c>
      <c r="CK266" s="178"/>
      <c r="CL266" s="177">
        <v>0</v>
      </c>
      <c r="CM266" s="178"/>
      <c r="CO266" s="151"/>
      <c r="CP266" s="144"/>
      <c r="CQ266" s="180"/>
      <c r="CS266" s="125"/>
      <c r="CT266" s="176"/>
      <c r="CU266" s="176"/>
      <c r="CV266" s="177" t="s">
        <v>12</v>
      </c>
      <c r="CW266" s="178"/>
      <c r="CX266" s="177">
        <v>0</v>
      </c>
      <c r="CY266" s="178"/>
      <c r="DA266" s="151"/>
      <c r="DB266" s="144"/>
      <c r="DC266" s="180"/>
      <c r="DD266" s="2"/>
      <c r="DE266" s="125"/>
      <c r="DF266" s="176"/>
      <c r="DG266" s="176"/>
      <c r="DH266" s="177" t="s">
        <v>12</v>
      </c>
      <c r="DI266" s="178"/>
      <c r="DJ266" s="177">
        <v>0</v>
      </c>
      <c r="DK266" s="178"/>
      <c r="DM266" s="151"/>
      <c r="DN266" s="144"/>
      <c r="DO266" s="180"/>
      <c r="DP266" s="2"/>
      <c r="DQ266" s="125"/>
      <c r="DR266" s="176"/>
      <c r="DS266" s="176"/>
      <c r="DT266" s="177" t="s">
        <v>12</v>
      </c>
      <c r="DU266" s="178"/>
      <c r="DV266" s="177">
        <v>0</v>
      </c>
      <c r="DW266" s="178"/>
      <c r="DY266" s="151"/>
      <c r="DZ266" s="144"/>
      <c r="EA266" s="180"/>
      <c r="EC266" s="125"/>
      <c r="ED266" s="176"/>
      <c r="EE266" s="176"/>
      <c r="EF266" s="177" t="s">
        <v>12</v>
      </c>
      <c r="EG266" s="178"/>
      <c r="EH266" s="177">
        <v>0</v>
      </c>
      <c r="EI266" s="178"/>
      <c r="EK266" s="151"/>
      <c r="EL266" s="144"/>
      <c r="EM266" s="180"/>
      <c r="EO266" s="125"/>
      <c r="EP266" s="176"/>
      <c r="EQ266" s="126"/>
      <c r="ER266" s="177" t="s">
        <v>12</v>
      </c>
      <c r="ES266" s="178"/>
      <c r="ET266" s="156">
        <f t="shared" si="20"/>
        <v>0</v>
      </c>
      <c r="EU266" s="157"/>
      <c r="EW266" s="123"/>
      <c r="EX266" s="237"/>
      <c r="EY266" s="237"/>
    </row>
    <row r="267" spans="1:156" ht="17.100000000000001" customHeight="1" thickBot="1" x14ac:dyDescent="0.25">
      <c r="A267" s="158" t="s">
        <v>13</v>
      </c>
      <c r="B267" s="111" t="s">
        <v>14</v>
      </c>
      <c r="C267" s="174"/>
      <c r="D267" s="155" t="s">
        <v>29</v>
      </c>
      <c r="E267" s="141"/>
      <c r="F267" s="155">
        <v>0</v>
      </c>
      <c r="G267" s="141"/>
      <c r="I267" s="102" t="s">
        <v>15</v>
      </c>
      <c r="J267" s="143" t="s">
        <v>7</v>
      </c>
      <c r="K267" s="165">
        <v>0</v>
      </c>
      <c r="M267" s="158" t="s">
        <v>13</v>
      </c>
      <c r="N267" s="111" t="s">
        <v>14</v>
      </c>
      <c r="O267" s="174"/>
      <c r="P267" s="155" t="s">
        <v>29</v>
      </c>
      <c r="Q267" s="141"/>
      <c r="R267" s="155">
        <v>0</v>
      </c>
      <c r="S267" s="141"/>
      <c r="U267" s="102" t="s">
        <v>15</v>
      </c>
      <c r="V267" s="143" t="s">
        <v>7</v>
      </c>
      <c r="W267" s="165">
        <v>0</v>
      </c>
      <c r="Y267" s="158" t="s">
        <v>13</v>
      </c>
      <c r="Z267" s="111" t="s">
        <v>14</v>
      </c>
      <c r="AA267" s="174"/>
      <c r="AB267" s="155" t="s">
        <v>29</v>
      </c>
      <c r="AC267" s="141"/>
      <c r="AD267" s="155">
        <v>0</v>
      </c>
      <c r="AE267" s="141"/>
      <c r="AG267" s="102" t="s">
        <v>15</v>
      </c>
      <c r="AH267" s="143" t="s">
        <v>7</v>
      </c>
      <c r="AI267" s="165">
        <v>0</v>
      </c>
      <c r="AK267" s="158" t="s">
        <v>13</v>
      </c>
      <c r="AL267" s="111" t="s">
        <v>14</v>
      </c>
      <c r="AM267" s="174"/>
      <c r="AN267" s="155" t="s">
        <v>29</v>
      </c>
      <c r="AO267" s="141"/>
      <c r="AP267" s="155">
        <v>0</v>
      </c>
      <c r="AQ267" s="141"/>
      <c r="AS267" s="102" t="s">
        <v>15</v>
      </c>
      <c r="AT267" s="143" t="s">
        <v>7</v>
      </c>
      <c r="AU267" s="165">
        <v>0</v>
      </c>
      <c r="AW267" s="158" t="s">
        <v>13</v>
      </c>
      <c r="AX267" s="111" t="s">
        <v>14</v>
      </c>
      <c r="AY267" s="174"/>
      <c r="AZ267" s="155" t="s">
        <v>29</v>
      </c>
      <c r="BA267" s="141"/>
      <c r="BB267" s="155">
        <v>0</v>
      </c>
      <c r="BC267" s="141"/>
      <c r="BE267" s="102" t="s">
        <v>15</v>
      </c>
      <c r="BF267" s="143" t="s">
        <v>7</v>
      </c>
      <c r="BG267" s="165">
        <v>0</v>
      </c>
      <c r="BI267" s="158" t="s">
        <v>13</v>
      </c>
      <c r="BJ267" s="111" t="s">
        <v>14</v>
      </c>
      <c r="BK267" s="174"/>
      <c r="BL267" s="155" t="s">
        <v>29</v>
      </c>
      <c r="BM267" s="141"/>
      <c r="BN267" s="155">
        <v>0</v>
      </c>
      <c r="BO267" s="141"/>
      <c r="BQ267" s="102" t="s">
        <v>15</v>
      </c>
      <c r="BR267" s="143" t="s">
        <v>7</v>
      </c>
      <c r="BS267" s="165">
        <v>0</v>
      </c>
      <c r="BU267" s="158" t="s">
        <v>13</v>
      </c>
      <c r="BV267" s="111" t="s">
        <v>14</v>
      </c>
      <c r="BW267" s="174"/>
      <c r="BX267" s="155" t="s">
        <v>29</v>
      </c>
      <c r="BY267" s="141"/>
      <c r="BZ267" s="155">
        <v>0</v>
      </c>
      <c r="CA267" s="141"/>
      <c r="CC267" s="102" t="s">
        <v>15</v>
      </c>
      <c r="CD267" s="143" t="s">
        <v>7</v>
      </c>
      <c r="CE267" s="165">
        <v>0</v>
      </c>
      <c r="CG267" s="158" t="s">
        <v>13</v>
      </c>
      <c r="CH267" s="111" t="s">
        <v>14</v>
      </c>
      <c r="CI267" s="174"/>
      <c r="CJ267" s="155" t="s">
        <v>29</v>
      </c>
      <c r="CK267" s="141"/>
      <c r="CL267" s="155">
        <v>0</v>
      </c>
      <c r="CM267" s="141"/>
      <c r="CO267" s="102" t="s">
        <v>15</v>
      </c>
      <c r="CP267" s="143" t="s">
        <v>7</v>
      </c>
      <c r="CQ267" s="165">
        <v>0</v>
      </c>
      <c r="CS267" s="158" t="s">
        <v>13</v>
      </c>
      <c r="CT267" s="111" t="s">
        <v>14</v>
      </c>
      <c r="CU267" s="174"/>
      <c r="CV267" s="155" t="s">
        <v>29</v>
      </c>
      <c r="CW267" s="141"/>
      <c r="CX267" s="155">
        <v>0</v>
      </c>
      <c r="CY267" s="141"/>
      <c r="DA267" s="102" t="s">
        <v>15</v>
      </c>
      <c r="DB267" s="143" t="s">
        <v>7</v>
      </c>
      <c r="DC267" s="165">
        <v>0</v>
      </c>
      <c r="DD267" s="2"/>
      <c r="DE267" s="158" t="s">
        <v>13</v>
      </c>
      <c r="DF267" s="111" t="s">
        <v>14</v>
      </c>
      <c r="DG267" s="174"/>
      <c r="DH267" s="155" t="s">
        <v>29</v>
      </c>
      <c r="DI267" s="141"/>
      <c r="DJ267" s="155">
        <v>0</v>
      </c>
      <c r="DK267" s="141"/>
      <c r="DM267" s="102" t="s">
        <v>15</v>
      </c>
      <c r="DN267" s="143" t="s">
        <v>7</v>
      </c>
      <c r="DO267" s="165">
        <v>0</v>
      </c>
      <c r="DP267" s="2"/>
      <c r="DQ267" s="158" t="s">
        <v>13</v>
      </c>
      <c r="DR267" s="111" t="s">
        <v>14</v>
      </c>
      <c r="DS267" s="174"/>
      <c r="DT267" s="155" t="s">
        <v>29</v>
      </c>
      <c r="DU267" s="141"/>
      <c r="DV267" s="155">
        <v>0</v>
      </c>
      <c r="DW267" s="141"/>
      <c r="DY267" s="102" t="s">
        <v>15</v>
      </c>
      <c r="DZ267" s="143" t="s">
        <v>7</v>
      </c>
      <c r="EA267" s="165">
        <v>0</v>
      </c>
      <c r="EC267" s="158" t="s">
        <v>13</v>
      </c>
      <c r="ED267" s="111" t="s">
        <v>14</v>
      </c>
      <c r="EE267" s="174"/>
      <c r="EF267" s="155" t="s">
        <v>29</v>
      </c>
      <c r="EG267" s="141"/>
      <c r="EH267" s="155">
        <v>0</v>
      </c>
      <c r="EI267" s="141"/>
      <c r="EK267" s="102" t="s">
        <v>15</v>
      </c>
      <c r="EL267" s="143" t="s">
        <v>7</v>
      </c>
      <c r="EM267" s="165">
        <v>0</v>
      </c>
      <c r="EO267" s="232" t="s">
        <v>13</v>
      </c>
      <c r="EP267" s="111" t="s">
        <v>14</v>
      </c>
      <c r="EQ267" s="124"/>
      <c r="ER267" s="155" t="s">
        <v>29</v>
      </c>
      <c r="ES267" s="141"/>
      <c r="ET267" s="156">
        <f t="shared" si="20"/>
        <v>0</v>
      </c>
      <c r="EU267" s="157"/>
      <c r="EW267" s="121" t="s">
        <v>15</v>
      </c>
      <c r="EX267" s="229" t="s">
        <v>7</v>
      </c>
      <c r="EY267" s="229">
        <f>K267+W267+AI267+AU267+BG267+BS267+CE267+CQ267+DC267+DO267+EA267+EM267</f>
        <v>0</v>
      </c>
    </row>
    <row r="268" spans="1:156" ht="17.100000000000001" customHeight="1" thickBot="1" x14ac:dyDescent="0.25">
      <c r="A268" s="159"/>
      <c r="B268" s="113"/>
      <c r="C268" s="175"/>
      <c r="D268" s="154" t="s">
        <v>16</v>
      </c>
      <c r="E268" s="142"/>
      <c r="F268" s="154">
        <v>0</v>
      </c>
      <c r="G268" s="142"/>
      <c r="I268" s="103"/>
      <c r="J268" s="140"/>
      <c r="K268" s="166"/>
      <c r="M268" s="159"/>
      <c r="N268" s="113"/>
      <c r="O268" s="175"/>
      <c r="P268" s="154" t="s">
        <v>16</v>
      </c>
      <c r="Q268" s="142"/>
      <c r="R268" s="154">
        <v>0</v>
      </c>
      <c r="S268" s="142"/>
      <c r="U268" s="103"/>
      <c r="V268" s="140"/>
      <c r="W268" s="166"/>
      <c r="Y268" s="159"/>
      <c r="Z268" s="113"/>
      <c r="AA268" s="175"/>
      <c r="AB268" s="154" t="s">
        <v>16</v>
      </c>
      <c r="AC268" s="142"/>
      <c r="AD268" s="154">
        <v>0</v>
      </c>
      <c r="AE268" s="142"/>
      <c r="AG268" s="103"/>
      <c r="AH268" s="140"/>
      <c r="AI268" s="166"/>
      <c r="AK268" s="159"/>
      <c r="AL268" s="113"/>
      <c r="AM268" s="175"/>
      <c r="AN268" s="154" t="s">
        <v>16</v>
      </c>
      <c r="AO268" s="142"/>
      <c r="AP268" s="154">
        <v>0</v>
      </c>
      <c r="AQ268" s="142"/>
      <c r="AS268" s="103"/>
      <c r="AT268" s="140"/>
      <c r="AU268" s="166"/>
      <c r="AW268" s="159"/>
      <c r="AX268" s="113"/>
      <c r="AY268" s="175"/>
      <c r="AZ268" s="154" t="s">
        <v>16</v>
      </c>
      <c r="BA268" s="142"/>
      <c r="BB268" s="154">
        <v>0</v>
      </c>
      <c r="BC268" s="142"/>
      <c r="BE268" s="103"/>
      <c r="BF268" s="140"/>
      <c r="BG268" s="166"/>
      <c r="BI268" s="159"/>
      <c r="BJ268" s="113"/>
      <c r="BK268" s="175"/>
      <c r="BL268" s="154" t="s">
        <v>16</v>
      </c>
      <c r="BM268" s="142"/>
      <c r="BN268" s="154">
        <v>0</v>
      </c>
      <c r="BO268" s="142"/>
      <c r="BQ268" s="103"/>
      <c r="BR268" s="140"/>
      <c r="BS268" s="166"/>
      <c r="BU268" s="159"/>
      <c r="BV268" s="113"/>
      <c r="BW268" s="175"/>
      <c r="BX268" s="154" t="s">
        <v>16</v>
      </c>
      <c r="BY268" s="142"/>
      <c r="BZ268" s="154">
        <v>0</v>
      </c>
      <c r="CA268" s="142"/>
      <c r="CC268" s="103"/>
      <c r="CD268" s="140"/>
      <c r="CE268" s="166"/>
      <c r="CG268" s="159"/>
      <c r="CH268" s="113"/>
      <c r="CI268" s="175"/>
      <c r="CJ268" s="154" t="s">
        <v>16</v>
      </c>
      <c r="CK268" s="142"/>
      <c r="CL268" s="154">
        <v>0</v>
      </c>
      <c r="CM268" s="142"/>
      <c r="CO268" s="103"/>
      <c r="CP268" s="140"/>
      <c r="CQ268" s="166"/>
      <c r="CS268" s="159"/>
      <c r="CT268" s="113"/>
      <c r="CU268" s="175"/>
      <c r="CV268" s="154" t="s">
        <v>16</v>
      </c>
      <c r="CW268" s="142"/>
      <c r="CX268" s="154">
        <v>0</v>
      </c>
      <c r="CY268" s="142"/>
      <c r="DA268" s="103"/>
      <c r="DB268" s="140"/>
      <c r="DC268" s="166"/>
      <c r="DD268" s="2"/>
      <c r="DE268" s="159"/>
      <c r="DF268" s="113"/>
      <c r="DG268" s="175"/>
      <c r="DH268" s="154" t="s">
        <v>16</v>
      </c>
      <c r="DI268" s="142"/>
      <c r="DJ268" s="154">
        <v>0</v>
      </c>
      <c r="DK268" s="142"/>
      <c r="DM268" s="103"/>
      <c r="DN268" s="140"/>
      <c r="DO268" s="166"/>
      <c r="DP268" s="2"/>
      <c r="DQ268" s="159"/>
      <c r="DR268" s="113"/>
      <c r="DS268" s="175"/>
      <c r="DT268" s="154" t="s">
        <v>16</v>
      </c>
      <c r="DU268" s="142"/>
      <c r="DV268" s="154">
        <v>0</v>
      </c>
      <c r="DW268" s="142"/>
      <c r="DY268" s="103"/>
      <c r="DZ268" s="140"/>
      <c r="EA268" s="166"/>
      <c r="EC268" s="159"/>
      <c r="ED268" s="113"/>
      <c r="EE268" s="175"/>
      <c r="EF268" s="154" t="s">
        <v>16</v>
      </c>
      <c r="EG268" s="142"/>
      <c r="EH268" s="154">
        <v>0</v>
      </c>
      <c r="EI268" s="142"/>
      <c r="EK268" s="103"/>
      <c r="EL268" s="140"/>
      <c r="EM268" s="166"/>
      <c r="EO268" s="233"/>
      <c r="EP268" s="113"/>
      <c r="EQ268" s="112"/>
      <c r="ER268" s="154" t="s">
        <v>16</v>
      </c>
      <c r="ES268" s="142"/>
      <c r="ET268" s="156">
        <f t="shared" si="20"/>
        <v>0</v>
      </c>
      <c r="EU268" s="157"/>
      <c r="EW268" s="122"/>
      <c r="EX268" s="139"/>
      <c r="EY268" s="237"/>
    </row>
    <row r="269" spans="1:156" ht="17.100000000000001" customHeight="1" thickBot="1" x14ac:dyDescent="0.25">
      <c r="A269" s="159"/>
      <c r="B269" s="125"/>
      <c r="C269" s="176"/>
      <c r="D269" s="177" t="s">
        <v>17</v>
      </c>
      <c r="E269" s="178"/>
      <c r="F269" s="177">
        <v>0</v>
      </c>
      <c r="G269" s="178"/>
      <c r="I269" s="103"/>
      <c r="J269" s="140" t="s">
        <v>11</v>
      </c>
      <c r="K269" s="166">
        <v>0</v>
      </c>
      <c r="M269" s="159"/>
      <c r="N269" s="125"/>
      <c r="O269" s="176"/>
      <c r="P269" s="177" t="s">
        <v>17</v>
      </c>
      <c r="Q269" s="178"/>
      <c r="R269" s="177">
        <v>0</v>
      </c>
      <c r="S269" s="178"/>
      <c r="U269" s="103"/>
      <c r="V269" s="140" t="s">
        <v>11</v>
      </c>
      <c r="W269" s="166">
        <v>0</v>
      </c>
      <c r="Y269" s="159"/>
      <c r="Z269" s="125"/>
      <c r="AA269" s="176"/>
      <c r="AB269" s="177" t="s">
        <v>17</v>
      </c>
      <c r="AC269" s="178"/>
      <c r="AD269" s="177">
        <v>0</v>
      </c>
      <c r="AE269" s="178"/>
      <c r="AG269" s="103"/>
      <c r="AH269" s="140" t="s">
        <v>11</v>
      </c>
      <c r="AI269" s="166">
        <v>0</v>
      </c>
      <c r="AK269" s="159"/>
      <c r="AL269" s="125"/>
      <c r="AM269" s="176"/>
      <c r="AN269" s="177" t="s">
        <v>17</v>
      </c>
      <c r="AO269" s="178"/>
      <c r="AP269" s="177">
        <v>0</v>
      </c>
      <c r="AQ269" s="178"/>
      <c r="AS269" s="103"/>
      <c r="AT269" s="140" t="s">
        <v>11</v>
      </c>
      <c r="AU269" s="166">
        <v>0</v>
      </c>
      <c r="AW269" s="159"/>
      <c r="AX269" s="125"/>
      <c r="AY269" s="176"/>
      <c r="AZ269" s="177" t="s">
        <v>17</v>
      </c>
      <c r="BA269" s="178"/>
      <c r="BB269" s="177">
        <v>0</v>
      </c>
      <c r="BC269" s="178"/>
      <c r="BE269" s="103"/>
      <c r="BF269" s="140" t="s">
        <v>11</v>
      </c>
      <c r="BG269" s="166">
        <v>0</v>
      </c>
      <c r="BI269" s="159"/>
      <c r="BJ269" s="125"/>
      <c r="BK269" s="176"/>
      <c r="BL269" s="177" t="s">
        <v>17</v>
      </c>
      <c r="BM269" s="178"/>
      <c r="BN269" s="177">
        <v>0</v>
      </c>
      <c r="BO269" s="178"/>
      <c r="BQ269" s="103"/>
      <c r="BR269" s="140" t="s">
        <v>11</v>
      </c>
      <c r="BS269" s="166">
        <v>0</v>
      </c>
      <c r="BU269" s="159"/>
      <c r="BV269" s="125"/>
      <c r="BW269" s="176"/>
      <c r="BX269" s="177" t="s">
        <v>17</v>
      </c>
      <c r="BY269" s="178"/>
      <c r="BZ269" s="177">
        <v>0</v>
      </c>
      <c r="CA269" s="178"/>
      <c r="CC269" s="103"/>
      <c r="CD269" s="140" t="s">
        <v>11</v>
      </c>
      <c r="CE269" s="166">
        <v>0</v>
      </c>
      <c r="CG269" s="159"/>
      <c r="CH269" s="125"/>
      <c r="CI269" s="176"/>
      <c r="CJ269" s="177" t="s">
        <v>17</v>
      </c>
      <c r="CK269" s="178"/>
      <c r="CL269" s="177">
        <v>0</v>
      </c>
      <c r="CM269" s="178"/>
      <c r="CO269" s="103"/>
      <c r="CP269" s="140" t="s">
        <v>11</v>
      </c>
      <c r="CQ269" s="166">
        <v>0</v>
      </c>
      <c r="CS269" s="159"/>
      <c r="CT269" s="125"/>
      <c r="CU269" s="176"/>
      <c r="CV269" s="177" t="s">
        <v>17</v>
      </c>
      <c r="CW269" s="178"/>
      <c r="CX269" s="177">
        <v>0</v>
      </c>
      <c r="CY269" s="178"/>
      <c r="DA269" s="103"/>
      <c r="DB269" s="140" t="s">
        <v>11</v>
      </c>
      <c r="DC269" s="166">
        <v>0</v>
      </c>
      <c r="DD269" s="2"/>
      <c r="DE269" s="159"/>
      <c r="DF269" s="125"/>
      <c r="DG269" s="176"/>
      <c r="DH269" s="177" t="s">
        <v>17</v>
      </c>
      <c r="DI269" s="178"/>
      <c r="DJ269" s="177">
        <v>0</v>
      </c>
      <c r="DK269" s="178"/>
      <c r="DM269" s="103"/>
      <c r="DN269" s="140" t="s">
        <v>11</v>
      </c>
      <c r="DO269" s="166">
        <v>0</v>
      </c>
      <c r="DP269" s="2"/>
      <c r="DQ269" s="159"/>
      <c r="DR269" s="125"/>
      <c r="DS269" s="176"/>
      <c r="DT269" s="177" t="s">
        <v>17</v>
      </c>
      <c r="DU269" s="178"/>
      <c r="DV269" s="177">
        <v>0</v>
      </c>
      <c r="DW269" s="178"/>
      <c r="DY269" s="103"/>
      <c r="DZ269" s="140" t="s">
        <v>11</v>
      </c>
      <c r="EA269" s="166">
        <v>0</v>
      </c>
      <c r="EC269" s="159"/>
      <c r="ED269" s="125"/>
      <c r="EE269" s="176"/>
      <c r="EF269" s="177" t="s">
        <v>17</v>
      </c>
      <c r="EG269" s="178"/>
      <c r="EH269" s="177">
        <v>0</v>
      </c>
      <c r="EI269" s="178"/>
      <c r="EK269" s="103"/>
      <c r="EL269" s="140" t="s">
        <v>11</v>
      </c>
      <c r="EM269" s="166">
        <v>0</v>
      </c>
      <c r="EO269" s="233"/>
      <c r="EP269" s="125"/>
      <c r="EQ269" s="126"/>
      <c r="ER269" s="177" t="s">
        <v>17</v>
      </c>
      <c r="ES269" s="178"/>
      <c r="ET269" s="156">
        <f t="shared" si="20"/>
        <v>0</v>
      </c>
      <c r="EU269" s="157"/>
      <c r="EW269" s="122"/>
      <c r="EX269" s="238" t="s">
        <v>11</v>
      </c>
      <c r="EY269" s="229">
        <f>K269+W269+AI269+AU269+BG269+BS269+CE269+CQ269+DC269+DO269+EA269+EM269</f>
        <v>0</v>
      </c>
    </row>
    <row r="270" spans="1:156" ht="17.100000000000001" customHeight="1" thickBot="1" x14ac:dyDescent="0.25">
      <c r="A270" s="159"/>
      <c r="B270" s="111" t="s">
        <v>18</v>
      </c>
      <c r="C270" s="174"/>
      <c r="D270" s="155" t="s">
        <v>19</v>
      </c>
      <c r="E270" s="141"/>
      <c r="F270" s="155">
        <v>0</v>
      </c>
      <c r="G270" s="141"/>
      <c r="I270" s="103"/>
      <c r="J270" s="144"/>
      <c r="K270" s="180"/>
      <c r="M270" s="159"/>
      <c r="N270" s="111" t="s">
        <v>18</v>
      </c>
      <c r="O270" s="174"/>
      <c r="P270" s="155" t="s">
        <v>19</v>
      </c>
      <c r="Q270" s="141"/>
      <c r="R270" s="155">
        <v>0</v>
      </c>
      <c r="S270" s="141"/>
      <c r="U270" s="103"/>
      <c r="V270" s="144"/>
      <c r="W270" s="180"/>
      <c r="Y270" s="159"/>
      <c r="Z270" s="111" t="s">
        <v>18</v>
      </c>
      <c r="AA270" s="174"/>
      <c r="AB270" s="155" t="s">
        <v>19</v>
      </c>
      <c r="AC270" s="141"/>
      <c r="AD270" s="155">
        <v>0</v>
      </c>
      <c r="AE270" s="141"/>
      <c r="AG270" s="103"/>
      <c r="AH270" s="144"/>
      <c r="AI270" s="180"/>
      <c r="AK270" s="159"/>
      <c r="AL270" s="111" t="s">
        <v>18</v>
      </c>
      <c r="AM270" s="174"/>
      <c r="AN270" s="155" t="s">
        <v>19</v>
      </c>
      <c r="AO270" s="141"/>
      <c r="AP270" s="155">
        <v>0</v>
      </c>
      <c r="AQ270" s="141"/>
      <c r="AS270" s="103"/>
      <c r="AT270" s="144"/>
      <c r="AU270" s="180"/>
      <c r="AW270" s="159"/>
      <c r="AX270" s="111" t="s">
        <v>18</v>
      </c>
      <c r="AY270" s="174"/>
      <c r="AZ270" s="155" t="s">
        <v>19</v>
      </c>
      <c r="BA270" s="141"/>
      <c r="BB270" s="155">
        <v>0</v>
      </c>
      <c r="BC270" s="141"/>
      <c r="BE270" s="103"/>
      <c r="BF270" s="144"/>
      <c r="BG270" s="180"/>
      <c r="BI270" s="159"/>
      <c r="BJ270" s="111" t="s">
        <v>18</v>
      </c>
      <c r="BK270" s="174"/>
      <c r="BL270" s="155" t="s">
        <v>19</v>
      </c>
      <c r="BM270" s="141"/>
      <c r="BN270" s="155">
        <v>0</v>
      </c>
      <c r="BO270" s="141"/>
      <c r="BQ270" s="103"/>
      <c r="BR270" s="144"/>
      <c r="BS270" s="180"/>
      <c r="BU270" s="159"/>
      <c r="BV270" s="111" t="s">
        <v>18</v>
      </c>
      <c r="BW270" s="174"/>
      <c r="BX270" s="155" t="s">
        <v>19</v>
      </c>
      <c r="BY270" s="141"/>
      <c r="BZ270" s="155">
        <v>0</v>
      </c>
      <c r="CA270" s="141"/>
      <c r="CC270" s="103"/>
      <c r="CD270" s="144"/>
      <c r="CE270" s="180"/>
      <c r="CG270" s="159"/>
      <c r="CH270" s="111" t="s">
        <v>18</v>
      </c>
      <c r="CI270" s="174"/>
      <c r="CJ270" s="155" t="s">
        <v>19</v>
      </c>
      <c r="CK270" s="141"/>
      <c r="CL270" s="155">
        <v>0</v>
      </c>
      <c r="CM270" s="141"/>
      <c r="CO270" s="103"/>
      <c r="CP270" s="144"/>
      <c r="CQ270" s="180"/>
      <c r="CS270" s="159"/>
      <c r="CT270" s="111" t="s">
        <v>18</v>
      </c>
      <c r="CU270" s="174"/>
      <c r="CV270" s="155" t="s">
        <v>19</v>
      </c>
      <c r="CW270" s="141"/>
      <c r="CX270" s="155">
        <v>0</v>
      </c>
      <c r="CY270" s="141"/>
      <c r="DA270" s="103"/>
      <c r="DB270" s="144"/>
      <c r="DC270" s="180"/>
      <c r="DD270" s="2"/>
      <c r="DE270" s="159"/>
      <c r="DF270" s="111" t="s">
        <v>18</v>
      </c>
      <c r="DG270" s="174"/>
      <c r="DH270" s="155" t="s">
        <v>19</v>
      </c>
      <c r="DI270" s="141"/>
      <c r="DJ270" s="155">
        <v>0</v>
      </c>
      <c r="DK270" s="141"/>
      <c r="DM270" s="103"/>
      <c r="DN270" s="144"/>
      <c r="DO270" s="180"/>
      <c r="DP270" s="2"/>
      <c r="DQ270" s="159"/>
      <c r="DR270" s="111" t="s">
        <v>18</v>
      </c>
      <c r="DS270" s="174"/>
      <c r="DT270" s="155" t="s">
        <v>19</v>
      </c>
      <c r="DU270" s="141"/>
      <c r="DV270" s="155">
        <v>0</v>
      </c>
      <c r="DW270" s="141"/>
      <c r="DY270" s="103"/>
      <c r="DZ270" s="144"/>
      <c r="EA270" s="180"/>
      <c r="EC270" s="159"/>
      <c r="ED270" s="111" t="s">
        <v>18</v>
      </c>
      <c r="EE270" s="174"/>
      <c r="EF270" s="155" t="s">
        <v>19</v>
      </c>
      <c r="EG270" s="141"/>
      <c r="EH270" s="155">
        <v>0</v>
      </c>
      <c r="EI270" s="141"/>
      <c r="EK270" s="103"/>
      <c r="EL270" s="144"/>
      <c r="EM270" s="180"/>
      <c r="EO270" s="233"/>
      <c r="EP270" s="111" t="s">
        <v>18</v>
      </c>
      <c r="EQ270" s="124"/>
      <c r="ER270" s="155" t="s">
        <v>19</v>
      </c>
      <c r="ES270" s="141"/>
      <c r="ET270" s="156">
        <f t="shared" si="20"/>
        <v>0</v>
      </c>
      <c r="EU270" s="157"/>
      <c r="EW270" s="123"/>
      <c r="EX270" s="237"/>
      <c r="EY270" s="139"/>
    </row>
    <row r="271" spans="1:156" ht="17.100000000000001" customHeight="1" thickBot="1" x14ac:dyDescent="0.25">
      <c r="A271" s="159"/>
      <c r="B271" s="125"/>
      <c r="C271" s="176"/>
      <c r="D271" s="177" t="s">
        <v>20</v>
      </c>
      <c r="E271" s="178"/>
      <c r="F271" s="177">
        <v>0</v>
      </c>
      <c r="G271" s="178"/>
      <c r="I271" s="167" t="s">
        <v>21</v>
      </c>
      <c r="J271" s="168"/>
      <c r="K271" s="172">
        <f>SUM(K263:K270)</f>
        <v>0</v>
      </c>
      <c r="M271" s="159"/>
      <c r="N271" s="125"/>
      <c r="O271" s="176"/>
      <c r="P271" s="177" t="s">
        <v>20</v>
      </c>
      <c r="Q271" s="178"/>
      <c r="R271" s="177">
        <v>0</v>
      </c>
      <c r="S271" s="178"/>
      <c r="U271" s="167" t="s">
        <v>21</v>
      </c>
      <c r="V271" s="168"/>
      <c r="W271" s="172">
        <f>SUM(W263:W270)</f>
        <v>0</v>
      </c>
      <c r="Y271" s="159"/>
      <c r="Z271" s="125"/>
      <c r="AA271" s="176"/>
      <c r="AB271" s="177" t="s">
        <v>20</v>
      </c>
      <c r="AC271" s="178"/>
      <c r="AD271" s="177">
        <v>0</v>
      </c>
      <c r="AE271" s="178"/>
      <c r="AG271" s="167" t="s">
        <v>21</v>
      </c>
      <c r="AH271" s="168"/>
      <c r="AI271" s="172">
        <f>SUM(AI263:AI270)</f>
        <v>0</v>
      </c>
      <c r="AK271" s="159"/>
      <c r="AL271" s="125"/>
      <c r="AM271" s="176"/>
      <c r="AN271" s="177" t="s">
        <v>20</v>
      </c>
      <c r="AO271" s="178"/>
      <c r="AP271" s="177">
        <v>0</v>
      </c>
      <c r="AQ271" s="178"/>
      <c r="AS271" s="167" t="s">
        <v>21</v>
      </c>
      <c r="AT271" s="168"/>
      <c r="AU271" s="172">
        <f>SUM(AU263:AU270)</f>
        <v>0</v>
      </c>
      <c r="AW271" s="159"/>
      <c r="AX271" s="125"/>
      <c r="AY271" s="176"/>
      <c r="AZ271" s="177" t="s">
        <v>20</v>
      </c>
      <c r="BA271" s="178"/>
      <c r="BB271" s="177">
        <v>0</v>
      </c>
      <c r="BC271" s="178"/>
      <c r="BE271" s="167" t="s">
        <v>21</v>
      </c>
      <c r="BF271" s="168"/>
      <c r="BG271" s="172">
        <f>SUM(BG263:BG270)</f>
        <v>0</v>
      </c>
      <c r="BI271" s="159"/>
      <c r="BJ271" s="125"/>
      <c r="BK271" s="176"/>
      <c r="BL271" s="177" t="s">
        <v>20</v>
      </c>
      <c r="BM271" s="178"/>
      <c r="BN271" s="177">
        <v>0</v>
      </c>
      <c r="BO271" s="178"/>
      <c r="BQ271" s="167" t="s">
        <v>21</v>
      </c>
      <c r="BR271" s="168"/>
      <c r="BS271" s="172">
        <f>SUM(BS263:BS270)</f>
        <v>0</v>
      </c>
      <c r="BU271" s="159"/>
      <c r="BV271" s="125"/>
      <c r="BW271" s="176"/>
      <c r="BX271" s="177" t="s">
        <v>20</v>
      </c>
      <c r="BY271" s="178"/>
      <c r="BZ271" s="177">
        <v>0</v>
      </c>
      <c r="CA271" s="178"/>
      <c r="CC271" s="167" t="s">
        <v>21</v>
      </c>
      <c r="CD271" s="168"/>
      <c r="CE271" s="172">
        <f>SUM(CE263:CE270)</f>
        <v>0</v>
      </c>
      <c r="CG271" s="159"/>
      <c r="CH271" s="125"/>
      <c r="CI271" s="176"/>
      <c r="CJ271" s="177" t="s">
        <v>20</v>
      </c>
      <c r="CK271" s="178"/>
      <c r="CL271" s="177">
        <v>0</v>
      </c>
      <c r="CM271" s="178"/>
      <c r="CO271" s="167" t="s">
        <v>21</v>
      </c>
      <c r="CP271" s="168"/>
      <c r="CQ271" s="172">
        <f>SUM(CQ263:CQ270)</f>
        <v>0</v>
      </c>
      <c r="CS271" s="159"/>
      <c r="CT271" s="125"/>
      <c r="CU271" s="176"/>
      <c r="CV271" s="177" t="s">
        <v>20</v>
      </c>
      <c r="CW271" s="178"/>
      <c r="CX271" s="177">
        <v>0</v>
      </c>
      <c r="CY271" s="178"/>
      <c r="DA271" s="167" t="s">
        <v>21</v>
      </c>
      <c r="DB271" s="168"/>
      <c r="DC271" s="172">
        <f>SUM(DC263:DC270)</f>
        <v>0</v>
      </c>
      <c r="DD271" s="2"/>
      <c r="DE271" s="159"/>
      <c r="DF271" s="125"/>
      <c r="DG271" s="176"/>
      <c r="DH271" s="177" t="s">
        <v>20</v>
      </c>
      <c r="DI271" s="178"/>
      <c r="DJ271" s="177">
        <v>0</v>
      </c>
      <c r="DK271" s="178"/>
      <c r="DM271" s="167" t="s">
        <v>21</v>
      </c>
      <c r="DN271" s="168"/>
      <c r="DO271" s="172">
        <f>SUM(DO263:DO270)</f>
        <v>0</v>
      </c>
      <c r="DP271" s="2"/>
      <c r="DQ271" s="159"/>
      <c r="DR271" s="125"/>
      <c r="DS271" s="176"/>
      <c r="DT271" s="177" t="s">
        <v>20</v>
      </c>
      <c r="DU271" s="178"/>
      <c r="DV271" s="177">
        <v>0</v>
      </c>
      <c r="DW271" s="178"/>
      <c r="DY271" s="167" t="s">
        <v>21</v>
      </c>
      <c r="DZ271" s="168"/>
      <c r="EA271" s="172">
        <f>SUM(EA263:EA270)</f>
        <v>0</v>
      </c>
      <c r="EC271" s="159"/>
      <c r="ED271" s="125"/>
      <c r="EE271" s="176"/>
      <c r="EF271" s="177" t="s">
        <v>20</v>
      </c>
      <c r="EG271" s="178"/>
      <c r="EH271" s="177">
        <v>0</v>
      </c>
      <c r="EI271" s="178"/>
      <c r="EK271" s="167" t="s">
        <v>21</v>
      </c>
      <c r="EL271" s="168"/>
      <c r="EM271" s="172">
        <f>SUM(EM263:EM270)</f>
        <v>0</v>
      </c>
      <c r="EO271" s="233"/>
      <c r="EP271" s="125"/>
      <c r="EQ271" s="126"/>
      <c r="ER271" s="177" t="s">
        <v>20</v>
      </c>
      <c r="ES271" s="178"/>
      <c r="ET271" s="156">
        <f t="shared" si="20"/>
        <v>0</v>
      </c>
      <c r="EU271" s="157"/>
      <c r="EW271" s="167" t="s">
        <v>21</v>
      </c>
      <c r="EX271" s="239"/>
      <c r="EY271" s="240">
        <f>SUM(EY263:EY270)</f>
        <v>0</v>
      </c>
    </row>
    <row r="272" spans="1:156" ht="17.100000000000001" customHeight="1" thickBot="1" x14ac:dyDescent="0.25">
      <c r="A272" s="159"/>
      <c r="B272" s="111" t="s">
        <v>22</v>
      </c>
      <c r="C272" s="174"/>
      <c r="D272" s="155" t="s">
        <v>23</v>
      </c>
      <c r="E272" s="141"/>
      <c r="F272" s="155">
        <v>0</v>
      </c>
      <c r="G272" s="141"/>
      <c r="I272" s="169"/>
      <c r="J272" s="168"/>
      <c r="K272" s="172"/>
      <c r="M272" s="159"/>
      <c r="N272" s="111" t="s">
        <v>22</v>
      </c>
      <c r="O272" s="174"/>
      <c r="P272" s="155" t="s">
        <v>23</v>
      </c>
      <c r="Q272" s="141"/>
      <c r="R272" s="155">
        <v>0</v>
      </c>
      <c r="S272" s="141"/>
      <c r="U272" s="169"/>
      <c r="V272" s="168"/>
      <c r="W272" s="172"/>
      <c r="Y272" s="159"/>
      <c r="Z272" s="111" t="s">
        <v>22</v>
      </c>
      <c r="AA272" s="174"/>
      <c r="AB272" s="155" t="s">
        <v>23</v>
      </c>
      <c r="AC272" s="141"/>
      <c r="AD272" s="155">
        <v>0</v>
      </c>
      <c r="AE272" s="141"/>
      <c r="AG272" s="169"/>
      <c r="AH272" s="168"/>
      <c r="AI272" s="172"/>
      <c r="AK272" s="159"/>
      <c r="AL272" s="111" t="s">
        <v>22</v>
      </c>
      <c r="AM272" s="174"/>
      <c r="AN272" s="155" t="s">
        <v>23</v>
      </c>
      <c r="AO272" s="141"/>
      <c r="AP272" s="155">
        <v>0</v>
      </c>
      <c r="AQ272" s="141"/>
      <c r="AS272" s="169"/>
      <c r="AT272" s="168"/>
      <c r="AU272" s="172"/>
      <c r="AW272" s="159"/>
      <c r="AX272" s="111" t="s">
        <v>22</v>
      </c>
      <c r="AY272" s="174"/>
      <c r="AZ272" s="155" t="s">
        <v>23</v>
      </c>
      <c r="BA272" s="141"/>
      <c r="BB272" s="155">
        <v>0</v>
      </c>
      <c r="BC272" s="141"/>
      <c r="BE272" s="169"/>
      <c r="BF272" s="168"/>
      <c r="BG272" s="172"/>
      <c r="BI272" s="159"/>
      <c r="BJ272" s="111" t="s">
        <v>22</v>
      </c>
      <c r="BK272" s="174"/>
      <c r="BL272" s="155" t="s">
        <v>23</v>
      </c>
      <c r="BM272" s="141"/>
      <c r="BN272" s="155">
        <v>0</v>
      </c>
      <c r="BO272" s="141"/>
      <c r="BQ272" s="169"/>
      <c r="BR272" s="168"/>
      <c r="BS272" s="172"/>
      <c r="BU272" s="159"/>
      <c r="BV272" s="111" t="s">
        <v>22</v>
      </c>
      <c r="BW272" s="174"/>
      <c r="BX272" s="155" t="s">
        <v>23</v>
      </c>
      <c r="BY272" s="141"/>
      <c r="BZ272" s="155">
        <v>0</v>
      </c>
      <c r="CA272" s="141"/>
      <c r="CC272" s="169"/>
      <c r="CD272" s="168"/>
      <c r="CE272" s="172"/>
      <c r="CG272" s="159"/>
      <c r="CH272" s="111" t="s">
        <v>22</v>
      </c>
      <c r="CI272" s="174"/>
      <c r="CJ272" s="155" t="s">
        <v>23</v>
      </c>
      <c r="CK272" s="141"/>
      <c r="CL272" s="155">
        <v>0</v>
      </c>
      <c r="CM272" s="141"/>
      <c r="CO272" s="169"/>
      <c r="CP272" s="168"/>
      <c r="CQ272" s="172"/>
      <c r="CS272" s="159"/>
      <c r="CT272" s="111" t="s">
        <v>22</v>
      </c>
      <c r="CU272" s="174"/>
      <c r="CV272" s="155" t="s">
        <v>23</v>
      </c>
      <c r="CW272" s="141"/>
      <c r="CX272" s="155">
        <v>0</v>
      </c>
      <c r="CY272" s="141"/>
      <c r="DA272" s="169"/>
      <c r="DB272" s="168"/>
      <c r="DC272" s="172"/>
      <c r="DD272" s="2"/>
      <c r="DE272" s="159"/>
      <c r="DF272" s="111" t="s">
        <v>22</v>
      </c>
      <c r="DG272" s="174"/>
      <c r="DH272" s="155" t="s">
        <v>23</v>
      </c>
      <c r="DI272" s="141"/>
      <c r="DJ272" s="155">
        <v>0</v>
      </c>
      <c r="DK272" s="141"/>
      <c r="DM272" s="169"/>
      <c r="DN272" s="168"/>
      <c r="DO272" s="172"/>
      <c r="DP272" s="2"/>
      <c r="DQ272" s="159"/>
      <c r="DR272" s="111" t="s">
        <v>22</v>
      </c>
      <c r="DS272" s="174"/>
      <c r="DT272" s="155" t="s">
        <v>23</v>
      </c>
      <c r="DU272" s="141"/>
      <c r="DV272" s="155">
        <v>0</v>
      </c>
      <c r="DW272" s="141"/>
      <c r="DY272" s="169"/>
      <c r="DZ272" s="168"/>
      <c r="EA272" s="172"/>
      <c r="EC272" s="159"/>
      <c r="ED272" s="111" t="s">
        <v>22</v>
      </c>
      <c r="EE272" s="174"/>
      <c r="EF272" s="155" t="s">
        <v>23</v>
      </c>
      <c r="EG272" s="141"/>
      <c r="EH272" s="155">
        <v>0</v>
      </c>
      <c r="EI272" s="141"/>
      <c r="EK272" s="169"/>
      <c r="EL272" s="168"/>
      <c r="EM272" s="172"/>
      <c r="EO272" s="233"/>
      <c r="EP272" s="111" t="s">
        <v>22</v>
      </c>
      <c r="EQ272" s="124"/>
      <c r="ER272" s="155" t="s">
        <v>23</v>
      </c>
      <c r="ES272" s="141"/>
      <c r="ET272" s="156">
        <f t="shared" si="20"/>
        <v>0</v>
      </c>
      <c r="EU272" s="157"/>
      <c r="EW272" s="169"/>
      <c r="EX272" s="168"/>
      <c r="EY272" s="172"/>
    </row>
    <row r="273" spans="1:180" ht="17.100000000000001" customHeight="1" thickBot="1" x14ac:dyDescent="0.25">
      <c r="A273" s="159"/>
      <c r="B273" s="113"/>
      <c r="C273" s="175"/>
      <c r="D273" s="154" t="s">
        <v>24</v>
      </c>
      <c r="E273" s="142"/>
      <c r="F273" s="154">
        <v>0</v>
      </c>
      <c r="G273" s="142"/>
      <c r="I273" s="170"/>
      <c r="J273" s="171"/>
      <c r="K273" s="173"/>
      <c r="M273" s="159"/>
      <c r="N273" s="113"/>
      <c r="O273" s="175"/>
      <c r="P273" s="154" t="s">
        <v>24</v>
      </c>
      <c r="Q273" s="142"/>
      <c r="R273" s="154">
        <v>0</v>
      </c>
      <c r="S273" s="142"/>
      <c r="U273" s="170"/>
      <c r="V273" s="171"/>
      <c r="W273" s="173"/>
      <c r="Y273" s="159"/>
      <c r="Z273" s="113"/>
      <c r="AA273" s="175"/>
      <c r="AB273" s="154" t="s">
        <v>24</v>
      </c>
      <c r="AC273" s="142"/>
      <c r="AD273" s="154">
        <v>0</v>
      </c>
      <c r="AE273" s="142"/>
      <c r="AG273" s="170"/>
      <c r="AH273" s="171"/>
      <c r="AI273" s="173"/>
      <c r="AK273" s="159"/>
      <c r="AL273" s="113"/>
      <c r="AM273" s="175"/>
      <c r="AN273" s="154" t="s">
        <v>24</v>
      </c>
      <c r="AO273" s="142"/>
      <c r="AP273" s="154">
        <v>0</v>
      </c>
      <c r="AQ273" s="142"/>
      <c r="AS273" s="170"/>
      <c r="AT273" s="171"/>
      <c r="AU273" s="173"/>
      <c r="AW273" s="159"/>
      <c r="AX273" s="113"/>
      <c r="AY273" s="175"/>
      <c r="AZ273" s="154" t="s">
        <v>24</v>
      </c>
      <c r="BA273" s="142"/>
      <c r="BB273" s="154">
        <v>0</v>
      </c>
      <c r="BC273" s="142"/>
      <c r="BE273" s="170"/>
      <c r="BF273" s="171"/>
      <c r="BG273" s="173"/>
      <c r="BI273" s="159"/>
      <c r="BJ273" s="113"/>
      <c r="BK273" s="175"/>
      <c r="BL273" s="154" t="s">
        <v>24</v>
      </c>
      <c r="BM273" s="142"/>
      <c r="BN273" s="154">
        <v>0</v>
      </c>
      <c r="BO273" s="142"/>
      <c r="BQ273" s="170"/>
      <c r="BR273" s="171"/>
      <c r="BS273" s="173"/>
      <c r="BU273" s="159"/>
      <c r="BV273" s="113"/>
      <c r="BW273" s="175"/>
      <c r="BX273" s="154" t="s">
        <v>24</v>
      </c>
      <c r="BY273" s="142"/>
      <c r="BZ273" s="154">
        <v>0</v>
      </c>
      <c r="CA273" s="142"/>
      <c r="CC273" s="170"/>
      <c r="CD273" s="171"/>
      <c r="CE273" s="173"/>
      <c r="CG273" s="159"/>
      <c r="CH273" s="113"/>
      <c r="CI273" s="175"/>
      <c r="CJ273" s="154" t="s">
        <v>24</v>
      </c>
      <c r="CK273" s="142"/>
      <c r="CL273" s="154">
        <v>0</v>
      </c>
      <c r="CM273" s="142"/>
      <c r="CO273" s="170"/>
      <c r="CP273" s="171"/>
      <c r="CQ273" s="173"/>
      <c r="CS273" s="159"/>
      <c r="CT273" s="113"/>
      <c r="CU273" s="175"/>
      <c r="CV273" s="154" t="s">
        <v>24</v>
      </c>
      <c r="CW273" s="142"/>
      <c r="CX273" s="154">
        <v>0</v>
      </c>
      <c r="CY273" s="142"/>
      <c r="DA273" s="170"/>
      <c r="DB273" s="171"/>
      <c r="DC273" s="173"/>
      <c r="DD273" s="2"/>
      <c r="DE273" s="159"/>
      <c r="DF273" s="113"/>
      <c r="DG273" s="175"/>
      <c r="DH273" s="154" t="s">
        <v>24</v>
      </c>
      <c r="DI273" s="142"/>
      <c r="DJ273" s="154">
        <v>0</v>
      </c>
      <c r="DK273" s="142"/>
      <c r="DM273" s="170"/>
      <c r="DN273" s="171"/>
      <c r="DO273" s="173"/>
      <c r="DP273" s="2"/>
      <c r="DQ273" s="159"/>
      <c r="DR273" s="113"/>
      <c r="DS273" s="175"/>
      <c r="DT273" s="154" t="s">
        <v>24</v>
      </c>
      <c r="DU273" s="142"/>
      <c r="DV273" s="154">
        <v>0</v>
      </c>
      <c r="DW273" s="142"/>
      <c r="DY273" s="170"/>
      <c r="DZ273" s="171"/>
      <c r="EA273" s="173"/>
      <c r="EC273" s="159"/>
      <c r="ED273" s="113"/>
      <c r="EE273" s="175"/>
      <c r="EF273" s="154" t="s">
        <v>24</v>
      </c>
      <c r="EG273" s="142"/>
      <c r="EH273" s="154">
        <v>0</v>
      </c>
      <c r="EI273" s="142"/>
      <c r="EK273" s="170"/>
      <c r="EL273" s="171"/>
      <c r="EM273" s="173"/>
      <c r="EO273" s="233"/>
      <c r="EP273" s="113"/>
      <c r="EQ273" s="112"/>
      <c r="ER273" s="154" t="s">
        <v>24</v>
      </c>
      <c r="ES273" s="142"/>
      <c r="ET273" s="156">
        <f t="shared" si="20"/>
        <v>0</v>
      </c>
      <c r="EU273" s="157"/>
      <c r="EW273" s="170"/>
      <c r="EX273" s="171"/>
      <c r="EY273" s="173"/>
    </row>
    <row r="274" spans="1:180" ht="17.100000000000001" customHeight="1" thickBot="1" x14ac:dyDescent="0.25">
      <c r="A274" s="159"/>
      <c r="B274" s="113"/>
      <c r="C274" s="175"/>
      <c r="D274" s="154" t="s">
        <v>25</v>
      </c>
      <c r="E274" s="142"/>
      <c r="F274" s="154">
        <v>0</v>
      </c>
      <c r="G274" s="142"/>
      <c r="I274" s="111" t="s">
        <v>26</v>
      </c>
      <c r="J274" s="124"/>
      <c r="K274" s="162">
        <v>0</v>
      </c>
      <c r="M274" s="159"/>
      <c r="N274" s="113"/>
      <c r="O274" s="175"/>
      <c r="P274" s="154" t="s">
        <v>25</v>
      </c>
      <c r="Q274" s="142"/>
      <c r="R274" s="154">
        <v>0</v>
      </c>
      <c r="S274" s="142"/>
      <c r="U274" s="111" t="s">
        <v>26</v>
      </c>
      <c r="V274" s="124"/>
      <c r="W274" s="162">
        <v>0</v>
      </c>
      <c r="Y274" s="159"/>
      <c r="Z274" s="113"/>
      <c r="AA274" s="175"/>
      <c r="AB274" s="154" t="s">
        <v>25</v>
      </c>
      <c r="AC274" s="142"/>
      <c r="AD274" s="154">
        <v>0</v>
      </c>
      <c r="AE274" s="142"/>
      <c r="AG274" s="111" t="s">
        <v>26</v>
      </c>
      <c r="AH274" s="124"/>
      <c r="AI274" s="162">
        <v>0</v>
      </c>
      <c r="AK274" s="159"/>
      <c r="AL274" s="113"/>
      <c r="AM274" s="175"/>
      <c r="AN274" s="154" t="s">
        <v>25</v>
      </c>
      <c r="AO274" s="142"/>
      <c r="AP274" s="154">
        <v>0</v>
      </c>
      <c r="AQ274" s="142"/>
      <c r="AS274" s="111" t="s">
        <v>26</v>
      </c>
      <c r="AT274" s="124"/>
      <c r="AU274" s="162">
        <v>0</v>
      </c>
      <c r="AW274" s="159"/>
      <c r="AX274" s="113"/>
      <c r="AY274" s="175"/>
      <c r="AZ274" s="154" t="s">
        <v>25</v>
      </c>
      <c r="BA274" s="142"/>
      <c r="BB274" s="154">
        <v>0</v>
      </c>
      <c r="BC274" s="142"/>
      <c r="BE274" s="111" t="s">
        <v>26</v>
      </c>
      <c r="BF274" s="124"/>
      <c r="BG274" s="162">
        <v>0</v>
      </c>
      <c r="BI274" s="159"/>
      <c r="BJ274" s="113"/>
      <c r="BK274" s="175"/>
      <c r="BL274" s="154" t="s">
        <v>25</v>
      </c>
      <c r="BM274" s="142"/>
      <c r="BN274" s="154">
        <v>0</v>
      </c>
      <c r="BO274" s="142"/>
      <c r="BQ274" s="111" t="s">
        <v>26</v>
      </c>
      <c r="BR274" s="124"/>
      <c r="BS274" s="162">
        <v>0</v>
      </c>
      <c r="BU274" s="159"/>
      <c r="BV274" s="113"/>
      <c r="BW274" s="175"/>
      <c r="BX274" s="154" t="s">
        <v>25</v>
      </c>
      <c r="BY274" s="142"/>
      <c r="BZ274" s="154">
        <v>0</v>
      </c>
      <c r="CA274" s="142"/>
      <c r="CC274" s="111" t="s">
        <v>26</v>
      </c>
      <c r="CD274" s="124"/>
      <c r="CE274" s="162">
        <v>0</v>
      </c>
      <c r="CG274" s="159"/>
      <c r="CH274" s="113"/>
      <c r="CI274" s="175"/>
      <c r="CJ274" s="154" t="s">
        <v>25</v>
      </c>
      <c r="CK274" s="142"/>
      <c r="CL274" s="154">
        <v>0</v>
      </c>
      <c r="CM274" s="142"/>
      <c r="CO274" s="111" t="s">
        <v>26</v>
      </c>
      <c r="CP274" s="124"/>
      <c r="CQ274" s="162">
        <v>0</v>
      </c>
      <c r="CS274" s="159"/>
      <c r="CT274" s="113"/>
      <c r="CU274" s="175"/>
      <c r="CV274" s="154" t="s">
        <v>25</v>
      </c>
      <c r="CW274" s="142"/>
      <c r="CX274" s="154">
        <v>0</v>
      </c>
      <c r="CY274" s="142"/>
      <c r="DA274" s="111" t="s">
        <v>26</v>
      </c>
      <c r="DB274" s="124"/>
      <c r="DC274" s="162">
        <v>0</v>
      </c>
      <c r="DD274" s="2"/>
      <c r="DE274" s="159"/>
      <c r="DF274" s="113"/>
      <c r="DG274" s="175"/>
      <c r="DH274" s="154" t="s">
        <v>25</v>
      </c>
      <c r="DI274" s="142"/>
      <c r="DJ274" s="154">
        <v>0</v>
      </c>
      <c r="DK274" s="142"/>
      <c r="DM274" s="111" t="s">
        <v>26</v>
      </c>
      <c r="DN274" s="124"/>
      <c r="DO274" s="162">
        <v>0</v>
      </c>
      <c r="DP274" s="2"/>
      <c r="DQ274" s="159"/>
      <c r="DR274" s="113"/>
      <c r="DS274" s="175"/>
      <c r="DT274" s="154" t="s">
        <v>25</v>
      </c>
      <c r="DU274" s="142"/>
      <c r="DV274" s="154">
        <v>0</v>
      </c>
      <c r="DW274" s="142"/>
      <c r="DY274" s="111" t="s">
        <v>26</v>
      </c>
      <c r="DZ274" s="124"/>
      <c r="EA274" s="162">
        <v>0</v>
      </c>
      <c r="EC274" s="159"/>
      <c r="ED274" s="113"/>
      <c r="EE274" s="175"/>
      <c r="EF274" s="154" t="s">
        <v>25</v>
      </c>
      <c r="EG274" s="142"/>
      <c r="EH274" s="154">
        <v>0</v>
      </c>
      <c r="EI274" s="142"/>
      <c r="EK274" s="111" t="s">
        <v>26</v>
      </c>
      <c r="EL274" s="124"/>
      <c r="EM274" s="162">
        <v>0</v>
      </c>
      <c r="EO274" s="233"/>
      <c r="EP274" s="113"/>
      <c r="EQ274" s="112"/>
      <c r="ER274" s="154" t="s">
        <v>25</v>
      </c>
      <c r="ES274" s="142"/>
      <c r="ET274" s="156">
        <f t="shared" si="20"/>
        <v>0</v>
      </c>
      <c r="EU274" s="157"/>
      <c r="EW274" s="111" t="s">
        <v>26</v>
      </c>
      <c r="EX274" s="124"/>
      <c r="EY274" s="162">
        <f>K274+W274+AI274+AU274+BG274+BS274+CE274+CQ274+DC274+DO274+EA274+EM274</f>
        <v>0</v>
      </c>
    </row>
    <row r="275" spans="1:180" ht="17.100000000000001" customHeight="1" thickBot="1" x14ac:dyDescent="0.25">
      <c r="A275" s="159"/>
      <c r="B275" s="125"/>
      <c r="C275" s="176"/>
      <c r="D275" s="177" t="s">
        <v>27</v>
      </c>
      <c r="E275" s="178"/>
      <c r="F275" s="177">
        <v>0</v>
      </c>
      <c r="G275" s="178"/>
      <c r="I275" s="113"/>
      <c r="J275" s="112"/>
      <c r="K275" s="163"/>
      <c r="M275" s="159"/>
      <c r="N275" s="125"/>
      <c r="O275" s="176"/>
      <c r="P275" s="177" t="s">
        <v>27</v>
      </c>
      <c r="Q275" s="178"/>
      <c r="R275" s="177">
        <v>0</v>
      </c>
      <c r="S275" s="178"/>
      <c r="U275" s="113"/>
      <c r="V275" s="112"/>
      <c r="W275" s="163"/>
      <c r="Y275" s="159"/>
      <c r="Z275" s="125"/>
      <c r="AA275" s="176"/>
      <c r="AB275" s="177" t="s">
        <v>27</v>
      </c>
      <c r="AC275" s="178"/>
      <c r="AD275" s="177">
        <v>0</v>
      </c>
      <c r="AE275" s="178"/>
      <c r="AG275" s="113"/>
      <c r="AH275" s="112"/>
      <c r="AI275" s="163"/>
      <c r="AK275" s="159"/>
      <c r="AL275" s="125"/>
      <c r="AM275" s="176"/>
      <c r="AN275" s="177" t="s">
        <v>27</v>
      </c>
      <c r="AO275" s="178"/>
      <c r="AP275" s="177">
        <v>0</v>
      </c>
      <c r="AQ275" s="178"/>
      <c r="AS275" s="113"/>
      <c r="AT275" s="112"/>
      <c r="AU275" s="163"/>
      <c r="AW275" s="159"/>
      <c r="AX275" s="125"/>
      <c r="AY275" s="176"/>
      <c r="AZ275" s="177" t="s">
        <v>27</v>
      </c>
      <c r="BA275" s="178"/>
      <c r="BB275" s="177">
        <v>0</v>
      </c>
      <c r="BC275" s="178"/>
      <c r="BE275" s="113"/>
      <c r="BF275" s="112"/>
      <c r="BG275" s="163"/>
      <c r="BI275" s="159"/>
      <c r="BJ275" s="125"/>
      <c r="BK275" s="176"/>
      <c r="BL275" s="177" t="s">
        <v>27</v>
      </c>
      <c r="BM275" s="178"/>
      <c r="BN275" s="177">
        <v>0</v>
      </c>
      <c r="BO275" s="178"/>
      <c r="BQ275" s="113"/>
      <c r="BR275" s="112"/>
      <c r="BS275" s="163"/>
      <c r="BU275" s="159"/>
      <c r="BV275" s="125"/>
      <c r="BW275" s="176"/>
      <c r="BX275" s="177" t="s">
        <v>27</v>
      </c>
      <c r="BY275" s="178"/>
      <c r="BZ275" s="177">
        <v>0</v>
      </c>
      <c r="CA275" s="178"/>
      <c r="CC275" s="113"/>
      <c r="CD275" s="112"/>
      <c r="CE275" s="163"/>
      <c r="CG275" s="159"/>
      <c r="CH275" s="125"/>
      <c r="CI275" s="176"/>
      <c r="CJ275" s="177" t="s">
        <v>27</v>
      </c>
      <c r="CK275" s="178"/>
      <c r="CL275" s="177">
        <v>0</v>
      </c>
      <c r="CM275" s="178"/>
      <c r="CO275" s="113"/>
      <c r="CP275" s="112"/>
      <c r="CQ275" s="163"/>
      <c r="CS275" s="159"/>
      <c r="CT275" s="125"/>
      <c r="CU275" s="176"/>
      <c r="CV275" s="177" t="s">
        <v>27</v>
      </c>
      <c r="CW275" s="178"/>
      <c r="CX275" s="177">
        <v>0</v>
      </c>
      <c r="CY275" s="178"/>
      <c r="DA275" s="113"/>
      <c r="DB275" s="112"/>
      <c r="DC275" s="163"/>
      <c r="DD275" s="2"/>
      <c r="DE275" s="159"/>
      <c r="DF275" s="125"/>
      <c r="DG275" s="176"/>
      <c r="DH275" s="177" t="s">
        <v>27</v>
      </c>
      <c r="DI275" s="178"/>
      <c r="DJ275" s="177">
        <v>0</v>
      </c>
      <c r="DK275" s="178"/>
      <c r="DM275" s="113"/>
      <c r="DN275" s="112"/>
      <c r="DO275" s="163"/>
      <c r="DP275" s="2"/>
      <c r="DQ275" s="159"/>
      <c r="DR275" s="125"/>
      <c r="DS275" s="176"/>
      <c r="DT275" s="177" t="s">
        <v>27</v>
      </c>
      <c r="DU275" s="178"/>
      <c r="DV275" s="177">
        <v>0</v>
      </c>
      <c r="DW275" s="178"/>
      <c r="DY275" s="113"/>
      <c r="DZ275" s="112"/>
      <c r="EA275" s="163"/>
      <c r="EC275" s="159"/>
      <c r="ED275" s="125"/>
      <c r="EE275" s="176"/>
      <c r="EF275" s="177" t="s">
        <v>27</v>
      </c>
      <c r="EG275" s="178"/>
      <c r="EH275" s="177">
        <v>0</v>
      </c>
      <c r="EI275" s="178"/>
      <c r="EK275" s="113"/>
      <c r="EL275" s="112"/>
      <c r="EM275" s="163"/>
      <c r="EO275" s="233"/>
      <c r="EP275" s="125"/>
      <c r="EQ275" s="126"/>
      <c r="ER275" s="177" t="s">
        <v>27</v>
      </c>
      <c r="ES275" s="178"/>
      <c r="ET275" s="156">
        <f t="shared" si="20"/>
        <v>0</v>
      </c>
      <c r="EU275" s="157"/>
      <c r="EW275" s="113"/>
      <c r="EX275" s="112"/>
      <c r="EY275" s="163"/>
    </row>
    <row r="276" spans="1:180" ht="17.100000000000001" customHeight="1" thickBot="1" x14ac:dyDescent="0.25">
      <c r="A276" s="159"/>
      <c r="B276" s="111" t="s">
        <v>28</v>
      </c>
      <c r="C276" s="174"/>
      <c r="D276" s="155" t="s">
        <v>29</v>
      </c>
      <c r="E276" s="141"/>
      <c r="F276" s="155">
        <v>0</v>
      </c>
      <c r="G276" s="141"/>
      <c r="I276" s="125"/>
      <c r="J276" s="126"/>
      <c r="K276" s="164"/>
      <c r="M276" s="159"/>
      <c r="N276" s="111" t="s">
        <v>28</v>
      </c>
      <c r="O276" s="174"/>
      <c r="P276" s="155" t="s">
        <v>29</v>
      </c>
      <c r="Q276" s="141"/>
      <c r="R276" s="155">
        <v>0</v>
      </c>
      <c r="S276" s="141"/>
      <c r="U276" s="125"/>
      <c r="V276" s="126"/>
      <c r="W276" s="164"/>
      <c r="Y276" s="159"/>
      <c r="Z276" s="111" t="s">
        <v>28</v>
      </c>
      <c r="AA276" s="174"/>
      <c r="AB276" s="155" t="s">
        <v>29</v>
      </c>
      <c r="AC276" s="141"/>
      <c r="AD276" s="155">
        <v>0</v>
      </c>
      <c r="AE276" s="141"/>
      <c r="AG276" s="125"/>
      <c r="AH276" s="126"/>
      <c r="AI276" s="164"/>
      <c r="AK276" s="159"/>
      <c r="AL276" s="111" t="s">
        <v>28</v>
      </c>
      <c r="AM276" s="174"/>
      <c r="AN276" s="155" t="s">
        <v>29</v>
      </c>
      <c r="AO276" s="141"/>
      <c r="AP276" s="155">
        <v>0</v>
      </c>
      <c r="AQ276" s="141"/>
      <c r="AS276" s="125"/>
      <c r="AT276" s="126"/>
      <c r="AU276" s="164"/>
      <c r="AW276" s="159"/>
      <c r="AX276" s="111" t="s">
        <v>28</v>
      </c>
      <c r="AY276" s="174"/>
      <c r="AZ276" s="155" t="s">
        <v>29</v>
      </c>
      <c r="BA276" s="141"/>
      <c r="BB276" s="155">
        <v>0</v>
      </c>
      <c r="BC276" s="141"/>
      <c r="BE276" s="125"/>
      <c r="BF276" s="126"/>
      <c r="BG276" s="164"/>
      <c r="BI276" s="159"/>
      <c r="BJ276" s="111" t="s">
        <v>28</v>
      </c>
      <c r="BK276" s="174"/>
      <c r="BL276" s="155" t="s">
        <v>29</v>
      </c>
      <c r="BM276" s="141"/>
      <c r="BN276" s="155">
        <v>0</v>
      </c>
      <c r="BO276" s="141"/>
      <c r="BQ276" s="125"/>
      <c r="BR276" s="126"/>
      <c r="BS276" s="164"/>
      <c r="BU276" s="159"/>
      <c r="BV276" s="111" t="s">
        <v>28</v>
      </c>
      <c r="BW276" s="174"/>
      <c r="BX276" s="155" t="s">
        <v>29</v>
      </c>
      <c r="BY276" s="141"/>
      <c r="BZ276" s="155">
        <v>0</v>
      </c>
      <c r="CA276" s="141"/>
      <c r="CC276" s="125"/>
      <c r="CD276" s="126"/>
      <c r="CE276" s="164"/>
      <c r="CG276" s="159"/>
      <c r="CH276" s="111" t="s">
        <v>28</v>
      </c>
      <c r="CI276" s="174"/>
      <c r="CJ276" s="155" t="s">
        <v>29</v>
      </c>
      <c r="CK276" s="141"/>
      <c r="CL276" s="155">
        <v>0</v>
      </c>
      <c r="CM276" s="141"/>
      <c r="CO276" s="125"/>
      <c r="CP276" s="126"/>
      <c r="CQ276" s="164"/>
      <c r="CS276" s="159"/>
      <c r="CT276" s="111" t="s">
        <v>28</v>
      </c>
      <c r="CU276" s="174"/>
      <c r="CV276" s="155" t="s">
        <v>29</v>
      </c>
      <c r="CW276" s="141"/>
      <c r="CX276" s="155">
        <v>0</v>
      </c>
      <c r="CY276" s="141"/>
      <c r="DA276" s="125"/>
      <c r="DB276" s="126"/>
      <c r="DC276" s="164"/>
      <c r="DD276" s="2"/>
      <c r="DE276" s="159"/>
      <c r="DF276" s="111" t="s">
        <v>28</v>
      </c>
      <c r="DG276" s="174"/>
      <c r="DH276" s="155" t="s">
        <v>29</v>
      </c>
      <c r="DI276" s="141"/>
      <c r="DJ276" s="155">
        <v>0</v>
      </c>
      <c r="DK276" s="141"/>
      <c r="DM276" s="125"/>
      <c r="DN276" s="126"/>
      <c r="DO276" s="164"/>
      <c r="DP276" s="2"/>
      <c r="DQ276" s="159"/>
      <c r="DR276" s="111" t="s">
        <v>28</v>
      </c>
      <c r="DS276" s="174"/>
      <c r="DT276" s="155" t="s">
        <v>29</v>
      </c>
      <c r="DU276" s="141"/>
      <c r="DV276" s="155">
        <v>0</v>
      </c>
      <c r="DW276" s="141"/>
      <c r="DY276" s="125"/>
      <c r="DZ276" s="126"/>
      <c r="EA276" s="164"/>
      <c r="EC276" s="159"/>
      <c r="ED276" s="111" t="s">
        <v>28</v>
      </c>
      <c r="EE276" s="174"/>
      <c r="EF276" s="155" t="s">
        <v>29</v>
      </c>
      <c r="EG276" s="141"/>
      <c r="EH276" s="155">
        <v>0</v>
      </c>
      <c r="EI276" s="141"/>
      <c r="EK276" s="125"/>
      <c r="EL276" s="126"/>
      <c r="EM276" s="164"/>
      <c r="EO276" s="233"/>
      <c r="EP276" s="111" t="s">
        <v>28</v>
      </c>
      <c r="EQ276" s="124"/>
      <c r="ER276" s="155" t="s">
        <v>29</v>
      </c>
      <c r="ES276" s="141"/>
      <c r="ET276" s="156">
        <f t="shared" si="20"/>
        <v>0</v>
      </c>
      <c r="EU276" s="157"/>
      <c r="EW276" s="125"/>
      <c r="EX276" s="126"/>
      <c r="EY276" s="164"/>
    </row>
    <row r="277" spans="1:180" ht="17.100000000000001" customHeight="1" thickBot="1" x14ac:dyDescent="0.25">
      <c r="A277" s="159"/>
      <c r="B277" s="113"/>
      <c r="C277" s="175"/>
      <c r="D277" s="154" t="s">
        <v>30</v>
      </c>
      <c r="E277" s="142"/>
      <c r="F277" s="154">
        <v>0</v>
      </c>
      <c r="G277" s="142"/>
      <c r="I277" s="111" t="s">
        <v>31</v>
      </c>
      <c r="J277" s="124"/>
      <c r="K277" s="162">
        <v>0</v>
      </c>
      <c r="M277" s="159"/>
      <c r="N277" s="113"/>
      <c r="O277" s="175"/>
      <c r="P277" s="154" t="s">
        <v>30</v>
      </c>
      <c r="Q277" s="142"/>
      <c r="R277" s="154">
        <v>0</v>
      </c>
      <c r="S277" s="142"/>
      <c r="U277" s="111" t="s">
        <v>31</v>
      </c>
      <c r="V277" s="124"/>
      <c r="W277" s="162">
        <v>0</v>
      </c>
      <c r="Y277" s="159"/>
      <c r="Z277" s="113"/>
      <c r="AA277" s="175"/>
      <c r="AB277" s="154" t="s">
        <v>30</v>
      </c>
      <c r="AC277" s="142"/>
      <c r="AD277" s="154">
        <v>0</v>
      </c>
      <c r="AE277" s="142"/>
      <c r="AG277" s="111" t="s">
        <v>31</v>
      </c>
      <c r="AH277" s="124"/>
      <c r="AI277" s="162">
        <v>0</v>
      </c>
      <c r="AK277" s="159"/>
      <c r="AL277" s="113"/>
      <c r="AM277" s="175"/>
      <c r="AN277" s="154" t="s">
        <v>30</v>
      </c>
      <c r="AO277" s="142"/>
      <c r="AP277" s="154">
        <v>0</v>
      </c>
      <c r="AQ277" s="142"/>
      <c r="AS277" s="111" t="s">
        <v>31</v>
      </c>
      <c r="AT277" s="124"/>
      <c r="AU277" s="162">
        <v>0</v>
      </c>
      <c r="AW277" s="159"/>
      <c r="AX277" s="113"/>
      <c r="AY277" s="175"/>
      <c r="AZ277" s="154" t="s">
        <v>30</v>
      </c>
      <c r="BA277" s="142"/>
      <c r="BB277" s="154">
        <v>0</v>
      </c>
      <c r="BC277" s="142"/>
      <c r="BE277" s="111" t="s">
        <v>31</v>
      </c>
      <c r="BF277" s="124"/>
      <c r="BG277" s="162">
        <v>0</v>
      </c>
      <c r="BI277" s="159"/>
      <c r="BJ277" s="113"/>
      <c r="BK277" s="175"/>
      <c r="BL277" s="154" t="s">
        <v>30</v>
      </c>
      <c r="BM277" s="142"/>
      <c r="BN277" s="154">
        <v>0</v>
      </c>
      <c r="BO277" s="142"/>
      <c r="BQ277" s="111" t="s">
        <v>31</v>
      </c>
      <c r="BR277" s="124"/>
      <c r="BS277" s="162">
        <v>0</v>
      </c>
      <c r="BU277" s="159"/>
      <c r="BV277" s="113"/>
      <c r="BW277" s="175"/>
      <c r="BX277" s="154" t="s">
        <v>30</v>
      </c>
      <c r="BY277" s="142"/>
      <c r="BZ277" s="154">
        <v>0</v>
      </c>
      <c r="CA277" s="142"/>
      <c r="CC277" s="111" t="s">
        <v>31</v>
      </c>
      <c r="CD277" s="124"/>
      <c r="CE277" s="162">
        <v>0</v>
      </c>
      <c r="CG277" s="159"/>
      <c r="CH277" s="113"/>
      <c r="CI277" s="175"/>
      <c r="CJ277" s="154" t="s">
        <v>30</v>
      </c>
      <c r="CK277" s="142"/>
      <c r="CL277" s="154">
        <v>0</v>
      </c>
      <c r="CM277" s="142"/>
      <c r="CO277" s="111" t="s">
        <v>31</v>
      </c>
      <c r="CP277" s="124"/>
      <c r="CQ277" s="162">
        <v>0</v>
      </c>
      <c r="CS277" s="159"/>
      <c r="CT277" s="113"/>
      <c r="CU277" s="175"/>
      <c r="CV277" s="154" t="s">
        <v>30</v>
      </c>
      <c r="CW277" s="142"/>
      <c r="CX277" s="154">
        <v>0</v>
      </c>
      <c r="CY277" s="142"/>
      <c r="DA277" s="111" t="s">
        <v>31</v>
      </c>
      <c r="DB277" s="124"/>
      <c r="DC277" s="162">
        <v>0</v>
      </c>
      <c r="DD277" s="2"/>
      <c r="DE277" s="159"/>
      <c r="DF277" s="113"/>
      <c r="DG277" s="175"/>
      <c r="DH277" s="154" t="s">
        <v>30</v>
      </c>
      <c r="DI277" s="142"/>
      <c r="DJ277" s="154">
        <v>0</v>
      </c>
      <c r="DK277" s="142"/>
      <c r="DM277" s="111" t="s">
        <v>31</v>
      </c>
      <c r="DN277" s="124"/>
      <c r="DO277" s="162">
        <v>0</v>
      </c>
      <c r="DP277" s="2"/>
      <c r="DQ277" s="159"/>
      <c r="DR277" s="113"/>
      <c r="DS277" s="175"/>
      <c r="DT277" s="154" t="s">
        <v>30</v>
      </c>
      <c r="DU277" s="142"/>
      <c r="DV277" s="154">
        <v>0</v>
      </c>
      <c r="DW277" s="142"/>
      <c r="DY277" s="111" t="s">
        <v>31</v>
      </c>
      <c r="DZ277" s="124"/>
      <c r="EA277" s="162">
        <v>0</v>
      </c>
      <c r="EC277" s="159"/>
      <c r="ED277" s="113"/>
      <c r="EE277" s="175"/>
      <c r="EF277" s="154" t="s">
        <v>30</v>
      </c>
      <c r="EG277" s="142"/>
      <c r="EH277" s="154">
        <v>0</v>
      </c>
      <c r="EI277" s="142"/>
      <c r="EK277" s="111" t="s">
        <v>31</v>
      </c>
      <c r="EL277" s="124"/>
      <c r="EM277" s="162">
        <v>0</v>
      </c>
      <c r="EO277" s="233"/>
      <c r="EP277" s="113"/>
      <c r="EQ277" s="112"/>
      <c r="ER277" s="154" t="s">
        <v>30</v>
      </c>
      <c r="ES277" s="142"/>
      <c r="ET277" s="156">
        <f t="shared" si="20"/>
        <v>0</v>
      </c>
      <c r="EU277" s="157"/>
      <c r="EW277" s="111" t="s">
        <v>31</v>
      </c>
      <c r="EX277" s="124"/>
      <c r="EY277" s="162">
        <f>K277+W277+AI277+AU277+BG277+BS277+CE277+CQ277+DC277+DO277+EA277+EM277</f>
        <v>0</v>
      </c>
    </row>
    <row r="278" spans="1:180" ht="17.100000000000001" customHeight="1" thickBot="1" x14ac:dyDescent="0.25">
      <c r="A278" s="159"/>
      <c r="B278" s="125"/>
      <c r="C278" s="176"/>
      <c r="D278" s="177" t="s">
        <v>32</v>
      </c>
      <c r="E278" s="178"/>
      <c r="F278" s="177">
        <v>0</v>
      </c>
      <c r="G278" s="178"/>
      <c r="I278" s="113"/>
      <c r="J278" s="112"/>
      <c r="K278" s="163"/>
      <c r="M278" s="159"/>
      <c r="N278" s="125"/>
      <c r="O278" s="176"/>
      <c r="P278" s="177" t="s">
        <v>32</v>
      </c>
      <c r="Q278" s="178"/>
      <c r="R278" s="177">
        <v>0</v>
      </c>
      <c r="S278" s="178"/>
      <c r="U278" s="113"/>
      <c r="V278" s="112"/>
      <c r="W278" s="163"/>
      <c r="Y278" s="159"/>
      <c r="Z278" s="125"/>
      <c r="AA278" s="176"/>
      <c r="AB278" s="177" t="s">
        <v>32</v>
      </c>
      <c r="AC278" s="178"/>
      <c r="AD278" s="177">
        <v>0</v>
      </c>
      <c r="AE278" s="178"/>
      <c r="AG278" s="113"/>
      <c r="AH278" s="112"/>
      <c r="AI278" s="163"/>
      <c r="AK278" s="159"/>
      <c r="AL278" s="125"/>
      <c r="AM278" s="176"/>
      <c r="AN278" s="177" t="s">
        <v>32</v>
      </c>
      <c r="AO278" s="178"/>
      <c r="AP278" s="177">
        <v>0</v>
      </c>
      <c r="AQ278" s="178"/>
      <c r="AS278" s="113"/>
      <c r="AT278" s="112"/>
      <c r="AU278" s="163"/>
      <c r="AW278" s="159"/>
      <c r="AX278" s="125"/>
      <c r="AY278" s="176"/>
      <c r="AZ278" s="177" t="s">
        <v>32</v>
      </c>
      <c r="BA278" s="178"/>
      <c r="BB278" s="177">
        <v>0</v>
      </c>
      <c r="BC278" s="178"/>
      <c r="BE278" s="113"/>
      <c r="BF278" s="112"/>
      <c r="BG278" s="163"/>
      <c r="BI278" s="159"/>
      <c r="BJ278" s="125"/>
      <c r="BK278" s="176"/>
      <c r="BL278" s="177" t="s">
        <v>32</v>
      </c>
      <c r="BM278" s="178"/>
      <c r="BN278" s="177">
        <v>0</v>
      </c>
      <c r="BO278" s="178"/>
      <c r="BQ278" s="113"/>
      <c r="BR278" s="112"/>
      <c r="BS278" s="163"/>
      <c r="BU278" s="159"/>
      <c r="BV278" s="125"/>
      <c r="BW278" s="176"/>
      <c r="BX278" s="177" t="s">
        <v>32</v>
      </c>
      <c r="BY278" s="178"/>
      <c r="BZ278" s="177">
        <v>0</v>
      </c>
      <c r="CA278" s="178"/>
      <c r="CC278" s="113"/>
      <c r="CD278" s="112"/>
      <c r="CE278" s="163"/>
      <c r="CG278" s="159"/>
      <c r="CH278" s="125"/>
      <c r="CI278" s="176"/>
      <c r="CJ278" s="177" t="s">
        <v>32</v>
      </c>
      <c r="CK278" s="178"/>
      <c r="CL278" s="177">
        <v>0</v>
      </c>
      <c r="CM278" s="178"/>
      <c r="CO278" s="113"/>
      <c r="CP278" s="112"/>
      <c r="CQ278" s="163"/>
      <c r="CS278" s="159"/>
      <c r="CT278" s="125"/>
      <c r="CU278" s="176"/>
      <c r="CV278" s="177" t="s">
        <v>32</v>
      </c>
      <c r="CW278" s="178"/>
      <c r="CX278" s="177">
        <v>0</v>
      </c>
      <c r="CY278" s="178"/>
      <c r="DA278" s="113"/>
      <c r="DB278" s="112"/>
      <c r="DC278" s="163"/>
      <c r="DD278" s="2"/>
      <c r="DE278" s="159"/>
      <c r="DF278" s="125"/>
      <c r="DG278" s="176"/>
      <c r="DH278" s="177" t="s">
        <v>32</v>
      </c>
      <c r="DI278" s="178"/>
      <c r="DJ278" s="177">
        <v>0</v>
      </c>
      <c r="DK278" s="178"/>
      <c r="DM278" s="113"/>
      <c r="DN278" s="112"/>
      <c r="DO278" s="163"/>
      <c r="DP278" s="2"/>
      <c r="DQ278" s="159"/>
      <c r="DR278" s="125"/>
      <c r="DS278" s="176"/>
      <c r="DT278" s="177" t="s">
        <v>32</v>
      </c>
      <c r="DU278" s="178"/>
      <c r="DV278" s="177">
        <v>0</v>
      </c>
      <c r="DW278" s="178"/>
      <c r="DY278" s="113"/>
      <c r="DZ278" s="112"/>
      <c r="EA278" s="163"/>
      <c r="EC278" s="159"/>
      <c r="ED278" s="125"/>
      <c r="EE278" s="176"/>
      <c r="EF278" s="177" t="s">
        <v>32</v>
      </c>
      <c r="EG278" s="178"/>
      <c r="EH278" s="177">
        <v>0</v>
      </c>
      <c r="EI278" s="178"/>
      <c r="EK278" s="113"/>
      <c r="EL278" s="112"/>
      <c r="EM278" s="163"/>
      <c r="EO278" s="233"/>
      <c r="EP278" s="125"/>
      <c r="EQ278" s="126"/>
      <c r="ER278" s="177" t="s">
        <v>32</v>
      </c>
      <c r="ES278" s="178"/>
      <c r="ET278" s="156">
        <f t="shared" si="20"/>
        <v>0</v>
      </c>
      <c r="EU278" s="157"/>
      <c r="EW278" s="113"/>
      <c r="EX278" s="112"/>
      <c r="EY278" s="163"/>
    </row>
    <row r="279" spans="1:180" ht="17.100000000000001" customHeight="1" thickBot="1" x14ac:dyDescent="0.25">
      <c r="A279" s="159"/>
      <c r="B279" s="111" t="s">
        <v>33</v>
      </c>
      <c r="C279" s="174"/>
      <c r="D279" s="155" t="s">
        <v>34</v>
      </c>
      <c r="E279" s="141"/>
      <c r="F279" s="155">
        <v>0</v>
      </c>
      <c r="G279" s="141"/>
      <c r="I279" s="125"/>
      <c r="J279" s="126"/>
      <c r="K279" s="164"/>
      <c r="M279" s="159"/>
      <c r="N279" s="111" t="s">
        <v>33</v>
      </c>
      <c r="O279" s="174"/>
      <c r="P279" s="155" t="s">
        <v>34</v>
      </c>
      <c r="Q279" s="141"/>
      <c r="R279" s="155">
        <v>0</v>
      </c>
      <c r="S279" s="141"/>
      <c r="U279" s="125"/>
      <c r="V279" s="126"/>
      <c r="W279" s="164"/>
      <c r="Y279" s="159"/>
      <c r="Z279" s="111" t="s">
        <v>33</v>
      </c>
      <c r="AA279" s="174"/>
      <c r="AB279" s="155" t="s">
        <v>34</v>
      </c>
      <c r="AC279" s="141"/>
      <c r="AD279" s="155">
        <v>0</v>
      </c>
      <c r="AE279" s="141"/>
      <c r="AG279" s="125"/>
      <c r="AH279" s="126"/>
      <c r="AI279" s="164"/>
      <c r="AK279" s="159"/>
      <c r="AL279" s="111" t="s">
        <v>33</v>
      </c>
      <c r="AM279" s="174"/>
      <c r="AN279" s="155" t="s">
        <v>34</v>
      </c>
      <c r="AO279" s="141"/>
      <c r="AP279" s="155">
        <v>0</v>
      </c>
      <c r="AQ279" s="141"/>
      <c r="AS279" s="125"/>
      <c r="AT279" s="126"/>
      <c r="AU279" s="164"/>
      <c r="AW279" s="159"/>
      <c r="AX279" s="111" t="s">
        <v>33</v>
      </c>
      <c r="AY279" s="174"/>
      <c r="AZ279" s="155" t="s">
        <v>34</v>
      </c>
      <c r="BA279" s="141"/>
      <c r="BB279" s="155">
        <v>0</v>
      </c>
      <c r="BC279" s="141"/>
      <c r="BE279" s="125"/>
      <c r="BF279" s="126"/>
      <c r="BG279" s="164"/>
      <c r="BI279" s="159"/>
      <c r="BJ279" s="111" t="s">
        <v>33</v>
      </c>
      <c r="BK279" s="174"/>
      <c r="BL279" s="155" t="s">
        <v>34</v>
      </c>
      <c r="BM279" s="141"/>
      <c r="BN279" s="155">
        <v>0</v>
      </c>
      <c r="BO279" s="141"/>
      <c r="BQ279" s="125"/>
      <c r="BR279" s="126"/>
      <c r="BS279" s="164"/>
      <c r="BU279" s="159"/>
      <c r="BV279" s="111" t="s">
        <v>33</v>
      </c>
      <c r="BW279" s="174"/>
      <c r="BX279" s="155" t="s">
        <v>34</v>
      </c>
      <c r="BY279" s="141"/>
      <c r="BZ279" s="155">
        <v>0</v>
      </c>
      <c r="CA279" s="141"/>
      <c r="CC279" s="125"/>
      <c r="CD279" s="126"/>
      <c r="CE279" s="164"/>
      <c r="CG279" s="159"/>
      <c r="CH279" s="111" t="s">
        <v>33</v>
      </c>
      <c r="CI279" s="174"/>
      <c r="CJ279" s="155" t="s">
        <v>34</v>
      </c>
      <c r="CK279" s="141"/>
      <c r="CL279" s="155">
        <v>0</v>
      </c>
      <c r="CM279" s="141"/>
      <c r="CO279" s="125"/>
      <c r="CP279" s="126"/>
      <c r="CQ279" s="164"/>
      <c r="CS279" s="159"/>
      <c r="CT279" s="111" t="s">
        <v>33</v>
      </c>
      <c r="CU279" s="174"/>
      <c r="CV279" s="155" t="s">
        <v>34</v>
      </c>
      <c r="CW279" s="141"/>
      <c r="CX279" s="155">
        <v>0</v>
      </c>
      <c r="CY279" s="141"/>
      <c r="DA279" s="125"/>
      <c r="DB279" s="126"/>
      <c r="DC279" s="164"/>
      <c r="DD279" s="2"/>
      <c r="DE279" s="159"/>
      <c r="DF279" s="111" t="s">
        <v>33</v>
      </c>
      <c r="DG279" s="174"/>
      <c r="DH279" s="155" t="s">
        <v>34</v>
      </c>
      <c r="DI279" s="141"/>
      <c r="DJ279" s="155">
        <v>0</v>
      </c>
      <c r="DK279" s="141"/>
      <c r="DM279" s="125"/>
      <c r="DN279" s="126"/>
      <c r="DO279" s="164"/>
      <c r="DP279" s="2"/>
      <c r="DQ279" s="159"/>
      <c r="DR279" s="111" t="s">
        <v>33</v>
      </c>
      <c r="DS279" s="174"/>
      <c r="DT279" s="155" t="s">
        <v>34</v>
      </c>
      <c r="DU279" s="141"/>
      <c r="DV279" s="155">
        <v>0</v>
      </c>
      <c r="DW279" s="141"/>
      <c r="DY279" s="125"/>
      <c r="DZ279" s="126"/>
      <c r="EA279" s="164"/>
      <c r="EC279" s="159"/>
      <c r="ED279" s="111" t="s">
        <v>33</v>
      </c>
      <c r="EE279" s="174"/>
      <c r="EF279" s="155" t="s">
        <v>34</v>
      </c>
      <c r="EG279" s="141"/>
      <c r="EH279" s="155">
        <v>0</v>
      </c>
      <c r="EI279" s="141"/>
      <c r="EK279" s="125"/>
      <c r="EL279" s="126"/>
      <c r="EM279" s="164"/>
      <c r="EO279" s="233"/>
      <c r="EP279" s="111" t="s">
        <v>33</v>
      </c>
      <c r="EQ279" s="124"/>
      <c r="ER279" s="155" t="s">
        <v>34</v>
      </c>
      <c r="ES279" s="141"/>
      <c r="ET279" s="156">
        <f t="shared" si="20"/>
        <v>0</v>
      </c>
      <c r="EU279" s="157"/>
      <c r="EW279" s="125"/>
      <c r="EX279" s="126"/>
      <c r="EY279" s="164"/>
    </row>
    <row r="280" spans="1:180" ht="17.100000000000001" customHeight="1" thickBot="1" x14ac:dyDescent="0.25">
      <c r="A280" s="159"/>
      <c r="B280" s="125"/>
      <c r="C280" s="176"/>
      <c r="D280" s="177" t="s">
        <v>35</v>
      </c>
      <c r="E280" s="178"/>
      <c r="F280" s="177">
        <v>0</v>
      </c>
      <c r="G280" s="178"/>
      <c r="I280" s="7"/>
      <c r="J280" s="8"/>
      <c r="K280" s="9">
        <f>SUM(K274:K279)</f>
        <v>0</v>
      </c>
      <c r="M280" s="159"/>
      <c r="N280" s="125"/>
      <c r="O280" s="176"/>
      <c r="P280" s="177" t="s">
        <v>35</v>
      </c>
      <c r="Q280" s="178"/>
      <c r="R280" s="177">
        <v>0</v>
      </c>
      <c r="S280" s="178"/>
      <c r="U280" s="7"/>
      <c r="V280" s="8"/>
      <c r="W280" s="9">
        <f>SUM(W274:W279)</f>
        <v>0</v>
      </c>
      <c r="Y280" s="159"/>
      <c r="Z280" s="125"/>
      <c r="AA280" s="176"/>
      <c r="AB280" s="177" t="s">
        <v>35</v>
      </c>
      <c r="AC280" s="178"/>
      <c r="AD280" s="177">
        <v>0</v>
      </c>
      <c r="AE280" s="178"/>
      <c r="AG280" s="7"/>
      <c r="AH280" s="8"/>
      <c r="AI280" s="9">
        <f>SUM(AI274:AI279)</f>
        <v>0</v>
      </c>
      <c r="AK280" s="159"/>
      <c r="AL280" s="125"/>
      <c r="AM280" s="176"/>
      <c r="AN280" s="177" t="s">
        <v>35</v>
      </c>
      <c r="AO280" s="178"/>
      <c r="AP280" s="177">
        <v>0</v>
      </c>
      <c r="AQ280" s="178"/>
      <c r="AS280" s="7"/>
      <c r="AT280" s="8"/>
      <c r="AU280" s="9">
        <f>SUM(AU274:AU279)</f>
        <v>0</v>
      </c>
      <c r="AW280" s="159"/>
      <c r="AX280" s="125"/>
      <c r="AY280" s="176"/>
      <c r="AZ280" s="177" t="s">
        <v>35</v>
      </c>
      <c r="BA280" s="178"/>
      <c r="BB280" s="177">
        <v>0</v>
      </c>
      <c r="BC280" s="178"/>
      <c r="BE280" s="7"/>
      <c r="BF280" s="8"/>
      <c r="BG280" s="9">
        <f>SUM(BG274:BG279)</f>
        <v>0</v>
      </c>
      <c r="BI280" s="159"/>
      <c r="BJ280" s="125"/>
      <c r="BK280" s="176"/>
      <c r="BL280" s="177" t="s">
        <v>35</v>
      </c>
      <c r="BM280" s="178"/>
      <c r="BN280" s="177">
        <v>0</v>
      </c>
      <c r="BO280" s="178"/>
      <c r="BQ280" s="7"/>
      <c r="BR280" s="8"/>
      <c r="BS280" s="9">
        <f>SUM(BS274:BS279)</f>
        <v>0</v>
      </c>
      <c r="BU280" s="159"/>
      <c r="BV280" s="125"/>
      <c r="BW280" s="176"/>
      <c r="BX280" s="177" t="s">
        <v>35</v>
      </c>
      <c r="BY280" s="178"/>
      <c r="BZ280" s="177">
        <v>0</v>
      </c>
      <c r="CA280" s="178"/>
      <c r="CC280" s="7"/>
      <c r="CD280" s="8"/>
      <c r="CE280" s="9">
        <f>SUM(CE274:CE279)</f>
        <v>0</v>
      </c>
      <c r="CG280" s="159"/>
      <c r="CH280" s="125"/>
      <c r="CI280" s="176"/>
      <c r="CJ280" s="177" t="s">
        <v>35</v>
      </c>
      <c r="CK280" s="178"/>
      <c r="CL280" s="177">
        <v>0</v>
      </c>
      <c r="CM280" s="178"/>
      <c r="CO280" s="7"/>
      <c r="CP280" s="8"/>
      <c r="CQ280" s="9">
        <f>SUM(CQ274:CQ279)</f>
        <v>0</v>
      </c>
      <c r="CS280" s="159"/>
      <c r="CT280" s="125"/>
      <c r="CU280" s="176"/>
      <c r="CV280" s="177" t="s">
        <v>35</v>
      </c>
      <c r="CW280" s="178"/>
      <c r="CX280" s="177">
        <v>0</v>
      </c>
      <c r="CY280" s="178"/>
      <c r="DA280" s="7"/>
      <c r="DB280" s="8"/>
      <c r="DC280" s="9">
        <f>SUM(DC274:DC279)</f>
        <v>0</v>
      </c>
      <c r="DD280" s="2"/>
      <c r="DE280" s="159"/>
      <c r="DF280" s="125"/>
      <c r="DG280" s="176"/>
      <c r="DH280" s="177" t="s">
        <v>35</v>
      </c>
      <c r="DI280" s="178"/>
      <c r="DJ280" s="177">
        <v>0</v>
      </c>
      <c r="DK280" s="178"/>
      <c r="DM280" s="7"/>
      <c r="DN280" s="8"/>
      <c r="DO280" s="9">
        <f>SUM(DO274:DO279)</f>
        <v>0</v>
      </c>
      <c r="DP280" s="2"/>
      <c r="DQ280" s="159"/>
      <c r="DR280" s="125"/>
      <c r="DS280" s="176"/>
      <c r="DT280" s="177" t="s">
        <v>35</v>
      </c>
      <c r="DU280" s="178"/>
      <c r="DV280" s="177">
        <v>0</v>
      </c>
      <c r="DW280" s="178"/>
      <c r="DY280" s="7"/>
      <c r="DZ280" s="8"/>
      <c r="EA280" s="9">
        <f>SUM(EA274:EA279)</f>
        <v>0</v>
      </c>
      <c r="EC280" s="159"/>
      <c r="ED280" s="125"/>
      <c r="EE280" s="176"/>
      <c r="EF280" s="177" t="s">
        <v>35</v>
      </c>
      <c r="EG280" s="178"/>
      <c r="EH280" s="177">
        <v>0</v>
      </c>
      <c r="EI280" s="178"/>
      <c r="EK280" s="7"/>
      <c r="EL280" s="8"/>
      <c r="EM280" s="9">
        <f>SUM(EM274:EM279)</f>
        <v>0</v>
      </c>
      <c r="EO280" s="233"/>
      <c r="EP280" s="125"/>
      <c r="EQ280" s="126"/>
      <c r="ER280" s="177" t="s">
        <v>35</v>
      </c>
      <c r="ES280" s="178"/>
      <c r="ET280" s="156">
        <f t="shared" si="20"/>
        <v>0</v>
      </c>
      <c r="EU280" s="157"/>
      <c r="EW280" s="7"/>
      <c r="EX280" s="8"/>
      <c r="EY280" s="9">
        <f>SUM(EY274:EY279)</f>
        <v>0</v>
      </c>
    </row>
    <row r="281" spans="1:180" ht="17.100000000000001" customHeight="1" thickBot="1" x14ac:dyDescent="0.25">
      <c r="A281" s="160"/>
      <c r="B281" s="102" t="s">
        <v>36</v>
      </c>
      <c r="C281" s="148"/>
      <c r="D281" s="148"/>
      <c r="E281" s="128"/>
      <c r="F281" s="156">
        <v>0</v>
      </c>
      <c r="G281" s="157"/>
      <c r="I281" s="111" t="s">
        <v>37</v>
      </c>
      <c r="J281" s="124"/>
      <c r="K281" s="162">
        <v>0</v>
      </c>
      <c r="M281" s="160"/>
      <c r="N281" s="102" t="s">
        <v>36</v>
      </c>
      <c r="O281" s="148"/>
      <c r="P281" s="148"/>
      <c r="Q281" s="128"/>
      <c r="R281" s="156">
        <v>0</v>
      </c>
      <c r="S281" s="157"/>
      <c r="U281" s="111" t="s">
        <v>37</v>
      </c>
      <c r="V281" s="124"/>
      <c r="W281" s="162">
        <v>0</v>
      </c>
      <c r="Y281" s="160"/>
      <c r="Z281" s="102" t="s">
        <v>36</v>
      </c>
      <c r="AA281" s="148"/>
      <c r="AB281" s="148"/>
      <c r="AC281" s="128"/>
      <c r="AD281" s="156">
        <v>0</v>
      </c>
      <c r="AE281" s="157"/>
      <c r="AG281" s="111" t="s">
        <v>37</v>
      </c>
      <c r="AH281" s="124"/>
      <c r="AI281" s="162">
        <v>0</v>
      </c>
      <c r="AK281" s="160"/>
      <c r="AL281" s="102" t="s">
        <v>36</v>
      </c>
      <c r="AM281" s="148"/>
      <c r="AN281" s="148"/>
      <c r="AO281" s="128"/>
      <c r="AP281" s="156">
        <v>0</v>
      </c>
      <c r="AQ281" s="157"/>
      <c r="AS281" s="111" t="s">
        <v>37</v>
      </c>
      <c r="AT281" s="124"/>
      <c r="AU281" s="162">
        <v>0</v>
      </c>
      <c r="AW281" s="160"/>
      <c r="AX281" s="102" t="s">
        <v>36</v>
      </c>
      <c r="AY281" s="148"/>
      <c r="AZ281" s="148"/>
      <c r="BA281" s="128"/>
      <c r="BB281" s="156">
        <v>0</v>
      </c>
      <c r="BC281" s="157"/>
      <c r="BE281" s="111" t="s">
        <v>37</v>
      </c>
      <c r="BF281" s="124"/>
      <c r="BG281" s="162">
        <v>0</v>
      </c>
      <c r="BI281" s="160"/>
      <c r="BJ281" s="102" t="s">
        <v>36</v>
      </c>
      <c r="BK281" s="148"/>
      <c r="BL281" s="148"/>
      <c r="BM281" s="128"/>
      <c r="BN281" s="156">
        <v>0</v>
      </c>
      <c r="BO281" s="157"/>
      <c r="BQ281" s="111" t="s">
        <v>37</v>
      </c>
      <c r="BR281" s="124"/>
      <c r="BS281" s="162">
        <v>0</v>
      </c>
      <c r="BU281" s="160"/>
      <c r="BV281" s="102" t="s">
        <v>36</v>
      </c>
      <c r="BW281" s="148"/>
      <c r="BX281" s="148"/>
      <c r="BY281" s="128"/>
      <c r="BZ281" s="156">
        <v>0</v>
      </c>
      <c r="CA281" s="157"/>
      <c r="CC281" s="111" t="s">
        <v>37</v>
      </c>
      <c r="CD281" s="124"/>
      <c r="CE281" s="162">
        <v>0</v>
      </c>
      <c r="CG281" s="160"/>
      <c r="CH281" s="102" t="s">
        <v>36</v>
      </c>
      <c r="CI281" s="148"/>
      <c r="CJ281" s="148"/>
      <c r="CK281" s="128"/>
      <c r="CL281" s="156">
        <v>0</v>
      </c>
      <c r="CM281" s="157"/>
      <c r="CO281" s="111" t="s">
        <v>37</v>
      </c>
      <c r="CP281" s="124"/>
      <c r="CQ281" s="162">
        <v>0</v>
      </c>
      <c r="CS281" s="160"/>
      <c r="CT281" s="102" t="s">
        <v>36</v>
      </c>
      <c r="CU281" s="148"/>
      <c r="CV281" s="148"/>
      <c r="CW281" s="128"/>
      <c r="CX281" s="156">
        <v>0</v>
      </c>
      <c r="CY281" s="157"/>
      <c r="DA281" s="111" t="s">
        <v>37</v>
      </c>
      <c r="DB281" s="124"/>
      <c r="DC281" s="162">
        <v>0</v>
      </c>
      <c r="DD281" s="2"/>
      <c r="DE281" s="160"/>
      <c r="DF281" s="102" t="s">
        <v>36</v>
      </c>
      <c r="DG281" s="148"/>
      <c r="DH281" s="148"/>
      <c r="DI281" s="128"/>
      <c r="DJ281" s="156">
        <v>0</v>
      </c>
      <c r="DK281" s="157"/>
      <c r="DM281" s="111" t="s">
        <v>37</v>
      </c>
      <c r="DN281" s="124"/>
      <c r="DO281" s="162">
        <v>0</v>
      </c>
      <c r="DP281" s="2"/>
      <c r="DQ281" s="160"/>
      <c r="DR281" s="102" t="s">
        <v>36</v>
      </c>
      <c r="DS281" s="148"/>
      <c r="DT281" s="148"/>
      <c r="DU281" s="128"/>
      <c r="DV281" s="156">
        <v>0</v>
      </c>
      <c r="DW281" s="157"/>
      <c r="DY281" s="111" t="s">
        <v>37</v>
      </c>
      <c r="DZ281" s="124"/>
      <c r="EA281" s="162">
        <v>0</v>
      </c>
      <c r="EC281" s="160"/>
      <c r="ED281" s="102" t="s">
        <v>36</v>
      </c>
      <c r="EE281" s="148"/>
      <c r="EF281" s="148"/>
      <c r="EG281" s="128"/>
      <c r="EH281" s="156">
        <v>0</v>
      </c>
      <c r="EI281" s="157"/>
      <c r="EK281" s="111" t="s">
        <v>37</v>
      </c>
      <c r="EL281" s="124"/>
      <c r="EM281" s="162">
        <v>0</v>
      </c>
      <c r="EO281" s="234"/>
      <c r="EP281" s="156" t="s">
        <v>36</v>
      </c>
      <c r="EQ281" s="187"/>
      <c r="ER281" s="187"/>
      <c r="ES281" s="157"/>
      <c r="ET281" s="156">
        <f t="shared" si="20"/>
        <v>0</v>
      </c>
      <c r="EU281" s="157"/>
      <c r="EW281" s="111" t="s">
        <v>37</v>
      </c>
      <c r="EX281" s="124"/>
      <c r="EY281" s="162">
        <f>K281+W281+AI281+AU281+BG281+BS281+CE281+CQ281+DC281+DO281+EA281+EM281</f>
        <v>0</v>
      </c>
    </row>
    <row r="282" spans="1:180" ht="17.100000000000001" customHeight="1" thickBot="1" x14ac:dyDescent="0.25">
      <c r="A282" s="111" t="s">
        <v>38</v>
      </c>
      <c r="B282" s="174"/>
      <c r="C282" s="124"/>
      <c r="D282" s="155" t="s">
        <v>39</v>
      </c>
      <c r="E282" s="161"/>
      <c r="F282" s="155">
        <v>0</v>
      </c>
      <c r="G282" s="141"/>
      <c r="I282" s="113"/>
      <c r="J282" s="112"/>
      <c r="K282" s="163"/>
      <c r="M282" s="111" t="s">
        <v>38</v>
      </c>
      <c r="N282" s="174"/>
      <c r="O282" s="124"/>
      <c r="P282" s="155" t="s">
        <v>39</v>
      </c>
      <c r="Q282" s="161"/>
      <c r="R282" s="155">
        <v>0</v>
      </c>
      <c r="S282" s="141"/>
      <c r="U282" s="113"/>
      <c r="V282" s="112"/>
      <c r="W282" s="163"/>
      <c r="Y282" s="111" t="s">
        <v>38</v>
      </c>
      <c r="Z282" s="174"/>
      <c r="AA282" s="124"/>
      <c r="AB282" s="155" t="s">
        <v>39</v>
      </c>
      <c r="AC282" s="161"/>
      <c r="AD282" s="155">
        <v>0</v>
      </c>
      <c r="AE282" s="141"/>
      <c r="AG282" s="113"/>
      <c r="AH282" s="112"/>
      <c r="AI282" s="163"/>
      <c r="AK282" s="111" t="s">
        <v>38</v>
      </c>
      <c r="AL282" s="174"/>
      <c r="AM282" s="124"/>
      <c r="AN282" s="155" t="s">
        <v>39</v>
      </c>
      <c r="AO282" s="161"/>
      <c r="AP282" s="155">
        <v>0</v>
      </c>
      <c r="AQ282" s="141"/>
      <c r="AS282" s="113"/>
      <c r="AT282" s="112"/>
      <c r="AU282" s="163"/>
      <c r="AW282" s="111" t="s">
        <v>38</v>
      </c>
      <c r="AX282" s="174"/>
      <c r="AY282" s="124"/>
      <c r="AZ282" s="155" t="s">
        <v>39</v>
      </c>
      <c r="BA282" s="161"/>
      <c r="BB282" s="155">
        <v>0</v>
      </c>
      <c r="BC282" s="141"/>
      <c r="BE282" s="113"/>
      <c r="BF282" s="112"/>
      <c r="BG282" s="163"/>
      <c r="BI282" s="111" t="s">
        <v>38</v>
      </c>
      <c r="BJ282" s="174"/>
      <c r="BK282" s="124"/>
      <c r="BL282" s="155" t="s">
        <v>39</v>
      </c>
      <c r="BM282" s="161"/>
      <c r="BN282" s="155">
        <v>0</v>
      </c>
      <c r="BO282" s="141"/>
      <c r="BQ282" s="113"/>
      <c r="BR282" s="112"/>
      <c r="BS282" s="163"/>
      <c r="BU282" s="111" t="s">
        <v>38</v>
      </c>
      <c r="BV282" s="174"/>
      <c r="BW282" s="124"/>
      <c r="BX282" s="155" t="s">
        <v>39</v>
      </c>
      <c r="BY282" s="161"/>
      <c r="BZ282" s="155">
        <v>0</v>
      </c>
      <c r="CA282" s="141"/>
      <c r="CC282" s="113"/>
      <c r="CD282" s="112"/>
      <c r="CE282" s="163"/>
      <c r="CG282" s="111" t="s">
        <v>38</v>
      </c>
      <c r="CH282" s="174"/>
      <c r="CI282" s="124"/>
      <c r="CJ282" s="155" t="s">
        <v>39</v>
      </c>
      <c r="CK282" s="161"/>
      <c r="CL282" s="155">
        <v>0</v>
      </c>
      <c r="CM282" s="141"/>
      <c r="CO282" s="113"/>
      <c r="CP282" s="112"/>
      <c r="CQ282" s="163"/>
      <c r="CS282" s="111" t="s">
        <v>38</v>
      </c>
      <c r="CT282" s="174"/>
      <c r="CU282" s="124"/>
      <c r="CV282" s="155" t="s">
        <v>39</v>
      </c>
      <c r="CW282" s="161"/>
      <c r="CX282" s="155">
        <v>0</v>
      </c>
      <c r="CY282" s="141"/>
      <c r="DA282" s="113"/>
      <c r="DB282" s="112"/>
      <c r="DC282" s="163"/>
      <c r="DD282" s="2"/>
      <c r="DE282" s="111" t="s">
        <v>38</v>
      </c>
      <c r="DF282" s="174"/>
      <c r="DG282" s="124"/>
      <c r="DH282" s="155" t="s">
        <v>39</v>
      </c>
      <c r="DI282" s="161"/>
      <c r="DJ282" s="155">
        <v>0</v>
      </c>
      <c r="DK282" s="141"/>
      <c r="DM282" s="113"/>
      <c r="DN282" s="112"/>
      <c r="DO282" s="163"/>
      <c r="DP282" s="2"/>
      <c r="DQ282" s="111" t="s">
        <v>38</v>
      </c>
      <c r="DR282" s="174"/>
      <c r="DS282" s="124"/>
      <c r="DT282" s="155" t="s">
        <v>39</v>
      </c>
      <c r="DU282" s="161"/>
      <c r="DV282" s="155">
        <v>0</v>
      </c>
      <c r="DW282" s="141"/>
      <c r="DY282" s="113"/>
      <c r="DZ282" s="112"/>
      <c r="EA282" s="163"/>
      <c r="EC282" s="111" t="s">
        <v>38</v>
      </c>
      <c r="ED282" s="174"/>
      <c r="EE282" s="124"/>
      <c r="EF282" s="155" t="s">
        <v>39</v>
      </c>
      <c r="EG282" s="161"/>
      <c r="EH282" s="155">
        <v>0</v>
      </c>
      <c r="EI282" s="141"/>
      <c r="EK282" s="113"/>
      <c r="EL282" s="112"/>
      <c r="EM282" s="163"/>
      <c r="EO282" s="111" t="s">
        <v>38</v>
      </c>
      <c r="EP282" s="174"/>
      <c r="EQ282" s="124"/>
      <c r="ER282" s="155" t="s">
        <v>39</v>
      </c>
      <c r="ES282" s="141"/>
      <c r="ET282" s="156">
        <f t="shared" si="20"/>
        <v>0</v>
      </c>
      <c r="EU282" s="157"/>
      <c r="EW282" s="113"/>
      <c r="EX282" s="112"/>
      <c r="EY282" s="163"/>
    </row>
    <row r="283" spans="1:180" ht="17.100000000000001" customHeight="1" thickBot="1" x14ac:dyDescent="0.25">
      <c r="A283" s="113"/>
      <c r="B283" s="175"/>
      <c r="C283" s="112"/>
      <c r="D283" s="154" t="s">
        <v>40</v>
      </c>
      <c r="E283" s="181"/>
      <c r="F283" s="154">
        <v>0</v>
      </c>
      <c r="G283" s="142"/>
      <c r="I283" s="125"/>
      <c r="J283" s="126"/>
      <c r="K283" s="164"/>
      <c r="M283" s="113"/>
      <c r="N283" s="175"/>
      <c r="O283" s="112"/>
      <c r="P283" s="154" t="s">
        <v>40</v>
      </c>
      <c r="Q283" s="181"/>
      <c r="R283" s="154">
        <v>0</v>
      </c>
      <c r="S283" s="142"/>
      <c r="U283" s="125"/>
      <c r="V283" s="126"/>
      <c r="W283" s="164"/>
      <c r="Y283" s="113"/>
      <c r="Z283" s="175"/>
      <c r="AA283" s="112"/>
      <c r="AB283" s="154" t="s">
        <v>40</v>
      </c>
      <c r="AC283" s="181"/>
      <c r="AD283" s="154">
        <v>0</v>
      </c>
      <c r="AE283" s="142"/>
      <c r="AG283" s="125"/>
      <c r="AH283" s="126"/>
      <c r="AI283" s="164"/>
      <c r="AK283" s="113"/>
      <c r="AL283" s="175"/>
      <c r="AM283" s="112"/>
      <c r="AN283" s="154" t="s">
        <v>40</v>
      </c>
      <c r="AO283" s="181"/>
      <c r="AP283" s="154">
        <v>0</v>
      </c>
      <c r="AQ283" s="142"/>
      <c r="AS283" s="125"/>
      <c r="AT283" s="126"/>
      <c r="AU283" s="164"/>
      <c r="AW283" s="113"/>
      <c r="AX283" s="175"/>
      <c r="AY283" s="112"/>
      <c r="AZ283" s="154" t="s">
        <v>40</v>
      </c>
      <c r="BA283" s="181"/>
      <c r="BB283" s="154">
        <v>0</v>
      </c>
      <c r="BC283" s="142"/>
      <c r="BE283" s="125"/>
      <c r="BF283" s="126"/>
      <c r="BG283" s="164"/>
      <c r="BI283" s="113"/>
      <c r="BJ283" s="175"/>
      <c r="BK283" s="112"/>
      <c r="BL283" s="154" t="s">
        <v>40</v>
      </c>
      <c r="BM283" s="181"/>
      <c r="BN283" s="154">
        <v>0</v>
      </c>
      <c r="BO283" s="142"/>
      <c r="BQ283" s="125"/>
      <c r="BR283" s="126"/>
      <c r="BS283" s="164"/>
      <c r="BU283" s="113"/>
      <c r="BV283" s="175"/>
      <c r="BW283" s="112"/>
      <c r="BX283" s="154" t="s">
        <v>40</v>
      </c>
      <c r="BY283" s="181"/>
      <c r="BZ283" s="154">
        <v>0</v>
      </c>
      <c r="CA283" s="142"/>
      <c r="CC283" s="125"/>
      <c r="CD283" s="126"/>
      <c r="CE283" s="164"/>
      <c r="CG283" s="113"/>
      <c r="CH283" s="175"/>
      <c r="CI283" s="112"/>
      <c r="CJ283" s="154" t="s">
        <v>40</v>
      </c>
      <c r="CK283" s="181"/>
      <c r="CL283" s="154">
        <v>0</v>
      </c>
      <c r="CM283" s="142"/>
      <c r="CO283" s="125"/>
      <c r="CP283" s="126"/>
      <c r="CQ283" s="164"/>
      <c r="CS283" s="113"/>
      <c r="CT283" s="175"/>
      <c r="CU283" s="112"/>
      <c r="CV283" s="154" t="s">
        <v>40</v>
      </c>
      <c r="CW283" s="181"/>
      <c r="CX283" s="154">
        <v>0</v>
      </c>
      <c r="CY283" s="142"/>
      <c r="DA283" s="125"/>
      <c r="DB283" s="126"/>
      <c r="DC283" s="164"/>
      <c r="DD283" s="2"/>
      <c r="DE283" s="113"/>
      <c r="DF283" s="175"/>
      <c r="DG283" s="112"/>
      <c r="DH283" s="154" t="s">
        <v>40</v>
      </c>
      <c r="DI283" s="181"/>
      <c r="DJ283" s="154">
        <v>0</v>
      </c>
      <c r="DK283" s="142"/>
      <c r="DM283" s="125"/>
      <c r="DN283" s="126"/>
      <c r="DO283" s="164"/>
      <c r="DP283" s="2"/>
      <c r="DQ283" s="113"/>
      <c r="DR283" s="175"/>
      <c r="DS283" s="112"/>
      <c r="DT283" s="154" t="s">
        <v>40</v>
      </c>
      <c r="DU283" s="181"/>
      <c r="DV283" s="154">
        <v>0</v>
      </c>
      <c r="DW283" s="142"/>
      <c r="DY283" s="125"/>
      <c r="DZ283" s="126"/>
      <c r="EA283" s="164"/>
      <c r="EC283" s="113"/>
      <c r="ED283" s="175"/>
      <c r="EE283" s="112"/>
      <c r="EF283" s="154" t="s">
        <v>40</v>
      </c>
      <c r="EG283" s="181"/>
      <c r="EH283" s="154">
        <v>0</v>
      </c>
      <c r="EI283" s="142"/>
      <c r="EK283" s="125"/>
      <c r="EL283" s="126"/>
      <c r="EM283" s="164"/>
      <c r="EO283" s="113"/>
      <c r="EP283" s="175"/>
      <c r="EQ283" s="112"/>
      <c r="ER283" s="154" t="s">
        <v>40</v>
      </c>
      <c r="ES283" s="142"/>
      <c r="ET283" s="156">
        <f t="shared" si="20"/>
        <v>0</v>
      </c>
      <c r="EU283" s="157"/>
      <c r="EW283" s="125"/>
      <c r="EX283" s="126"/>
      <c r="EY283" s="164"/>
    </row>
    <row r="284" spans="1:180" ht="17.100000000000001" customHeight="1" thickBot="1" x14ac:dyDescent="0.25">
      <c r="A284" s="113"/>
      <c r="B284" s="175"/>
      <c r="C284" s="112"/>
      <c r="D284" s="154" t="s">
        <v>41</v>
      </c>
      <c r="E284" s="181"/>
      <c r="F284" s="154">
        <v>0</v>
      </c>
      <c r="G284" s="142"/>
      <c r="I284" s="111" t="s">
        <v>20</v>
      </c>
      <c r="J284" s="124"/>
      <c r="K284" s="162">
        <v>0</v>
      </c>
      <c r="M284" s="113"/>
      <c r="N284" s="175"/>
      <c r="O284" s="112"/>
      <c r="P284" s="154" t="s">
        <v>41</v>
      </c>
      <c r="Q284" s="181"/>
      <c r="R284" s="154">
        <v>0</v>
      </c>
      <c r="S284" s="142"/>
      <c r="U284" s="111" t="s">
        <v>20</v>
      </c>
      <c r="V284" s="124"/>
      <c r="W284" s="162">
        <v>0</v>
      </c>
      <c r="Y284" s="113"/>
      <c r="Z284" s="175"/>
      <c r="AA284" s="112"/>
      <c r="AB284" s="154" t="s">
        <v>41</v>
      </c>
      <c r="AC284" s="181"/>
      <c r="AD284" s="154">
        <v>0</v>
      </c>
      <c r="AE284" s="142"/>
      <c r="AG284" s="111" t="s">
        <v>20</v>
      </c>
      <c r="AH284" s="124"/>
      <c r="AI284" s="162">
        <v>0</v>
      </c>
      <c r="AK284" s="113"/>
      <c r="AL284" s="175"/>
      <c r="AM284" s="112"/>
      <c r="AN284" s="154" t="s">
        <v>41</v>
      </c>
      <c r="AO284" s="181"/>
      <c r="AP284" s="154">
        <v>0</v>
      </c>
      <c r="AQ284" s="142"/>
      <c r="AS284" s="111" t="s">
        <v>20</v>
      </c>
      <c r="AT284" s="124"/>
      <c r="AU284" s="162">
        <v>0</v>
      </c>
      <c r="AW284" s="113"/>
      <c r="AX284" s="175"/>
      <c r="AY284" s="112"/>
      <c r="AZ284" s="154" t="s">
        <v>41</v>
      </c>
      <c r="BA284" s="181"/>
      <c r="BB284" s="154">
        <v>0</v>
      </c>
      <c r="BC284" s="142"/>
      <c r="BE284" s="111" t="s">
        <v>20</v>
      </c>
      <c r="BF284" s="124"/>
      <c r="BG284" s="162">
        <v>0</v>
      </c>
      <c r="BI284" s="113"/>
      <c r="BJ284" s="175"/>
      <c r="BK284" s="112"/>
      <c r="BL284" s="154" t="s">
        <v>41</v>
      </c>
      <c r="BM284" s="181"/>
      <c r="BN284" s="154">
        <v>0</v>
      </c>
      <c r="BO284" s="142"/>
      <c r="BQ284" s="111" t="s">
        <v>20</v>
      </c>
      <c r="BR284" s="124"/>
      <c r="BS284" s="162">
        <v>0</v>
      </c>
      <c r="BU284" s="113"/>
      <c r="BV284" s="175"/>
      <c r="BW284" s="112"/>
      <c r="BX284" s="154" t="s">
        <v>41</v>
      </c>
      <c r="BY284" s="181"/>
      <c r="BZ284" s="154">
        <v>0</v>
      </c>
      <c r="CA284" s="142"/>
      <c r="CC284" s="111" t="s">
        <v>20</v>
      </c>
      <c r="CD284" s="124"/>
      <c r="CE284" s="162">
        <v>0</v>
      </c>
      <c r="CG284" s="113"/>
      <c r="CH284" s="175"/>
      <c r="CI284" s="112"/>
      <c r="CJ284" s="154" t="s">
        <v>41</v>
      </c>
      <c r="CK284" s="181"/>
      <c r="CL284" s="154">
        <v>0</v>
      </c>
      <c r="CM284" s="142"/>
      <c r="CO284" s="111" t="s">
        <v>20</v>
      </c>
      <c r="CP284" s="124"/>
      <c r="CQ284" s="162">
        <v>0</v>
      </c>
      <c r="CS284" s="113"/>
      <c r="CT284" s="175"/>
      <c r="CU284" s="112"/>
      <c r="CV284" s="154" t="s">
        <v>41</v>
      </c>
      <c r="CW284" s="181"/>
      <c r="CX284" s="154">
        <v>0</v>
      </c>
      <c r="CY284" s="142"/>
      <c r="DA284" s="111" t="s">
        <v>20</v>
      </c>
      <c r="DB284" s="124"/>
      <c r="DC284" s="162">
        <v>0</v>
      </c>
      <c r="DD284" s="2"/>
      <c r="DE284" s="113"/>
      <c r="DF284" s="175"/>
      <c r="DG284" s="112"/>
      <c r="DH284" s="154" t="s">
        <v>41</v>
      </c>
      <c r="DI284" s="181"/>
      <c r="DJ284" s="154">
        <v>0</v>
      </c>
      <c r="DK284" s="142"/>
      <c r="DM284" s="111" t="s">
        <v>20</v>
      </c>
      <c r="DN284" s="124"/>
      <c r="DO284" s="162">
        <v>0</v>
      </c>
      <c r="DP284" s="2"/>
      <c r="DQ284" s="113"/>
      <c r="DR284" s="175"/>
      <c r="DS284" s="112"/>
      <c r="DT284" s="154" t="s">
        <v>41</v>
      </c>
      <c r="DU284" s="181"/>
      <c r="DV284" s="154">
        <v>0</v>
      </c>
      <c r="DW284" s="142"/>
      <c r="DY284" s="111" t="s">
        <v>20</v>
      </c>
      <c r="DZ284" s="124"/>
      <c r="EA284" s="162">
        <v>0</v>
      </c>
      <c r="EC284" s="113"/>
      <c r="ED284" s="175"/>
      <c r="EE284" s="112"/>
      <c r="EF284" s="154" t="s">
        <v>41</v>
      </c>
      <c r="EG284" s="181"/>
      <c r="EH284" s="154">
        <v>0</v>
      </c>
      <c r="EI284" s="142"/>
      <c r="EK284" s="111" t="s">
        <v>20</v>
      </c>
      <c r="EL284" s="124"/>
      <c r="EM284" s="162">
        <v>0</v>
      </c>
      <c r="EO284" s="113"/>
      <c r="EP284" s="175"/>
      <c r="EQ284" s="112"/>
      <c r="ER284" s="154" t="s">
        <v>41</v>
      </c>
      <c r="ES284" s="142"/>
      <c r="ET284" s="156">
        <f t="shared" si="20"/>
        <v>0</v>
      </c>
      <c r="EU284" s="157"/>
      <c r="EW284" s="111" t="s">
        <v>20</v>
      </c>
      <c r="EX284" s="124"/>
      <c r="EY284" s="162">
        <f>K284+W284+AI284+AU284+BG284+BS284+CE284+CQ284+DC284+DO284+EA284+EM284</f>
        <v>0</v>
      </c>
    </row>
    <row r="285" spans="1:180" ht="17.100000000000001" customHeight="1" thickBot="1" x14ac:dyDescent="0.25">
      <c r="A285" s="125"/>
      <c r="B285" s="175"/>
      <c r="C285" s="112"/>
      <c r="D285" s="188" t="s">
        <v>42</v>
      </c>
      <c r="E285" s="189"/>
      <c r="F285" s="188">
        <v>0</v>
      </c>
      <c r="G285" s="194"/>
      <c r="I285" s="113"/>
      <c r="J285" s="112"/>
      <c r="K285" s="163"/>
      <c r="M285" s="125"/>
      <c r="N285" s="175"/>
      <c r="O285" s="112"/>
      <c r="P285" s="188" t="s">
        <v>42</v>
      </c>
      <c r="Q285" s="189"/>
      <c r="R285" s="188">
        <v>0</v>
      </c>
      <c r="S285" s="194"/>
      <c r="U285" s="113"/>
      <c r="V285" s="112"/>
      <c r="W285" s="163"/>
      <c r="Y285" s="125"/>
      <c r="Z285" s="175"/>
      <c r="AA285" s="112"/>
      <c r="AB285" s="188" t="s">
        <v>42</v>
      </c>
      <c r="AC285" s="189"/>
      <c r="AD285" s="188">
        <v>0</v>
      </c>
      <c r="AE285" s="194"/>
      <c r="AG285" s="113"/>
      <c r="AH285" s="112"/>
      <c r="AI285" s="163"/>
      <c r="AK285" s="125"/>
      <c r="AL285" s="175"/>
      <c r="AM285" s="112"/>
      <c r="AN285" s="188" t="s">
        <v>42</v>
      </c>
      <c r="AO285" s="189"/>
      <c r="AP285" s="188">
        <v>0</v>
      </c>
      <c r="AQ285" s="194"/>
      <c r="AS285" s="113"/>
      <c r="AT285" s="112"/>
      <c r="AU285" s="163"/>
      <c r="AW285" s="125"/>
      <c r="AX285" s="175"/>
      <c r="AY285" s="112"/>
      <c r="AZ285" s="188" t="s">
        <v>42</v>
      </c>
      <c r="BA285" s="189"/>
      <c r="BB285" s="188">
        <v>0</v>
      </c>
      <c r="BC285" s="194"/>
      <c r="BE285" s="113"/>
      <c r="BF285" s="112"/>
      <c r="BG285" s="163"/>
      <c r="BI285" s="125"/>
      <c r="BJ285" s="175"/>
      <c r="BK285" s="112"/>
      <c r="BL285" s="188" t="s">
        <v>42</v>
      </c>
      <c r="BM285" s="189"/>
      <c r="BN285" s="188">
        <v>0</v>
      </c>
      <c r="BO285" s="194"/>
      <c r="BQ285" s="113"/>
      <c r="BR285" s="112"/>
      <c r="BS285" s="163"/>
      <c r="BU285" s="125"/>
      <c r="BV285" s="175"/>
      <c r="BW285" s="112"/>
      <c r="BX285" s="188" t="s">
        <v>42</v>
      </c>
      <c r="BY285" s="189"/>
      <c r="BZ285" s="188">
        <v>0</v>
      </c>
      <c r="CA285" s="194"/>
      <c r="CC285" s="113"/>
      <c r="CD285" s="112"/>
      <c r="CE285" s="163"/>
      <c r="CG285" s="125"/>
      <c r="CH285" s="175"/>
      <c r="CI285" s="112"/>
      <c r="CJ285" s="188" t="s">
        <v>42</v>
      </c>
      <c r="CK285" s="189"/>
      <c r="CL285" s="188">
        <v>0</v>
      </c>
      <c r="CM285" s="194"/>
      <c r="CO285" s="113"/>
      <c r="CP285" s="112"/>
      <c r="CQ285" s="163"/>
      <c r="CS285" s="125"/>
      <c r="CT285" s="175"/>
      <c r="CU285" s="112"/>
      <c r="CV285" s="188" t="s">
        <v>42</v>
      </c>
      <c r="CW285" s="189"/>
      <c r="CX285" s="188">
        <v>0</v>
      </c>
      <c r="CY285" s="194"/>
      <c r="DA285" s="113"/>
      <c r="DB285" s="112"/>
      <c r="DC285" s="163"/>
      <c r="DD285" s="2"/>
      <c r="DE285" s="125"/>
      <c r="DF285" s="175"/>
      <c r="DG285" s="112"/>
      <c r="DH285" s="188" t="s">
        <v>42</v>
      </c>
      <c r="DI285" s="189"/>
      <c r="DJ285" s="188">
        <v>0</v>
      </c>
      <c r="DK285" s="194"/>
      <c r="DM285" s="113"/>
      <c r="DN285" s="112"/>
      <c r="DO285" s="163"/>
      <c r="DP285" s="2"/>
      <c r="DQ285" s="125"/>
      <c r="DR285" s="175"/>
      <c r="DS285" s="112"/>
      <c r="DT285" s="188" t="s">
        <v>42</v>
      </c>
      <c r="DU285" s="189"/>
      <c r="DV285" s="188">
        <v>0</v>
      </c>
      <c r="DW285" s="194"/>
      <c r="DY285" s="113"/>
      <c r="DZ285" s="112"/>
      <c r="EA285" s="163"/>
      <c r="EC285" s="125"/>
      <c r="ED285" s="175"/>
      <c r="EE285" s="112"/>
      <c r="EF285" s="188" t="s">
        <v>42</v>
      </c>
      <c r="EG285" s="189"/>
      <c r="EH285" s="188">
        <v>0</v>
      </c>
      <c r="EI285" s="194"/>
      <c r="EK285" s="113"/>
      <c r="EL285" s="112"/>
      <c r="EM285" s="163"/>
      <c r="EO285" s="125"/>
      <c r="EP285" s="176"/>
      <c r="EQ285" s="126"/>
      <c r="ER285" s="177" t="s">
        <v>42</v>
      </c>
      <c r="ES285" s="178"/>
      <c r="ET285" s="156">
        <f t="shared" si="20"/>
        <v>0</v>
      </c>
      <c r="EU285" s="157"/>
      <c r="EW285" s="113"/>
      <c r="EX285" s="112"/>
      <c r="EY285" s="163"/>
    </row>
    <row r="286" spans="1:180" ht="17.100000000000001" customHeight="1" thickBot="1" x14ac:dyDescent="0.25">
      <c r="A286" s="111" t="s">
        <v>43</v>
      </c>
      <c r="B286" s="61">
        <f>1</f>
        <v>1</v>
      </c>
      <c r="C286" s="62">
        <v>2</v>
      </c>
      <c r="D286" s="62">
        <v>3</v>
      </c>
      <c r="E286" s="62">
        <v>4</v>
      </c>
      <c r="F286" s="62">
        <v>5</v>
      </c>
      <c r="G286" s="80">
        <v>6</v>
      </c>
      <c r="I286" s="125"/>
      <c r="J286" s="126"/>
      <c r="K286" s="164"/>
      <c r="M286" s="111" t="s">
        <v>43</v>
      </c>
      <c r="N286" s="61">
        <f>1</f>
        <v>1</v>
      </c>
      <c r="O286" s="62">
        <v>2</v>
      </c>
      <c r="P286" s="62">
        <v>3</v>
      </c>
      <c r="Q286" s="62">
        <v>4</v>
      </c>
      <c r="R286" s="62">
        <v>5</v>
      </c>
      <c r="S286" s="80">
        <v>6</v>
      </c>
      <c r="U286" s="125"/>
      <c r="V286" s="126"/>
      <c r="W286" s="164"/>
      <c r="Y286" s="111" t="s">
        <v>43</v>
      </c>
      <c r="Z286" s="61">
        <f>1</f>
        <v>1</v>
      </c>
      <c r="AA286" s="62">
        <v>2</v>
      </c>
      <c r="AB286" s="62">
        <v>3</v>
      </c>
      <c r="AC286" s="62">
        <v>4</v>
      </c>
      <c r="AD286" s="62">
        <v>5</v>
      </c>
      <c r="AE286" s="80">
        <v>6</v>
      </c>
      <c r="AG286" s="125"/>
      <c r="AH286" s="126"/>
      <c r="AI286" s="164"/>
      <c r="AK286" s="111" t="s">
        <v>43</v>
      </c>
      <c r="AL286" s="61">
        <f>1</f>
        <v>1</v>
      </c>
      <c r="AM286" s="62">
        <v>2</v>
      </c>
      <c r="AN286" s="62">
        <v>3</v>
      </c>
      <c r="AO286" s="62">
        <v>4</v>
      </c>
      <c r="AP286" s="62">
        <v>5</v>
      </c>
      <c r="AQ286" s="80">
        <v>6</v>
      </c>
      <c r="AS286" s="125"/>
      <c r="AT286" s="126"/>
      <c r="AU286" s="164"/>
      <c r="AW286" s="111" t="s">
        <v>43</v>
      </c>
      <c r="AX286" s="61">
        <f>1</f>
        <v>1</v>
      </c>
      <c r="AY286" s="62">
        <v>2</v>
      </c>
      <c r="AZ286" s="62">
        <v>3</v>
      </c>
      <c r="BA286" s="62">
        <v>4</v>
      </c>
      <c r="BB286" s="62">
        <v>5</v>
      </c>
      <c r="BC286" s="80">
        <v>6</v>
      </c>
      <c r="BE286" s="125"/>
      <c r="BF286" s="126"/>
      <c r="BG286" s="164"/>
      <c r="BI286" s="111" t="s">
        <v>43</v>
      </c>
      <c r="BJ286" s="61">
        <f>1</f>
        <v>1</v>
      </c>
      <c r="BK286" s="62">
        <v>2</v>
      </c>
      <c r="BL286" s="62">
        <v>3</v>
      </c>
      <c r="BM286" s="62">
        <v>4</v>
      </c>
      <c r="BN286" s="62">
        <v>5</v>
      </c>
      <c r="BO286" s="80">
        <v>6</v>
      </c>
      <c r="BQ286" s="125"/>
      <c r="BR286" s="126"/>
      <c r="BS286" s="164"/>
      <c r="BU286" s="111" t="s">
        <v>43</v>
      </c>
      <c r="BV286" s="61">
        <f>1</f>
        <v>1</v>
      </c>
      <c r="BW286" s="62">
        <v>2</v>
      </c>
      <c r="BX286" s="62">
        <v>3</v>
      </c>
      <c r="BY286" s="62">
        <v>4</v>
      </c>
      <c r="BZ286" s="62">
        <v>5</v>
      </c>
      <c r="CA286" s="80">
        <v>6</v>
      </c>
      <c r="CC286" s="125"/>
      <c r="CD286" s="126"/>
      <c r="CE286" s="164"/>
      <c r="CG286" s="111" t="s">
        <v>43</v>
      </c>
      <c r="CH286" s="61">
        <f>1</f>
        <v>1</v>
      </c>
      <c r="CI286" s="62">
        <v>2</v>
      </c>
      <c r="CJ286" s="62">
        <v>3</v>
      </c>
      <c r="CK286" s="62">
        <v>4</v>
      </c>
      <c r="CL286" s="62">
        <v>5</v>
      </c>
      <c r="CM286" s="80">
        <v>6</v>
      </c>
      <c r="CO286" s="125"/>
      <c r="CP286" s="126"/>
      <c r="CQ286" s="164"/>
      <c r="CS286" s="111" t="s">
        <v>43</v>
      </c>
      <c r="CT286" s="61">
        <f>1</f>
        <v>1</v>
      </c>
      <c r="CU286" s="62">
        <v>2</v>
      </c>
      <c r="CV286" s="62">
        <v>3</v>
      </c>
      <c r="CW286" s="62">
        <v>4</v>
      </c>
      <c r="CX286" s="62">
        <v>5</v>
      </c>
      <c r="CY286" s="80">
        <v>6</v>
      </c>
      <c r="DA286" s="125"/>
      <c r="DB286" s="126"/>
      <c r="DC286" s="164"/>
      <c r="DD286" s="2"/>
      <c r="DE286" s="111" t="s">
        <v>43</v>
      </c>
      <c r="DF286" s="61">
        <f>1</f>
        <v>1</v>
      </c>
      <c r="DG286" s="62">
        <v>2</v>
      </c>
      <c r="DH286" s="62">
        <v>3</v>
      </c>
      <c r="DI286" s="62">
        <v>4</v>
      </c>
      <c r="DJ286" s="62">
        <v>5</v>
      </c>
      <c r="DK286" s="80">
        <v>6</v>
      </c>
      <c r="DM286" s="125"/>
      <c r="DN286" s="126"/>
      <c r="DO286" s="164"/>
      <c r="DP286" s="2"/>
      <c r="DQ286" s="111" t="s">
        <v>43</v>
      </c>
      <c r="DR286" s="61">
        <f>1</f>
        <v>1</v>
      </c>
      <c r="DS286" s="62">
        <v>2</v>
      </c>
      <c r="DT286" s="62">
        <v>3</v>
      </c>
      <c r="DU286" s="62">
        <v>4</v>
      </c>
      <c r="DV286" s="62">
        <v>5</v>
      </c>
      <c r="DW286" s="80">
        <v>6</v>
      </c>
      <c r="DY286" s="125"/>
      <c r="DZ286" s="126"/>
      <c r="EA286" s="164"/>
      <c r="EC286" s="111" t="s">
        <v>43</v>
      </c>
      <c r="ED286" s="61">
        <f>1</f>
        <v>1</v>
      </c>
      <c r="EE286" s="62">
        <v>2</v>
      </c>
      <c r="EF286" s="62">
        <v>3</v>
      </c>
      <c r="EG286" s="62">
        <v>4</v>
      </c>
      <c r="EH286" s="62">
        <v>5</v>
      </c>
      <c r="EI286" s="80">
        <v>6</v>
      </c>
      <c r="EK286" s="125"/>
      <c r="EL286" s="126"/>
      <c r="EM286" s="164"/>
      <c r="EO286" s="229" t="s">
        <v>43</v>
      </c>
      <c r="EP286" s="61">
        <f>1</f>
        <v>1</v>
      </c>
      <c r="EQ286" s="62">
        <v>2</v>
      </c>
      <c r="ER286" s="62">
        <v>3</v>
      </c>
      <c r="ES286" s="62">
        <v>4</v>
      </c>
      <c r="ET286" s="62">
        <v>5</v>
      </c>
      <c r="EU286" s="80">
        <v>6</v>
      </c>
      <c r="EW286" s="125"/>
      <c r="EX286" s="126"/>
      <c r="EY286" s="164"/>
    </row>
    <row r="287" spans="1:180" ht="17.100000000000001" customHeight="1" thickBot="1" x14ac:dyDescent="0.25">
      <c r="A287" s="125"/>
      <c r="B287" s="10">
        <v>0</v>
      </c>
      <c r="C287" s="11">
        <v>0</v>
      </c>
      <c r="D287" s="11">
        <v>0</v>
      </c>
      <c r="E287" s="11">
        <v>0</v>
      </c>
      <c r="F287" s="11">
        <v>0</v>
      </c>
      <c r="G287" s="12">
        <v>0</v>
      </c>
      <c r="H287" s="13"/>
      <c r="I287" s="14"/>
      <c r="J287" s="14"/>
      <c r="K287" s="9">
        <f>SUM(K281:K286)</f>
        <v>0</v>
      </c>
      <c r="M287" s="125"/>
      <c r="N287" s="10">
        <v>0</v>
      </c>
      <c r="O287" s="11">
        <v>0</v>
      </c>
      <c r="P287" s="11">
        <v>0</v>
      </c>
      <c r="Q287" s="11">
        <v>0</v>
      </c>
      <c r="R287" s="11">
        <v>0</v>
      </c>
      <c r="S287" s="12">
        <v>0</v>
      </c>
      <c r="T287" s="13"/>
      <c r="U287" s="14"/>
      <c r="V287" s="14"/>
      <c r="W287" s="9">
        <f>SUM(W281:W286)</f>
        <v>0</v>
      </c>
      <c r="Y287" s="125"/>
      <c r="Z287" s="10">
        <v>0</v>
      </c>
      <c r="AA287" s="11">
        <v>0</v>
      </c>
      <c r="AB287" s="11">
        <v>0</v>
      </c>
      <c r="AC287" s="11">
        <v>0</v>
      </c>
      <c r="AD287" s="11">
        <v>0</v>
      </c>
      <c r="AE287" s="12">
        <v>0</v>
      </c>
      <c r="AF287" s="13"/>
      <c r="AG287" s="14"/>
      <c r="AH287" s="14"/>
      <c r="AI287" s="9">
        <f>SUM(AI281:AI286)</f>
        <v>0</v>
      </c>
      <c r="AK287" s="125"/>
      <c r="AL287" s="10">
        <v>0</v>
      </c>
      <c r="AM287" s="11">
        <v>0</v>
      </c>
      <c r="AN287" s="11">
        <v>0</v>
      </c>
      <c r="AO287" s="11">
        <v>0</v>
      </c>
      <c r="AP287" s="11">
        <v>0</v>
      </c>
      <c r="AQ287" s="12">
        <v>0</v>
      </c>
      <c r="AR287" s="13"/>
      <c r="AS287" s="14"/>
      <c r="AT287" s="14"/>
      <c r="AU287" s="9">
        <f>SUM(AU281:AU286)</f>
        <v>0</v>
      </c>
      <c r="AW287" s="125"/>
      <c r="AX287" s="10">
        <v>0</v>
      </c>
      <c r="AY287" s="11">
        <v>0</v>
      </c>
      <c r="AZ287" s="11">
        <v>0</v>
      </c>
      <c r="BA287" s="11">
        <v>0</v>
      </c>
      <c r="BB287" s="11">
        <v>0</v>
      </c>
      <c r="BC287" s="12">
        <v>0</v>
      </c>
      <c r="BD287" s="13"/>
      <c r="BE287" s="14"/>
      <c r="BF287" s="14"/>
      <c r="BG287" s="9">
        <f>SUM(BG281:BG286)</f>
        <v>0</v>
      </c>
      <c r="BI287" s="125"/>
      <c r="BJ287" s="10">
        <v>0</v>
      </c>
      <c r="BK287" s="11">
        <v>0</v>
      </c>
      <c r="BL287" s="11">
        <v>0</v>
      </c>
      <c r="BM287" s="11">
        <v>0</v>
      </c>
      <c r="BN287" s="11">
        <v>0</v>
      </c>
      <c r="BO287" s="12">
        <v>0</v>
      </c>
      <c r="BP287" s="13"/>
      <c r="BQ287" s="14"/>
      <c r="BR287" s="14"/>
      <c r="BS287" s="9">
        <f>SUM(BS281:BS286)</f>
        <v>0</v>
      </c>
      <c r="BU287" s="125"/>
      <c r="BV287" s="10">
        <v>0</v>
      </c>
      <c r="BW287" s="11">
        <v>0</v>
      </c>
      <c r="BX287" s="11">
        <v>0</v>
      </c>
      <c r="BY287" s="11">
        <v>0</v>
      </c>
      <c r="BZ287" s="11">
        <v>0</v>
      </c>
      <c r="CA287" s="12">
        <v>0</v>
      </c>
      <c r="CB287" s="13"/>
      <c r="CC287" s="14"/>
      <c r="CD287" s="14"/>
      <c r="CE287" s="9">
        <f>SUM(CE281:CE286)</f>
        <v>0</v>
      </c>
      <c r="CG287" s="125"/>
      <c r="CH287" s="10">
        <v>0</v>
      </c>
      <c r="CI287" s="11">
        <v>0</v>
      </c>
      <c r="CJ287" s="11">
        <v>0</v>
      </c>
      <c r="CK287" s="11">
        <v>0</v>
      </c>
      <c r="CL287" s="11">
        <v>0</v>
      </c>
      <c r="CM287" s="12">
        <v>0</v>
      </c>
      <c r="CN287" s="13"/>
      <c r="CO287" s="14"/>
      <c r="CP287" s="14"/>
      <c r="CQ287" s="9">
        <f>SUM(CQ281:CQ286)</f>
        <v>0</v>
      </c>
      <c r="CS287" s="125"/>
      <c r="CT287" s="10">
        <v>0</v>
      </c>
      <c r="CU287" s="11">
        <v>0</v>
      </c>
      <c r="CV287" s="11">
        <v>0</v>
      </c>
      <c r="CW287" s="11">
        <v>0</v>
      </c>
      <c r="CX287" s="11">
        <v>0</v>
      </c>
      <c r="CY287" s="12">
        <v>0</v>
      </c>
      <c r="CZ287" s="13"/>
      <c r="DA287" s="14"/>
      <c r="DB287" s="14"/>
      <c r="DC287" s="9">
        <f>SUM(DC281:DC286)</f>
        <v>0</v>
      </c>
      <c r="DD287" s="2"/>
      <c r="DE287" s="125"/>
      <c r="DF287" s="10">
        <v>0</v>
      </c>
      <c r="DG287" s="11">
        <v>0</v>
      </c>
      <c r="DH287" s="11">
        <v>0</v>
      </c>
      <c r="DI287" s="11">
        <v>0</v>
      </c>
      <c r="DJ287" s="11">
        <v>0</v>
      </c>
      <c r="DK287" s="12">
        <v>0</v>
      </c>
      <c r="DL287" s="13"/>
      <c r="DM287" s="14"/>
      <c r="DN287" s="14"/>
      <c r="DO287" s="9">
        <f>SUM(DO281:DO286)</f>
        <v>0</v>
      </c>
      <c r="DP287" s="2"/>
      <c r="DQ287" s="125"/>
      <c r="DR287" s="10">
        <v>0</v>
      </c>
      <c r="DS287" s="11">
        <v>0</v>
      </c>
      <c r="DT287" s="11">
        <v>0</v>
      </c>
      <c r="DU287" s="11">
        <v>0</v>
      </c>
      <c r="DV287" s="11">
        <v>0</v>
      </c>
      <c r="DW287" s="12">
        <v>0</v>
      </c>
      <c r="DX287" s="13"/>
      <c r="DY287" s="14"/>
      <c r="DZ287" s="14"/>
      <c r="EA287" s="9">
        <f>SUM(EA281:EA286)</f>
        <v>0</v>
      </c>
      <c r="EC287" s="125"/>
      <c r="ED287" s="10">
        <v>0</v>
      </c>
      <c r="EE287" s="11">
        <v>0</v>
      </c>
      <c r="EF287" s="11">
        <v>0</v>
      </c>
      <c r="EG287" s="11">
        <v>0</v>
      </c>
      <c r="EH287" s="11">
        <v>0</v>
      </c>
      <c r="EI287" s="12">
        <v>0</v>
      </c>
      <c r="EJ287" s="13"/>
      <c r="EK287" s="14"/>
      <c r="EL287" s="14"/>
      <c r="EM287" s="9">
        <f>SUM(EM281:EM286)</f>
        <v>0</v>
      </c>
      <c r="EO287" s="237"/>
      <c r="EP287" s="10">
        <f t="shared" ref="EP287:EU287" si="21">B287+N287+Z287+AL287+AX287+BJ287+BV287+CH287+CT287+DF287+DR287+ED287</f>
        <v>0</v>
      </c>
      <c r="EQ287" s="10">
        <f t="shared" si="21"/>
        <v>0</v>
      </c>
      <c r="ER287" s="10">
        <f t="shared" si="21"/>
        <v>0</v>
      </c>
      <c r="ES287" s="10">
        <f t="shared" si="21"/>
        <v>0</v>
      </c>
      <c r="ET287" s="10">
        <f t="shared" si="21"/>
        <v>0</v>
      </c>
      <c r="EU287" s="10">
        <f t="shared" si="21"/>
        <v>0</v>
      </c>
      <c r="EV287" s="13"/>
      <c r="EW287" s="14"/>
      <c r="EX287" s="14"/>
      <c r="EY287" s="9">
        <f>SUM(EY281:EY286)</f>
        <v>0</v>
      </c>
    </row>
    <row r="288" spans="1:180" s="58" customFormat="1" ht="18" customHeight="1" thickBot="1" x14ac:dyDescent="0.25">
      <c r="A288" s="59" t="s">
        <v>3</v>
      </c>
      <c r="B288" s="59"/>
      <c r="C288" s="179"/>
      <c r="D288" s="179"/>
      <c r="E288" s="179"/>
      <c r="F288" s="3"/>
      <c r="G288" s="64"/>
      <c r="H288" s="186"/>
      <c r="I288" s="186"/>
      <c r="J288" s="15"/>
      <c r="K288" s="3"/>
      <c r="L288" s="81"/>
      <c r="M288" s="59" t="s">
        <v>3</v>
      </c>
      <c r="N288" s="59"/>
      <c r="O288" s="179"/>
      <c r="P288" s="179"/>
      <c r="Q288" s="179"/>
      <c r="R288" s="3"/>
      <c r="S288" s="64"/>
      <c r="T288" s="186"/>
      <c r="U288" s="186"/>
      <c r="V288" s="15"/>
      <c r="W288" s="3"/>
      <c r="X288" s="81"/>
      <c r="Y288" s="59" t="s">
        <v>3</v>
      </c>
      <c r="Z288" s="59"/>
      <c r="AA288" s="179"/>
      <c r="AB288" s="179"/>
      <c r="AC288" s="179"/>
      <c r="AD288" s="3"/>
      <c r="AE288" s="64"/>
      <c r="AF288" s="186"/>
      <c r="AG288" s="186"/>
      <c r="AH288" s="15"/>
      <c r="AI288" s="3"/>
      <c r="AJ288" s="81"/>
      <c r="AK288" s="59" t="s">
        <v>3</v>
      </c>
      <c r="AL288" s="59"/>
      <c r="AM288" s="179"/>
      <c r="AN288" s="179"/>
      <c r="AO288" s="179"/>
      <c r="AP288" s="3"/>
      <c r="AQ288" s="64"/>
      <c r="AR288" s="186"/>
      <c r="AS288" s="186"/>
      <c r="AT288" s="15"/>
      <c r="AU288" s="3"/>
      <c r="AV288" s="81"/>
      <c r="AW288" s="59" t="s">
        <v>3</v>
      </c>
      <c r="AX288" s="59"/>
      <c r="AY288" s="179"/>
      <c r="AZ288" s="179"/>
      <c r="BA288" s="179"/>
      <c r="BB288" s="3"/>
      <c r="BC288" s="64"/>
      <c r="BD288" s="186"/>
      <c r="BE288" s="186"/>
      <c r="BF288" s="15"/>
      <c r="BG288" s="3"/>
      <c r="BH288" s="70"/>
      <c r="BI288" s="59" t="s">
        <v>3</v>
      </c>
      <c r="BJ288" s="59"/>
      <c r="BK288" s="179"/>
      <c r="BL288" s="179"/>
      <c r="BM288" s="179"/>
      <c r="BN288" s="3"/>
      <c r="BO288" s="64"/>
      <c r="BP288" s="186"/>
      <c r="BQ288" s="186"/>
      <c r="BR288" s="15"/>
      <c r="BS288" s="3"/>
      <c r="BT288" s="70"/>
      <c r="BU288" s="59" t="s">
        <v>3</v>
      </c>
      <c r="BV288" s="59"/>
      <c r="BW288" s="179"/>
      <c r="BX288" s="179"/>
      <c r="BY288" s="179"/>
      <c r="BZ288" s="3"/>
      <c r="CA288" s="64"/>
      <c r="CB288" s="186"/>
      <c r="CC288" s="186"/>
      <c r="CD288" s="15"/>
      <c r="CE288" s="3"/>
      <c r="CF288" s="70"/>
      <c r="CG288" s="59" t="s">
        <v>3</v>
      </c>
      <c r="CH288" s="59"/>
      <c r="CI288" s="179"/>
      <c r="CJ288" s="179"/>
      <c r="CK288" s="179"/>
      <c r="CL288" s="3"/>
      <c r="CM288" s="64"/>
      <c r="CN288" s="186"/>
      <c r="CO288" s="186"/>
      <c r="CP288" s="15"/>
      <c r="CQ288" s="3"/>
      <c r="CR288" s="70"/>
      <c r="CS288" s="59" t="s">
        <v>3</v>
      </c>
      <c r="CT288" s="59"/>
      <c r="CU288" s="179"/>
      <c r="CV288" s="179"/>
      <c r="CW288" s="179"/>
      <c r="CX288" s="3"/>
      <c r="CY288" s="64"/>
      <c r="CZ288" s="186"/>
      <c r="DA288" s="186"/>
      <c r="DB288" s="15"/>
      <c r="DC288" s="3"/>
      <c r="DE288" s="59" t="s">
        <v>3</v>
      </c>
      <c r="DF288" s="59"/>
      <c r="DG288" s="179"/>
      <c r="DH288" s="179"/>
      <c r="DI288" s="179"/>
      <c r="DJ288" s="3"/>
      <c r="DK288" s="64"/>
      <c r="DL288" s="186"/>
      <c r="DM288" s="186"/>
      <c r="DN288" s="15"/>
      <c r="DO288" s="3"/>
      <c r="DQ288" s="59" t="s">
        <v>3</v>
      </c>
      <c r="DR288" s="59"/>
      <c r="DS288" s="179"/>
      <c r="DT288" s="179"/>
      <c r="DU288" s="179"/>
      <c r="DV288" s="3"/>
      <c r="DW288" s="64"/>
      <c r="DX288" s="186"/>
      <c r="DY288" s="186"/>
      <c r="DZ288" s="15"/>
      <c r="EA288" s="3"/>
      <c r="EB288" s="82"/>
      <c r="EC288" s="59" t="s">
        <v>3</v>
      </c>
      <c r="ED288" s="59"/>
      <c r="EE288" s="179"/>
      <c r="EF288" s="179"/>
      <c r="EG288" s="179"/>
      <c r="EH288" s="3"/>
      <c r="EI288" s="64"/>
      <c r="EJ288" s="186"/>
      <c r="EK288" s="186"/>
      <c r="EL288" s="15"/>
      <c r="EM288" s="3"/>
      <c r="EN288" s="82"/>
      <c r="EO288" s="59" t="s">
        <v>3</v>
      </c>
      <c r="EP288" s="59"/>
      <c r="EQ288" s="230">
        <f>EE288</f>
        <v>0</v>
      </c>
      <c r="ER288" s="230"/>
      <c r="ES288" s="230"/>
      <c r="ET288" s="3"/>
      <c r="EU288" s="64"/>
      <c r="EV288" s="148"/>
      <c r="EW288" s="148"/>
      <c r="EX288" s="15"/>
      <c r="EY288" s="3"/>
      <c r="EZ288" s="82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</row>
    <row r="289" spans="1:155" ht="17.100000000000001" customHeight="1" thickBot="1" x14ac:dyDescent="0.25">
      <c r="A289" s="156" t="s">
        <v>4</v>
      </c>
      <c r="B289" s="187"/>
      <c r="C289" s="187"/>
      <c r="D289" s="187"/>
      <c r="E289" s="157"/>
      <c r="F289" s="156" t="s">
        <v>5</v>
      </c>
      <c r="G289" s="157"/>
      <c r="I289" s="102" t="s">
        <v>6</v>
      </c>
      <c r="J289" s="143" t="s">
        <v>7</v>
      </c>
      <c r="K289" s="165">
        <v>0</v>
      </c>
      <c r="M289" s="156" t="s">
        <v>4</v>
      </c>
      <c r="N289" s="187"/>
      <c r="O289" s="187"/>
      <c r="P289" s="187"/>
      <c r="Q289" s="157"/>
      <c r="R289" s="156" t="s">
        <v>5</v>
      </c>
      <c r="S289" s="157"/>
      <c r="U289" s="102" t="s">
        <v>6</v>
      </c>
      <c r="V289" s="143" t="s">
        <v>7</v>
      </c>
      <c r="W289" s="165">
        <v>0</v>
      </c>
      <c r="Y289" s="156" t="s">
        <v>4</v>
      </c>
      <c r="Z289" s="187"/>
      <c r="AA289" s="187"/>
      <c r="AB289" s="187"/>
      <c r="AC289" s="157"/>
      <c r="AD289" s="156" t="s">
        <v>5</v>
      </c>
      <c r="AE289" s="157"/>
      <c r="AG289" s="102" t="s">
        <v>6</v>
      </c>
      <c r="AH289" s="143" t="s">
        <v>7</v>
      </c>
      <c r="AI289" s="165">
        <v>0</v>
      </c>
      <c r="AK289" s="156" t="s">
        <v>4</v>
      </c>
      <c r="AL289" s="187"/>
      <c r="AM289" s="187"/>
      <c r="AN289" s="187"/>
      <c r="AO289" s="157"/>
      <c r="AP289" s="156" t="s">
        <v>5</v>
      </c>
      <c r="AQ289" s="157"/>
      <c r="AS289" s="102" t="s">
        <v>6</v>
      </c>
      <c r="AT289" s="143" t="s">
        <v>7</v>
      </c>
      <c r="AU289" s="165">
        <v>0</v>
      </c>
      <c r="AW289" s="156" t="s">
        <v>4</v>
      </c>
      <c r="AX289" s="187"/>
      <c r="AY289" s="187"/>
      <c r="AZ289" s="187"/>
      <c r="BA289" s="157"/>
      <c r="BB289" s="156" t="s">
        <v>5</v>
      </c>
      <c r="BC289" s="157"/>
      <c r="BE289" s="102" t="s">
        <v>6</v>
      </c>
      <c r="BF289" s="143" t="s">
        <v>7</v>
      </c>
      <c r="BG289" s="165">
        <v>0</v>
      </c>
      <c r="BI289" s="156" t="s">
        <v>4</v>
      </c>
      <c r="BJ289" s="187"/>
      <c r="BK289" s="187"/>
      <c r="BL289" s="187"/>
      <c r="BM289" s="157"/>
      <c r="BN289" s="156" t="s">
        <v>5</v>
      </c>
      <c r="BO289" s="157"/>
      <c r="BQ289" s="102" t="s">
        <v>6</v>
      </c>
      <c r="BR289" s="143" t="s">
        <v>7</v>
      </c>
      <c r="BS289" s="165">
        <v>0</v>
      </c>
      <c r="BU289" s="156" t="s">
        <v>4</v>
      </c>
      <c r="BV289" s="187"/>
      <c r="BW289" s="187"/>
      <c r="BX289" s="187"/>
      <c r="BY289" s="157"/>
      <c r="BZ289" s="156" t="s">
        <v>5</v>
      </c>
      <c r="CA289" s="157"/>
      <c r="CC289" s="102" t="s">
        <v>6</v>
      </c>
      <c r="CD289" s="143" t="s">
        <v>7</v>
      </c>
      <c r="CE289" s="165">
        <v>0</v>
      </c>
      <c r="CG289" s="156" t="s">
        <v>4</v>
      </c>
      <c r="CH289" s="187"/>
      <c r="CI289" s="187"/>
      <c r="CJ289" s="187"/>
      <c r="CK289" s="157"/>
      <c r="CL289" s="156" t="s">
        <v>5</v>
      </c>
      <c r="CM289" s="157"/>
      <c r="CO289" s="102" t="s">
        <v>6</v>
      </c>
      <c r="CP289" s="143" t="s">
        <v>7</v>
      </c>
      <c r="CQ289" s="165">
        <v>0</v>
      </c>
      <c r="CS289" s="156" t="s">
        <v>4</v>
      </c>
      <c r="CT289" s="187"/>
      <c r="CU289" s="187"/>
      <c r="CV289" s="187"/>
      <c r="CW289" s="157"/>
      <c r="CX289" s="156" t="s">
        <v>5</v>
      </c>
      <c r="CY289" s="157"/>
      <c r="DA289" s="102" t="s">
        <v>6</v>
      </c>
      <c r="DB289" s="143" t="s">
        <v>7</v>
      </c>
      <c r="DC289" s="165">
        <v>0</v>
      </c>
      <c r="DD289" s="2"/>
      <c r="DE289" s="156" t="s">
        <v>4</v>
      </c>
      <c r="DF289" s="187"/>
      <c r="DG289" s="187"/>
      <c r="DH289" s="187"/>
      <c r="DI289" s="157"/>
      <c r="DJ289" s="156" t="s">
        <v>5</v>
      </c>
      <c r="DK289" s="157"/>
      <c r="DM289" s="102" t="s">
        <v>6</v>
      </c>
      <c r="DN289" s="143" t="s">
        <v>7</v>
      </c>
      <c r="DO289" s="165">
        <v>0</v>
      </c>
      <c r="DP289" s="2"/>
      <c r="DQ289" s="156" t="s">
        <v>4</v>
      </c>
      <c r="DR289" s="187"/>
      <c r="DS289" s="187"/>
      <c r="DT289" s="187"/>
      <c r="DU289" s="157"/>
      <c r="DV289" s="156" t="s">
        <v>5</v>
      </c>
      <c r="DW289" s="157"/>
      <c r="DY289" s="102" t="s">
        <v>6</v>
      </c>
      <c r="DZ289" s="143" t="s">
        <v>7</v>
      </c>
      <c r="EA289" s="165">
        <v>0</v>
      </c>
      <c r="EC289" s="156" t="s">
        <v>4</v>
      </c>
      <c r="ED289" s="187"/>
      <c r="EE289" s="187"/>
      <c r="EF289" s="187"/>
      <c r="EG289" s="157"/>
      <c r="EH289" s="156" t="s">
        <v>5</v>
      </c>
      <c r="EI289" s="157"/>
      <c r="EK289" s="102" t="s">
        <v>6</v>
      </c>
      <c r="EL289" s="143" t="s">
        <v>7</v>
      </c>
      <c r="EM289" s="165">
        <v>0</v>
      </c>
      <c r="EO289" s="156" t="s">
        <v>4</v>
      </c>
      <c r="EP289" s="187"/>
      <c r="EQ289" s="187"/>
      <c r="ER289" s="187"/>
      <c r="ES289" s="157"/>
      <c r="ET289" s="156" t="s">
        <v>5</v>
      </c>
      <c r="EU289" s="157"/>
      <c r="EW289" s="121" t="s">
        <v>6</v>
      </c>
      <c r="EX289" s="229" t="s">
        <v>7</v>
      </c>
      <c r="EY289" s="229">
        <f>K289+W289+AI289+AU289+BG289+BS289+CE289+CQ289+DC289+DO289+EA289+EM289</f>
        <v>0</v>
      </c>
    </row>
    <row r="290" spans="1:155" ht="17.100000000000001" customHeight="1" thickBot="1" x14ac:dyDescent="0.25">
      <c r="A290" s="111" t="s">
        <v>8</v>
      </c>
      <c r="B290" s="174"/>
      <c r="C290" s="174"/>
      <c r="D290" s="155" t="s">
        <v>9</v>
      </c>
      <c r="E290" s="141"/>
      <c r="F290" s="155">
        <v>0</v>
      </c>
      <c r="G290" s="141"/>
      <c r="I290" s="103"/>
      <c r="J290" s="140"/>
      <c r="K290" s="166"/>
      <c r="M290" s="111" t="s">
        <v>8</v>
      </c>
      <c r="N290" s="174"/>
      <c r="O290" s="174"/>
      <c r="P290" s="155" t="s">
        <v>9</v>
      </c>
      <c r="Q290" s="141"/>
      <c r="R290" s="155">
        <v>0</v>
      </c>
      <c r="S290" s="141"/>
      <c r="U290" s="103"/>
      <c r="V290" s="140"/>
      <c r="W290" s="166"/>
      <c r="Y290" s="111" t="s">
        <v>8</v>
      </c>
      <c r="Z290" s="174"/>
      <c r="AA290" s="174"/>
      <c r="AB290" s="155" t="s">
        <v>9</v>
      </c>
      <c r="AC290" s="141"/>
      <c r="AD290" s="155">
        <v>0</v>
      </c>
      <c r="AE290" s="141"/>
      <c r="AG290" s="103"/>
      <c r="AH290" s="140"/>
      <c r="AI290" s="166"/>
      <c r="AK290" s="111" t="s">
        <v>8</v>
      </c>
      <c r="AL290" s="174"/>
      <c r="AM290" s="174"/>
      <c r="AN290" s="155" t="s">
        <v>9</v>
      </c>
      <c r="AO290" s="141"/>
      <c r="AP290" s="155">
        <v>0</v>
      </c>
      <c r="AQ290" s="141"/>
      <c r="AS290" s="103"/>
      <c r="AT290" s="140"/>
      <c r="AU290" s="166"/>
      <c r="AW290" s="111" t="s">
        <v>8</v>
      </c>
      <c r="AX290" s="174"/>
      <c r="AY290" s="174"/>
      <c r="AZ290" s="155" t="s">
        <v>9</v>
      </c>
      <c r="BA290" s="141"/>
      <c r="BB290" s="155">
        <v>0</v>
      </c>
      <c r="BC290" s="141"/>
      <c r="BE290" s="103"/>
      <c r="BF290" s="140"/>
      <c r="BG290" s="166"/>
      <c r="BI290" s="111" t="s">
        <v>8</v>
      </c>
      <c r="BJ290" s="174"/>
      <c r="BK290" s="174"/>
      <c r="BL290" s="155" t="s">
        <v>9</v>
      </c>
      <c r="BM290" s="141"/>
      <c r="BN290" s="155">
        <v>0</v>
      </c>
      <c r="BO290" s="141"/>
      <c r="BQ290" s="103"/>
      <c r="BR290" s="140"/>
      <c r="BS290" s="166"/>
      <c r="BU290" s="111" t="s">
        <v>8</v>
      </c>
      <c r="BV290" s="174"/>
      <c r="BW290" s="174"/>
      <c r="BX290" s="155" t="s">
        <v>9</v>
      </c>
      <c r="BY290" s="141"/>
      <c r="BZ290" s="155">
        <v>0</v>
      </c>
      <c r="CA290" s="141"/>
      <c r="CC290" s="103"/>
      <c r="CD290" s="140"/>
      <c r="CE290" s="166"/>
      <c r="CG290" s="111" t="s">
        <v>8</v>
      </c>
      <c r="CH290" s="174"/>
      <c r="CI290" s="174"/>
      <c r="CJ290" s="155" t="s">
        <v>9</v>
      </c>
      <c r="CK290" s="141"/>
      <c r="CL290" s="155">
        <v>0</v>
      </c>
      <c r="CM290" s="141"/>
      <c r="CO290" s="103"/>
      <c r="CP290" s="140"/>
      <c r="CQ290" s="166"/>
      <c r="CS290" s="111" t="s">
        <v>8</v>
      </c>
      <c r="CT290" s="174"/>
      <c r="CU290" s="174"/>
      <c r="CV290" s="155" t="s">
        <v>9</v>
      </c>
      <c r="CW290" s="141"/>
      <c r="CX290" s="155">
        <v>0</v>
      </c>
      <c r="CY290" s="141"/>
      <c r="DA290" s="103"/>
      <c r="DB290" s="140"/>
      <c r="DC290" s="166"/>
      <c r="DD290" s="2"/>
      <c r="DE290" s="111" t="s">
        <v>8</v>
      </c>
      <c r="DF290" s="174"/>
      <c r="DG290" s="174"/>
      <c r="DH290" s="155" t="s">
        <v>9</v>
      </c>
      <c r="DI290" s="141"/>
      <c r="DJ290" s="155">
        <v>0</v>
      </c>
      <c r="DK290" s="141"/>
      <c r="DM290" s="103"/>
      <c r="DN290" s="140"/>
      <c r="DO290" s="166"/>
      <c r="DP290" s="2"/>
      <c r="DQ290" s="111" t="s">
        <v>8</v>
      </c>
      <c r="DR290" s="174"/>
      <c r="DS290" s="174"/>
      <c r="DT290" s="155" t="s">
        <v>9</v>
      </c>
      <c r="DU290" s="141"/>
      <c r="DV290" s="155">
        <v>0</v>
      </c>
      <c r="DW290" s="141"/>
      <c r="DY290" s="103"/>
      <c r="DZ290" s="140"/>
      <c r="EA290" s="166"/>
      <c r="EC290" s="111" t="s">
        <v>8</v>
      </c>
      <c r="ED290" s="174"/>
      <c r="EE290" s="174"/>
      <c r="EF290" s="155" t="s">
        <v>9</v>
      </c>
      <c r="EG290" s="141"/>
      <c r="EH290" s="155">
        <v>0</v>
      </c>
      <c r="EI290" s="141"/>
      <c r="EK290" s="103"/>
      <c r="EL290" s="140"/>
      <c r="EM290" s="166"/>
      <c r="EO290" s="111" t="s">
        <v>8</v>
      </c>
      <c r="EP290" s="174"/>
      <c r="EQ290" s="124"/>
      <c r="ER290" s="155" t="s">
        <v>9</v>
      </c>
      <c r="ES290" s="141"/>
      <c r="ET290" s="156">
        <f>F290+R290+AD290+AP290+BB290+BN290+BZ290+CL290+CX290+DJ290+DV290+EH290</f>
        <v>0</v>
      </c>
      <c r="EU290" s="157"/>
      <c r="EW290" s="122"/>
      <c r="EX290" s="139"/>
      <c r="EY290" s="237"/>
    </row>
    <row r="291" spans="1:155" ht="17.100000000000001" customHeight="1" thickBot="1" x14ac:dyDescent="0.25">
      <c r="A291" s="113"/>
      <c r="B291" s="175"/>
      <c r="C291" s="175"/>
      <c r="D291" s="154" t="s">
        <v>10</v>
      </c>
      <c r="E291" s="142"/>
      <c r="F291" s="154">
        <v>0</v>
      </c>
      <c r="G291" s="142"/>
      <c r="I291" s="103"/>
      <c r="J291" s="140" t="s">
        <v>11</v>
      </c>
      <c r="K291" s="166">
        <v>0</v>
      </c>
      <c r="M291" s="113"/>
      <c r="N291" s="175"/>
      <c r="O291" s="175"/>
      <c r="P291" s="154" t="s">
        <v>10</v>
      </c>
      <c r="Q291" s="142"/>
      <c r="R291" s="154">
        <v>0</v>
      </c>
      <c r="S291" s="142"/>
      <c r="U291" s="103"/>
      <c r="V291" s="140" t="s">
        <v>11</v>
      </c>
      <c r="W291" s="166">
        <v>0</v>
      </c>
      <c r="Y291" s="113"/>
      <c r="Z291" s="175"/>
      <c r="AA291" s="175"/>
      <c r="AB291" s="154" t="s">
        <v>10</v>
      </c>
      <c r="AC291" s="142"/>
      <c r="AD291" s="154">
        <v>0</v>
      </c>
      <c r="AE291" s="142"/>
      <c r="AG291" s="103"/>
      <c r="AH291" s="140" t="s">
        <v>11</v>
      </c>
      <c r="AI291" s="166">
        <v>0</v>
      </c>
      <c r="AK291" s="113"/>
      <c r="AL291" s="175"/>
      <c r="AM291" s="175"/>
      <c r="AN291" s="154" t="s">
        <v>10</v>
      </c>
      <c r="AO291" s="142"/>
      <c r="AP291" s="154">
        <v>0</v>
      </c>
      <c r="AQ291" s="142"/>
      <c r="AS291" s="103"/>
      <c r="AT291" s="140" t="s">
        <v>11</v>
      </c>
      <c r="AU291" s="166">
        <v>0</v>
      </c>
      <c r="AW291" s="113"/>
      <c r="AX291" s="175"/>
      <c r="AY291" s="175"/>
      <c r="AZ291" s="154" t="s">
        <v>10</v>
      </c>
      <c r="BA291" s="142"/>
      <c r="BB291" s="154">
        <v>0</v>
      </c>
      <c r="BC291" s="142"/>
      <c r="BE291" s="103"/>
      <c r="BF291" s="140" t="s">
        <v>11</v>
      </c>
      <c r="BG291" s="166">
        <v>0</v>
      </c>
      <c r="BI291" s="113"/>
      <c r="BJ291" s="175"/>
      <c r="BK291" s="175"/>
      <c r="BL291" s="154" t="s">
        <v>10</v>
      </c>
      <c r="BM291" s="142"/>
      <c r="BN291" s="154">
        <v>0</v>
      </c>
      <c r="BO291" s="142"/>
      <c r="BQ291" s="103"/>
      <c r="BR291" s="140" t="s">
        <v>11</v>
      </c>
      <c r="BS291" s="166">
        <v>0</v>
      </c>
      <c r="BU291" s="113"/>
      <c r="BV291" s="175"/>
      <c r="BW291" s="175"/>
      <c r="BX291" s="154" t="s">
        <v>10</v>
      </c>
      <c r="BY291" s="142"/>
      <c r="BZ291" s="154">
        <v>0</v>
      </c>
      <c r="CA291" s="142"/>
      <c r="CC291" s="103"/>
      <c r="CD291" s="140" t="s">
        <v>11</v>
      </c>
      <c r="CE291" s="166">
        <v>0</v>
      </c>
      <c r="CG291" s="113"/>
      <c r="CH291" s="175"/>
      <c r="CI291" s="175"/>
      <c r="CJ291" s="154" t="s">
        <v>10</v>
      </c>
      <c r="CK291" s="142"/>
      <c r="CL291" s="154">
        <v>0</v>
      </c>
      <c r="CM291" s="142"/>
      <c r="CO291" s="103"/>
      <c r="CP291" s="140" t="s">
        <v>11</v>
      </c>
      <c r="CQ291" s="166">
        <v>0</v>
      </c>
      <c r="CS291" s="113"/>
      <c r="CT291" s="175"/>
      <c r="CU291" s="175"/>
      <c r="CV291" s="154" t="s">
        <v>10</v>
      </c>
      <c r="CW291" s="142"/>
      <c r="CX291" s="154">
        <v>0</v>
      </c>
      <c r="CY291" s="142"/>
      <c r="DA291" s="103"/>
      <c r="DB291" s="140" t="s">
        <v>11</v>
      </c>
      <c r="DC291" s="166">
        <v>0</v>
      </c>
      <c r="DD291" s="2"/>
      <c r="DE291" s="113"/>
      <c r="DF291" s="175"/>
      <c r="DG291" s="175"/>
      <c r="DH291" s="154" t="s">
        <v>10</v>
      </c>
      <c r="DI291" s="142"/>
      <c r="DJ291" s="154">
        <v>0</v>
      </c>
      <c r="DK291" s="142"/>
      <c r="DM291" s="103"/>
      <c r="DN291" s="140" t="s">
        <v>11</v>
      </c>
      <c r="DO291" s="166">
        <v>0</v>
      </c>
      <c r="DP291" s="2"/>
      <c r="DQ291" s="113"/>
      <c r="DR291" s="175"/>
      <c r="DS291" s="175"/>
      <c r="DT291" s="154" t="s">
        <v>10</v>
      </c>
      <c r="DU291" s="142"/>
      <c r="DV291" s="154">
        <v>0</v>
      </c>
      <c r="DW291" s="142"/>
      <c r="DY291" s="103"/>
      <c r="DZ291" s="140" t="s">
        <v>11</v>
      </c>
      <c r="EA291" s="166">
        <v>0</v>
      </c>
      <c r="EC291" s="113"/>
      <c r="ED291" s="175"/>
      <c r="EE291" s="175"/>
      <c r="EF291" s="154" t="s">
        <v>10</v>
      </c>
      <c r="EG291" s="142"/>
      <c r="EH291" s="154">
        <v>0</v>
      </c>
      <c r="EI291" s="142"/>
      <c r="EK291" s="103"/>
      <c r="EL291" s="140" t="s">
        <v>11</v>
      </c>
      <c r="EM291" s="166">
        <v>0</v>
      </c>
      <c r="EO291" s="113"/>
      <c r="EP291" s="175"/>
      <c r="EQ291" s="112"/>
      <c r="ER291" s="154" t="s">
        <v>10</v>
      </c>
      <c r="ES291" s="142"/>
      <c r="ET291" s="156">
        <f t="shared" ref="ET291:ET311" si="22">F291+R291+AD291+AP291+BB291+BN291+BZ291+CL291+CX291+DJ291+DV291+EH291</f>
        <v>0</v>
      </c>
      <c r="EU291" s="157"/>
      <c r="EW291" s="122"/>
      <c r="EX291" s="238" t="s">
        <v>11</v>
      </c>
      <c r="EY291" s="229">
        <f>K291+W291+AI291+AU291+BG291+BS291+CE291+CQ291+DC291+DO291+EA291+EM291</f>
        <v>0</v>
      </c>
    </row>
    <row r="292" spans="1:155" ht="17.100000000000001" customHeight="1" thickBot="1" x14ac:dyDescent="0.25">
      <c r="A292" s="125"/>
      <c r="B292" s="176"/>
      <c r="C292" s="176"/>
      <c r="D292" s="177" t="s">
        <v>12</v>
      </c>
      <c r="E292" s="178"/>
      <c r="F292" s="177">
        <v>0</v>
      </c>
      <c r="G292" s="178"/>
      <c r="I292" s="151"/>
      <c r="J292" s="144"/>
      <c r="K292" s="180"/>
      <c r="M292" s="125"/>
      <c r="N292" s="176"/>
      <c r="O292" s="176"/>
      <c r="P292" s="177" t="s">
        <v>12</v>
      </c>
      <c r="Q292" s="178"/>
      <c r="R292" s="177">
        <v>0</v>
      </c>
      <c r="S292" s="178"/>
      <c r="U292" s="151"/>
      <c r="V292" s="144"/>
      <c r="W292" s="180"/>
      <c r="Y292" s="125"/>
      <c r="Z292" s="176"/>
      <c r="AA292" s="176"/>
      <c r="AB292" s="177" t="s">
        <v>12</v>
      </c>
      <c r="AC292" s="178"/>
      <c r="AD292" s="177">
        <v>0</v>
      </c>
      <c r="AE292" s="178"/>
      <c r="AG292" s="151"/>
      <c r="AH292" s="144"/>
      <c r="AI292" s="180"/>
      <c r="AK292" s="125"/>
      <c r="AL292" s="176"/>
      <c r="AM292" s="176"/>
      <c r="AN292" s="177" t="s">
        <v>12</v>
      </c>
      <c r="AO292" s="178"/>
      <c r="AP292" s="177">
        <v>0</v>
      </c>
      <c r="AQ292" s="178"/>
      <c r="AS292" s="151"/>
      <c r="AT292" s="144"/>
      <c r="AU292" s="180"/>
      <c r="AW292" s="125"/>
      <c r="AX292" s="176"/>
      <c r="AY292" s="176"/>
      <c r="AZ292" s="177" t="s">
        <v>12</v>
      </c>
      <c r="BA292" s="178"/>
      <c r="BB292" s="177">
        <v>0</v>
      </c>
      <c r="BC292" s="178"/>
      <c r="BE292" s="151"/>
      <c r="BF292" s="144"/>
      <c r="BG292" s="180"/>
      <c r="BI292" s="125"/>
      <c r="BJ292" s="176"/>
      <c r="BK292" s="176"/>
      <c r="BL292" s="177" t="s">
        <v>12</v>
      </c>
      <c r="BM292" s="178"/>
      <c r="BN292" s="177">
        <v>0</v>
      </c>
      <c r="BO292" s="178"/>
      <c r="BQ292" s="151"/>
      <c r="BR292" s="144"/>
      <c r="BS292" s="180"/>
      <c r="BU292" s="125"/>
      <c r="BV292" s="176"/>
      <c r="BW292" s="176"/>
      <c r="BX292" s="177" t="s">
        <v>12</v>
      </c>
      <c r="BY292" s="178"/>
      <c r="BZ292" s="177">
        <v>0</v>
      </c>
      <c r="CA292" s="178"/>
      <c r="CC292" s="151"/>
      <c r="CD292" s="144"/>
      <c r="CE292" s="180"/>
      <c r="CG292" s="125"/>
      <c r="CH292" s="176"/>
      <c r="CI292" s="176"/>
      <c r="CJ292" s="177" t="s">
        <v>12</v>
      </c>
      <c r="CK292" s="178"/>
      <c r="CL292" s="177">
        <v>0</v>
      </c>
      <c r="CM292" s="178"/>
      <c r="CO292" s="151"/>
      <c r="CP292" s="144"/>
      <c r="CQ292" s="180"/>
      <c r="CS292" s="125"/>
      <c r="CT292" s="176"/>
      <c r="CU292" s="176"/>
      <c r="CV292" s="177" t="s">
        <v>12</v>
      </c>
      <c r="CW292" s="178"/>
      <c r="CX292" s="177">
        <v>0</v>
      </c>
      <c r="CY292" s="178"/>
      <c r="DA292" s="151"/>
      <c r="DB292" s="144"/>
      <c r="DC292" s="180"/>
      <c r="DD292" s="2"/>
      <c r="DE292" s="125"/>
      <c r="DF292" s="176"/>
      <c r="DG292" s="176"/>
      <c r="DH292" s="177" t="s">
        <v>12</v>
      </c>
      <c r="DI292" s="178"/>
      <c r="DJ292" s="177">
        <v>0</v>
      </c>
      <c r="DK292" s="178"/>
      <c r="DM292" s="151"/>
      <c r="DN292" s="144"/>
      <c r="DO292" s="180"/>
      <c r="DP292" s="2"/>
      <c r="DQ292" s="125"/>
      <c r="DR292" s="176"/>
      <c r="DS292" s="176"/>
      <c r="DT292" s="177" t="s">
        <v>12</v>
      </c>
      <c r="DU292" s="178"/>
      <c r="DV292" s="177">
        <v>0</v>
      </c>
      <c r="DW292" s="178"/>
      <c r="DY292" s="151"/>
      <c r="DZ292" s="144"/>
      <c r="EA292" s="180"/>
      <c r="EC292" s="125"/>
      <c r="ED292" s="176"/>
      <c r="EE292" s="176"/>
      <c r="EF292" s="177" t="s">
        <v>12</v>
      </c>
      <c r="EG292" s="178"/>
      <c r="EH292" s="177">
        <v>0</v>
      </c>
      <c r="EI292" s="178"/>
      <c r="EK292" s="151"/>
      <c r="EL292" s="144"/>
      <c r="EM292" s="180"/>
      <c r="EO292" s="125"/>
      <c r="EP292" s="176"/>
      <c r="EQ292" s="126"/>
      <c r="ER292" s="177" t="s">
        <v>12</v>
      </c>
      <c r="ES292" s="178"/>
      <c r="ET292" s="156">
        <f t="shared" si="22"/>
        <v>0</v>
      </c>
      <c r="EU292" s="157"/>
      <c r="EW292" s="123"/>
      <c r="EX292" s="237"/>
      <c r="EY292" s="237"/>
    </row>
    <row r="293" spans="1:155" ht="17.100000000000001" customHeight="1" thickBot="1" x14ac:dyDescent="0.25">
      <c r="A293" s="158" t="s">
        <v>13</v>
      </c>
      <c r="B293" s="111" t="s">
        <v>14</v>
      </c>
      <c r="C293" s="174"/>
      <c r="D293" s="155" t="s">
        <v>29</v>
      </c>
      <c r="E293" s="141"/>
      <c r="F293" s="155">
        <v>0</v>
      </c>
      <c r="G293" s="141"/>
      <c r="I293" s="102" t="s">
        <v>15</v>
      </c>
      <c r="J293" s="143" t="s">
        <v>7</v>
      </c>
      <c r="K293" s="165">
        <v>0</v>
      </c>
      <c r="M293" s="158" t="s">
        <v>13</v>
      </c>
      <c r="N293" s="111" t="s">
        <v>14</v>
      </c>
      <c r="O293" s="174"/>
      <c r="P293" s="155" t="s">
        <v>29</v>
      </c>
      <c r="Q293" s="141"/>
      <c r="R293" s="155">
        <v>0</v>
      </c>
      <c r="S293" s="141"/>
      <c r="U293" s="102" t="s">
        <v>15</v>
      </c>
      <c r="V293" s="143" t="s">
        <v>7</v>
      </c>
      <c r="W293" s="165">
        <v>0</v>
      </c>
      <c r="Y293" s="158" t="s">
        <v>13</v>
      </c>
      <c r="Z293" s="111" t="s">
        <v>14</v>
      </c>
      <c r="AA293" s="174"/>
      <c r="AB293" s="155" t="s">
        <v>29</v>
      </c>
      <c r="AC293" s="141"/>
      <c r="AD293" s="155">
        <v>0</v>
      </c>
      <c r="AE293" s="141"/>
      <c r="AG293" s="102" t="s">
        <v>15</v>
      </c>
      <c r="AH293" s="143" t="s">
        <v>7</v>
      </c>
      <c r="AI293" s="165">
        <v>0</v>
      </c>
      <c r="AK293" s="158" t="s">
        <v>13</v>
      </c>
      <c r="AL293" s="111" t="s">
        <v>14</v>
      </c>
      <c r="AM293" s="174"/>
      <c r="AN293" s="155" t="s">
        <v>29</v>
      </c>
      <c r="AO293" s="141"/>
      <c r="AP293" s="155">
        <v>0</v>
      </c>
      <c r="AQ293" s="141"/>
      <c r="AS293" s="102" t="s">
        <v>15</v>
      </c>
      <c r="AT293" s="143" t="s">
        <v>7</v>
      </c>
      <c r="AU293" s="165">
        <v>0</v>
      </c>
      <c r="AW293" s="158" t="s">
        <v>13</v>
      </c>
      <c r="AX293" s="111" t="s">
        <v>14</v>
      </c>
      <c r="AY293" s="174"/>
      <c r="AZ293" s="155" t="s">
        <v>29</v>
      </c>
      <c r="BA293" s="141"/>
      <c r="BB293" s="155">
        <v>0</v>
      </c>
      <c r="BC293" s="141"/>
      <c r="BE293" s="102" t="s">
        <v>15</v>
      </c>
      <c r="BF293" s="143" t="s">
        <v>7</v>
      </c>
      <c r="BG293" s="165">
        <v>0</v>
      </c>
      <c r="BI293" s="158" t="s">
        <v>13</v>
      </c>
      <c r="BJ293" s="111" t="s">
        <v>14</v>
      </c>
      <c r="BK293" s="174"/>
      <c r="BL293" s="155" t="s">
        <v>29</v>
      </c>
      <c r="BM293" s="141"/>
      <c r="BN293" s="155">
        <v>0</v>
      </c>
      <c r="BO293" s="141"/>
      <c r="BQ293" s="102" t="s">
        <v>15</v>
      </c>
      <c r="BR293" s="143" t="s">
        <v>7</v>
      </c>
      <c r="BS293" s="165">
        <v>0</v>
      </c>
      <c r="BU293" s="158" t="s">
        <v>13</v>
      </c>
      <c r="BV293" s="111" t="s">
        <v>14</v>
      </c>
      <c r="BW293" s="174"/>
      <c r="BX293" s="155" t="s">
        <v>29</v>
      </c>
      <c r="BY293" s="141"/>
      <c r="BZ293" s="155">
        <v>0</v>
      </c>
      <c r="CA293" s="141"/>
      <c r="CC293" s="102" t="s">
        <v>15</v>
      </c>
      <c r="CD293" s="143" t="s">
        <v>7</v>
      </c>
      <c r="CE293" s="165">
        <v>0</v>
      </c>
      <c r="CG293" s="158" t="s">
        <v>13</v>
      </c>
      <c r="CH293" s="111" t="s">
        <v>14</v>
      </c>
      <c r="CI293" s="174"/>
      <c r="CJ293" s="155" t="s">
        <v>29</v>
      </c>
      <c r="CK293" s="141"/>
      <c r="CL293" s="155">
        <v>0</v>
      </c>
      <c r="CM293" s="141"/>
      <c r="CO293" s="102" t="s">
        <v>15</v>
      </c>
      <c r="CP293" s="143" t="s">
        <v>7</v>
      </c>
      <c r="CQ293" s="165">
        <v>0</v>
      </c>
      <c r="CS293" s="158" t="s">
        <v>13</v>
      </c>
      <c r="CT293" s="111" t="s">
        <v>14</v>
      </c>
      <c r="CU293" s="174"/>
      <c r="CV293" s="155" t="s">
        <v>29</v>
      </c>
      <c r="CW293" s="141"/>
      <c r="CX293" s="155">
        <v>0</v>
      </c>
      <c r="CY293" s="141"/>
      <c r="DA293" s="102" t="s">
        <v>15</v>
      </c>
      <c r="DB293" s="143" t="s">
        <v>7</v>
      </c>
      <c r="DC293" s="165">
        <v>0</v>
      </c>
      <c r="DD293" s="2"/>
      <c r="DE293" s="158" t="s">
        <v>13</v>
      </c>
      <c r="DF293" s="111" t="s">
        <v>14</v>
      </c>
      <c r="DG293" s="174"/>
      <c r="DH293" s="155" t="s">
        <v>29</v>
      </c>
      <c r="DI293" s="141"/>
      <c r="DJ293" s="155">
        <v>0</v>
      </c>
      <c r="DK293" s="141"/>
      <c r="DM293" s="102" t="s">
        <v>15</v>
      </c>
      <c r="DN293" s="143" t="s">
        <v>7</v>
      </c>
      <c r="DO293" s="165">
        <v>0</v>
      </c>
      <c r="DP293" s="2"/>
      <c r="DQ293" s="158" t="s">
        <v>13</v>
      </c>
      <c r="DR293" s="111" t="s">
        <v>14</v>
      </c>
      <c r="DS293" s="174"/>
      <c r="DT293" s="155" t="s">
        <v>29</v>
      </c>
      <c r="DU293" s="141"/>
      <c r="DV293" s="155">
        <v>0</v>
      </c>
      <c r="DW293" s="141"/>
      <c r="DY293" s="102" t="s">
        <v>15</v>
      </c>
      <c r="DZ293" s="143" t="s">
        <v>7</v>
      </c>
      <c r="EA293" s="165">
        <v>0</v>
      </c>
      <c r="EC293" s="158" t="s">
        <v>13</v>
      </c>
      <c r="ED293" s="111" t="s">
        <v>14</v>
      </c>
      <c r="EE293" s="174"/>
      <c r="EF293" s="155" t="s">
        <v>29</v>
      </c>
      <c r="EG293" s="141"/>
      <c r="EH293" s="155">
        <v>0</v>
      </c>
      <c r="EI293" s="141"/>
      <c r="EK293" s="102" t="s">
        <v>15</v>
      </c>
      <c r="EL293" s="143" t="s">
        <v>7</v>
      </c>
      <c r="EM293" s="165">
        <v>0</v>
      </c>
      <c r="EO293" s="232" t="s">
        <v>13</v>
      </c>
      <c r="EP293" s="111" t="s">
        <v>14</v>
      </c>
      <c r="EQ293" s="124"/>
      <c r="ER293" s="155" t="s">
        <v>29</v>
      </c>
      <c r="ES293" s="141"/>
      <c r="ET293" s="156">
        <f t="shared" si="22"/>
        <v>0</v>
      </c>
      <c r="EU293" s="157"/>
      <c r="EW293" s="121" t="s">
        <v>15</v>
      </c>
      <c r="EX293" s="229" t="s">
        <v>7</v>
      </c>
      <c r="EY293" s="229">
        <f>K293+W293+AI293+AU293+BG293+BS293+CE293+CQ293+DC293+DO293+EA293+EM293</f>
        <v>0</v>
      </c>
    </row>
    <row r="294" spans="1:155" ht="17.100000000000001" customHeight="1" thickBot="1" x14ac:dyDescent="0.25">
      <c r="A294" s="159"/>
      <c r="B294" s="113"/>
      <c r="C294" s="175"/>
      <c r="D294" s="154" t="s">
        <v>16</v>
      </c>
      <c r="E294" s="142"/>
      <c r="F294" s="154">
        <v>0</v>
      </c>
      <c r="G294" s="142"/>
      <c r="I294" s="103"/>
      <c r="J294" s="140"/>
      <c r="K294" s="166"/>
      <c r="M294" s="159"/>
      <c r="N294" s="113"/>
      <c r="O294" s="175"/>
      <c r="P294" s="154" t="s">
        <v>16</v>
      </c>
      <c r="Q294" s="142"/>
      <c r="R294" s="154">
        <v>0</v>
      </c>
      <c r="S294" s="142"/>
      <c r="U294" s="103"/>
      <c r="V294" s="140"/>
      <c r="W294" s="166"/>
      <c r="Y294" s="159"/>
      <c r="Z294" s="113"/>
      <c r="AA294" s="175"/>
      <c r="AB294" s="154" t="s">
        <v>16</v>
      </c>
      <c r="AC294" s="142"/>
      <c r="AD294" s="154">
        <v>0</v>
      </c>
      <c r="AE294" s="142"/>
      <c r="AG294" s="103"/>
      <c r="AH294" s="140"/>
      <c r="AI294" s="166"/>
      <c r="AK294" s="159"/>
      <c r="AL294" s="113"/>
      <c r="AM294" s="175"/>
      <c r="AN294" s="154" t="s">
        <v>16</v>
      </c>
      <c r="AO294" s="142"/>
      <c r="AP294" s="154">
        <v>0</v>
      </c>
      <c r="AQ294" s="142"/>
      <c r="AS294" s="103"/>
      <c r="AT294" s="140"/>
      <c r="AU294" s="166"/>
      <c r="AW294" s="159"/>
      <c r="AX294" s="113"/>
      <c r="AY294" s="175"/>
      <c r="AZ294" s="154" t="s">
        <v>16</v>
      </c>
      <c r="BA294" s="142"/>
      <c r="BB294" s="154">
        <v>0</v>
      </c>
      <c r="BC294" s="142"/>
      <c r="BE294" s="103"/>
      <c r="BF294" s="140"/>
      <c r="BG294" s="166"/>
      <c r="BI294" s="159"/>
      <c r="BJ294" s="113"/>
      <c r="BK294" s="175"/>
      <c r="BL294" s="154" t="s">
        <v>16</v>
      </c>
      <c r="BM294" s="142"/>
      <c r="BN294" s="154">
        <v>0</v>
      </c>
      <c r="BO294" s="142"/>
      <c r="BQ294" s="103"/>
      <c r="BR294" s="140"/>
      <c r="BS294" s="166"/>
      <c r="BU294" s="159"/>
      <c r="BV294" s="113"/>
      <c r="BW294" s="175"/>
      <c r="BX294" s="154" t="s">
        <v>16</v>
      </c>
      <c r="BY294" s="142"/>
      <c r="BZ294" s="154">
        <v>0</v>
      </c>
      <c r="CA294" s="142"/>
      <c r="CC294" s="103"/>
      <c r="CD294" s="140"/>
      <c r="CE294" s="166"/>
      <c r="CG294" s="159"/>
      <c r="CH294" s="113"/>
      <c r="CI294" s="175"/>
      <c r="CJ294" s="154" t="s">
        <v>16</v>
      </c>
      <c r="CK294" s="142"/>
      <c r="CL294" s="154">
        <v>0</v>
      </c>
      <c r="CM294" s="142"/>
      <c r="CO294" s="103"/>
      <c r="CP294" s="140"/>
      <c r="CQ294" s="166"/>
      <c r="CS294" s="159"/>
      <c r="CT294" s="113"/>
      <c r="CU294" s="175"/>
      <c r="CV294" s="154" t="s">
        <v>16</v>
      </c>
      <c r="CW294" s="142"/>
      <c r="CX294" s="154">
        <v>0</v>
      </c>
      <c r="CY294" s="142"/>
      <c r="DA294" s="103"/>
      <c r="DB294" s="140"/>
      <c r="DC294" s="166"/>
      <c r="DD294" s="2"/>
      <c r="DE294" s="159"/>
      <c r="DF294" s="113"/>
      <c r="DG294" s="175"/>
      <c r="DH294" s="154" t="s">
        <v>16</v>
      </c>
      <c r="DI294" s="142"/>
      <c r="DJ294" s="154">
        <v>0</v>
      </c>
      <c r="DK294" s="142"/>
      <c r="DM294" s="103"/>
      <c r="DN294" s="140"/>
      <c r="DO294" s="166"/>
      <c r="DP294" s="2"/>
      <c r="DQ294" s="159"/>
      <c r="DR294" s="113"/>
      <c r="DS294" s="175"/>
      <c r="DT294" s="154" t="s">
        <v>16</v>
      </c>
      <c r="DU294" s="142"/>
      <c r="DV294" s="154">
        <v>0</v>
      </c>
      <c r="DW294" s="142"/>
      <c r="DY294" s="103"/>
      <c r="DZ294" s="140"/>
      <c r="EA294" s="166"/>
      <c r="EC294" s="159"/>
      <c r="ED294" s="113"/>
      <c r="EE294" s="175"/>
      <c r="EF294" s="154" t="s">
        <v>16</v>
      </c>
      <c r="EG294" s="142"/>
      <c r="EH294" s="154">
        <v>0</v>
      </c>
      <c r="EI294" s="142"/>
      <c r="EK294" s="103"/>
      <c r="EL294" s="140"/>
      <c r="EM294" s="166"/>
      <c r="EO294" s="233"/>
      <c r="EP294" s="113"/>
      <c r="EQ294" s="112"/>
      <c r="ER294" s="154" t="s">
        <v>16</v>
      </c>
      <c r="ES294" s="142"/>
      <c r="ET294" s="156">
        <f t="shared" si="22"/>
        <v>0</v>
      </c>
      <c r="EU294" s="157"/>
      <c r="EW294" s="122"/>
      <c r="EX294" s="139"/>
      <c r="EY294" s="237"/>
    </row>
    <row r="295" spans="1:155" ht="17.100000000000001" customHeight="1" thickBot="1" x14ac:dyDescent="0.25">
      <c r="A295" s="159"/>
      <c r="B295" s="125"/>
      <c r="C295" s="176"/>
      <c r="D295" s="177" t="s">
        <v>17</v>
      </c>
      <c r="E295" s="178"/>
      <c r="F295" s="177">
        <v>0</v>
      </c>
      <c r="G295" s="178"/>
      <c r="I295" s="103"/>
      <c r="J295" s="140" t="s">
        <v>11</v>
      </c>
      <c r="K295" s="166">
        <v>0</v>
      </c>
      <c r="M295" s="159"/>
      <c r="N295" s="125"/>
      <c r="O295" s="176"/>
      <c r="P295" s="177" t="s">
        <v>17</v>
      </c>
      <c r="Q295" s="178"/>
      <c r="R295" s="177">
        <v>0</v>
      </c>
      <c r="S295" s="178"/>
      <c r="U295" s="103"/>
      <c r="V295" s="140" t="s">
        <v>11</v>
      </c>
      <c r="W295" s="166">
        <v>0</v>
      </c>
      <c r="Y295" s="159"/>
      <c r="Z295" s="125"/>
      <c r="AA295" s="176"/>
      <c r="AB295" s="177" t="s">
        <v>17</v>
      </c>
      <c r="AC295" s="178"/>
      <c r="AD295" s="177">
        <v>0</v>
      </c>
      <c r="AE295" s="178"/>
      <c r="AG295" s="103"/>
      <c r="AH295" s="140" t="s">
        <v>11</v>
      </c>
      <c r="AI295" s="166">
        <v>0</v>
      </c>
      <c r="AK295" s="159"/>
      <c r="AL295" s="125"/>
      <c r="AM295" s="176"/>
      <c r="AN295" s="177" t="s">
        <v>17</v>
      </c>
      <c r="AO295" s="178"/>
      <c r="AP295" s="177">
        <v>0</v>
      </c>
      <c r="AQ295" s="178"/>
      <c r="AS295" s="103"/>
      <c r="AT295" s="140" t="s">
        <v>11</v>
      </c>
      <c r="AU295" s="166">
        <v>0</v>
      </c>
      <c r="AW295" s="159"/>
      <c r="AX295" s="125"/>
      <c r="AY295" s="176"/>
      <c r="AZ295" s="177" t="s">
        <v>17</v>
      </c>
      <c r="BA295" s="178"/>
      <c r="BB295" s="177">
        <v>0</v>
      </c>
      <c r="BC295" s="178"/>
      <c r="BE295" s="103"/>
      <c r="BF295" s="140" t="s">
        <v>11</v>
      </c>
      <c r="BG295" s="166">
        <v>0</v>
      </c>
      <c r="BI295" s="159"/>
      <c r="BJ295" s="125"/>
      <c r="BK295" s="176"/>
      <c r="BL295" s="177" t="s">
        <v>17</v>
      </c>
      <c r="BM295" s="178"/>
      <c r="BN295" s="177">
        <v>0</v>
      </c>
      <c r="BO295" s="178"/>
      <c r="BQ295" s="103"/>
      <c r="BR295" s="140" t="s">
        <v>11</v>
      </c>
      <c r="BS295" s="166">
        <v>0</v>
      </c>
      <c r="BU295" s="159"/>
      <c r="BV295" s="125"/>
      <c r="BW295" s="176"/>
      <c r="BX295" s="177" t="s">
        <v>17</v>
      </c>
      <c r="BY295" s="178"/>
      <c r="BZ295" s="177">
        <v>0</v>
      </c>
      <c r="CA295" s="178"/>
      <c r="CC295" s="103"/>
      <c r="CD295" s="140" t="s">
        <v>11</v>
      </c>
      <c r="CE295" s="166">
        <v>0</v>
      </c>
      <c r="CG295" s="159"/>
      <c r="CH295" s="125"/>
      <c r="CI295" s="176"/>
      <c r="CJ295" s="177" t="s">
        <v>17</v>
      </c>
      <c r="CK295" s="178"/>
      <c r="CL295" s="177">
        <v>0</v>
      </c>
      <c r="CM295" s="178"/>
      <c r="CO295" s="103"/>
      <c r="CP295" s="140" t="s">
        <v>11</v>
      </c>
      <c r="CQ295" s="166">
        <v>0</v>
      </c>
      <c r="CS295" s="159"/>
      <c r="CT295" s="125"/>
      <c r="CU295" s="176"/>
      <c r="CV295" s="177" t="s">
        <v>17</v>
      </c>
      <c r="CW295" s="178"/>
      <c r="CX295" s="177">
        <v>0</v>
      </c>
      <c r="CY295" s="178"/>
      <c r="DA295" s="103"/>
      <c r="DB295" s="140" t="s">
        <v>11</v>
      </c>
      <c r="DC295" s="166">
        <v>0</v>
      </c>
      <c r="DD295" s="2"/>
      <c r="DE295" s="159"/>
      <c r="DF295" s="125"/>
      <c r="DG295" s="176"/>
      <c r="DH295" s="177" t="s">
        <v>17</v>
      </c>
      <c r="DI295" s="178"/>
      <c r="DJ295" s="177">
        <v>0</v>
      </c>
      <c r="DK295" s="178"/>
      <c r="DM295" s="103"/>
      <c r="DN295" s="140" t="s">
        <v>11</v>
      </c>
      <c r="DO295" s="166">
        <v>0</v>
      </c>
      <c r="DP295" s="2"/>
      <c r="DQ295" s="159"/>
      <c r="DR295" s="125"/>
      <c r="DS295" s="176"/>
      <c r="DT295" s="177" t="s">
        <v>17</v>
      </c>
      <c r="DU295" s="178"/>
      <c r="DV295" s="177">
        <v>0</v>
      </c>
      <c r="DW295" s="178"/>
      <c r="DY295" s="103"/>
      <c r="DZ295" s="140" t="s">
        <v>11</v>
      </c>
      <c r="EA295" s="166">
        <v>0</v>
      </c>
      <c r="EC295" s="159"/>
      <c r="ED295" s="125"/>
      <c r="EE295" s="176"/>
      <c r="EF295" s="177" t="s">
        <v>17</v>
      </c>
      <c r="EG295" s="178"/>
      <c r="EH295" s="177">
        <v>0</v>
      </c>
      <c r="EI295" s="178"/>
      <c r="EK295" s="103"/>
      <c r="EL295" s="140" t="s">
        <v>11</v>
      </c>
      <c r="EM295" s="166">
        <v>0</v>
      </c>
      <c r="EO295" s="233"/>
      <c r="EP295" s="125"/>
      <c r="EQ295" s="126"/>
      <c r="ER295" s="177" t="s">
        <v>17</v>
      </c>
      <c r="ES295" s="178"/>
      <c r="ET295" s="156">
        <f t="shared" si="22"/>
        <v>0</v>
      </c>
      <c r="EU295" s="157"/>
      <c r="EW295" s="122"/>
      <c r="EX295" s="238" t="s">
        <v>11</v>
      </c>
      <c r="EY295" s="229">
        <f>K295+W295+AI295+AU295+BG295+BS295+CE295+CQ295+DC295+DO295+EA295+EM295</f>
        <v>0</v>
      </c>
    </row>
    <row r="296" spans="1:155" ht="17.100000000000001" customHeight="1" thickBot="1" x14ac:dyDescent="0.25">
      <c r="A296" s="159"/>
      <c r="B296" s="111" t="s">
        <v>18</v>
      </c>
      <c r="C296" s="174"/>
      <c r="D296" s="155" t="s">
        <v>19</v>
      </c>
      <c r="E296" s="141"/>
      <c r="F296" s="155">
        <v>0</v>
      </c>
      <c r="G296" s="141"/>
      <c r="I296" s="103"/>
      <c r="J296" s="144"/>
      <c r="K296" s="180"/>
      <c r="M296" s="159"/>
      <c r="N296" s="111" t="s">
        <v>18</v>
      </c>
      <c r="O296" s="174"/>
      <c r="P296" s="155" t="s">
        <v>19</v>
      </c>
      <c r="Q296" s="141"/>
      <c r="R296" s="155">
        <v>0</v>
      </c>
      <c r="S296" s="141"/>
      <c r="U296" s="103"/>
      <c r="V296" s="144"/>
      <c r="W296" s="180"/>
      <c r="Y296" s="159"/>
      <c r="Z296" s="111" t="s">
        <v>18</v>
      </c>
      <c r="AA296" s="174"/>
      <c r="AB296" s="155" t="s">
        <v>19</v>
      </c>
      <c r="AC296" s="141"/>
      <c r="AD296" s="155">
        <v>0</v>
      </c>
      <c r="AE296" s="141"/>
      <c r="AG296" s="103"/>
      <c r="AH296" s="144"/>
      <c r="AI296" s="180"/>
      <c r="AK296" s="159"/>
      <c r="AL296" s="111" t="s">
        <v>18</v>
      </c>
      <c r="AM296" s="174"/>
      <c r="AN296" s="155" t="s">
        <v>19</v>
      </c>
      <c r="AO296" s="141"/>
      <c r="AP296" s="155">
        <v>0</v>
      </c>
      <c r="AQ296" s="141"/>
      <c r="AS296" s="103"/>
      <c r="AT296" s="144"/>
      <c r="AU296" s="180"/>
      <c r="AW296" s="159"/>
      <c r="AX296" s="111" t="s">
        <v>18</v>
      </c>
      <c r="AY296" s="174"/>
      <c r="AZ296" s="155" t="s">
        <v>19</v>
      </c>
      <c r="BA296" s="141"/>
      <c r="BB296" s="155">
        <v>0</v>
      </c>
      <c r="BC296" s="141"/>
      <c r="BE296" s="103"/>
      <c r="BF296" s="144"/>
      <c r="BG296" s="180"/>
      <c r="BI296" s="159"/>
      <c r="BJ296" s="111" t="s">
        <v>18</v>
      </c>
      <c r="BK296" s="174"/>
      <c r="BL296" s="155" t="s">
        <v>19</v>
      </c>
      <c r="BM296" s="141"/>
      <c r="BN296" s="155">
        <v>0</v>
      </c>
      <c r="BO296" s="141"/>
      <c r="BQ296" s="103"/>
      <c r="BR296" s="144"/>
      <c r="BS296" s="180"/>
      <c r="BU296" s="159"/>
      <c r="BV296" s="111" t="s">
        <v>18</v>
      </c>
      <c r="BW296" s="174"/>
      <c r="BX296" s="155" t="s">
        <v>19</v>
      </c>
      <c r="BY296" s="141"/>
      <c r="BZ296" s="155">
        <v>0</v>
      </c>
      <c r="CA296" s="141"/>
      <c r="CC296" s="103"/>
      <c r="CD296" s="144"/>
      <c r="CE296" s="180"/>
      <c r="CG296" s="159"/>
      <c r="CH296" s="111" t="s">
        <v>18</v>
      </c>
      <c r="CI296" s="174"/>
      <c r="CJ296" s="155" t="s">
        <v>19</v>
      </c>
      <c r="CK296" s="141"/>
      <c r="CL296" s="155">
        <v>0</v>
      </c>
      <c r="CM296" s="141"/>
      <c r="CO296" s="103"/>
      <c r="CP296" s="144"/>
      <c r="CQ296" s="180"/>
      <c r="CS296" s="159"/>
      <c r="CT296" s="111" t="s">
        <v>18</v>
      </c>
      <c r="CU296" s="174"/>
      <c r="CV296" s="155" t="s">
        <v>19</v>
      </c>
      <c r="CW296" s="141"/>
      <c r="CX296" s="155">
        <v>0</v>
      </c>
      <c r="CY296" s="141"/>
      <c r="DA296" s="103"/>
      <c r="DB296" s="144"/>
      <c r="DC296" s="180"/>
      <c r="DD296" s="2"/>
      <c r="DE296" s="159"/>
      <c r="DF296" s="111" t="s">
        <v>18</v>
      </c>
      <c r="DG296" s="174"/>
      <c r="DH296" s="155" t="s">
        <v>19</v>
      </c>
      <c r="DI296" s="141"/>
      <c r="DJ296" s="155">
        <v>0</v>
      </c>
      <c r="DK296" s="141"/>
      <c r="DM296" s="103"/>
      <c r="DN296" s="144"/>
      <c r="DO296" s="180"/>
      <c r="DP296" s="2"/>
      <c r="DQ296" s="159"/>
      <c r="DR296" s="111" t="s">
        <v>18</v>
      </c>
      <c r="DS296" s="174"/>
      <c r="DT296" s="155" t="s">
        <v>19</v>
      </c>
      <c r="DU296" s="141"/>
      <c r="DV296" s="155">
        <v>0</v>
      </c>
      <c r="DW296" s="141"/>
      <c r="DY296" s="103"/>
      <c r="DZ296" s="144"/>
      <c r="EA296" s="180"/>
      <c r="EC296" s="159"/>
      <c r="ED296" s="111" t="s">
        <v>18</v>
      </c>
      <c r="EE296" s="174"/>
      <c r="EF296" s="155" t="s">
        <v>19</v>
      </c>
      <c r="EG296" s="141"/>
      <c r="EH296" s="155">
        <v>0</v>
      </c>
      <c r="EI296" s="141"/>
      <c r="EK296" s="103"/>
      <c r="EL296" s="144"/>
      <c r="EM296" s="180"/>
      <c r="EO296" s="233"/>
      <c r="EP296" s="111" t="s">
        <v>18</v>
      </c>
      <c r="EQ296" s="124"/>
      <c r="ER296" s="155" t="s">
        <v>19</v>
      </c>
      <c r="ES296" s="141"/>
      <c r="ET296" s="156">
        <f t="shared" si="22"/>
        <v>0</v>
      </c>
      <c r="EU296" s="157"/>
      <c r="EW296" s="123"/>
      <c r="EX296" s="237"/>
      <c r="EY296" s="139"/>
    </row>
    <row r="297" spans="1:155" ht="17.100000000000001" customHeight="1" thickBot="1" x14ac:dyDescent="0.25">
      <c r="A297" s="159"/>
      <c r="B297" s="125"/>
      <c r="C297" s="176"/>
      <c r="D297" s="177" t="s">
        <v>20</v>
      </c>
      <c r="E297" s="178"/>
      <c r="F297" s="177">
        <v>0</v>
      </c>
      <c r="G297" s="178"/>
      <c r="I297" s="167" t="s">
        <v>21</v>
      </c>
      <c r="J297" s="168"/>
      <c r="K297" s="172">
        <f>SUM(K289:K296)</f>
        <v>0</v>
      </c>
      <c r="M297" s="159"/>
      <c r="N297" s="125"/>
      <c r="O297" s="176"/>
      <c r="P297" s="177" t="s">
        <v>20</v>
      </c>
      <c r="Q297" s="178"/>
      <c r="R297" s="177">
        <v>0</v>
      </c>
      <c r="S297" s="178"/>
      <c r="U297" s="167" t="s">
        <v>21</v>
      </c>
      <c r="V297" s="168"/>
      <c r="W297" s="172">
        <f>SUM(W289:W296)</f>
        <v>0</v>
      </c>
      <c r="Y297" s="159"/>
      <c r="Z297" s="125"/>
      <c r="AA297" s="176"/>
      <c r="AB297" s="177" t="s">
        <v>20</v>
      </c>
      <c r="AC297" s="178"/>
      <c r="AD297" s="177">
        <v>0</v>
      </c>
      <c r="AE297" s="178"/>
      <c r="AG297" s="167" t="s">
        <v>21</v>
      </c>
      <c r="AH297" s="168"/>
      <c r="AI297" s="172">
        <f>SUM(AI289:AI296)</f>
        <v>0</v>
      </c>
      <c r="AK297" s="159"/>
      <c r="AL297" s="125"/>
      <c r="AM297" s="176"/>
      <c r="AN297" s="177" t="s">
        <v>20</v>
      </c>
      <c r="AO297" s="178"/>
      <c r="AP297" s="177">
        <v>0</v>
      </c>
      <c r="AQ297" s="178"/>
      <c r="AS297" s="167" t="s">
        <v>21</v>
      </c>
      <c r="AT297" s="168"/>
      <c r="AU297" s="172">
        <f>SUM(AU289:AU296)</f>
        <v>0</v>
      </c>
      <c r="AW297" s="159"/>
      <c r="AX297" s="125"/>
      <c r="AY297" s="176"/>
      <c r="AZ297" s="177" t="s">
        <v>20</v>
      </c>
      <c r="BA297" s="178"/>
      <c r="BB297" s="177">
        <v>0</v>
      </c>
      <c r="BC297" s="178"/>
      <c r="BE297" s="167" t="s">
        <v>21</v>
      </c>
      <c r="BF297" s="168"/>
      <c r="BG297" s="172">
        <f>SUM(BG289:BG296)</f>
        <v>0</v>
      </c>
      <c r="BI297" s="159"/>
      <c r="BJ297" s="125"/>
      <c r="BK297" s="176"/>
      <c r="BL297" s="177" t="s">
        <v>20</v>
      </c>
      <c r="BM297" s="178"/>
      <c r="BN297" s="177">
        <v>0</v>
      </c>
      <c r="BO297" s="178"/>
      <c r="BQ297" s="167" t="s">
        <v>21</v>
      </c>
      <c r="BR297" s="168"/>
      <c r="BS297" s="172">
        <f>SUM(BS289:BS296)</f>
        <v>0</v>
      </c>
      <c r="BU297" s="159"/>
      <c r="BV297" s="125"/>
      <c r="BW297" s="176"/>
      <c r="BX297" s="177" t="s">
        <v>20</v>
      </c>
      <c r="BY297" s="178"/>
      <c r="BZ297" s="177">
        <v>0</v>
      </c>
      <c r="CA297" s="178"/>
      <c r="CC297" s="167" t="s">
        <v>21</v>
      </c>
      <c r="CD297" s="168"/>
      <c r="CE297" s="172">
        <f>SUM(CE289:CE296)</f>
        <v>0</v>
      </c>
      <c r="CG297" s="159"/>
      <c r="CH297" s="125"/>
      <c r="CI297" s="176"/>
      <c r="CJ297" s="177" t="s">
        <v>20</v>
      </c>
      <c r="CK297" s="178"/>
      <c r="CL297" s="177">
        <v>0</v>
      </c>
      <c r="CM297" s="178"/>
      <c r="CO297" s="167" t="s">
        <v>21</v>
      </c>
      <c r="CP297" s="168"/>
      <c r="CQ297" s="172">
        <f>SUM(CQ289:CQ296)</f>
        <v>0</v>
      </c>
      <c r="CS297" s="159"/>
      <c r="CT297" s="125"/>
      <c r="CU297" s="176"/>
      <c r="CV297" s="177" t="s">
        <v>20</v>
      </c>
      <c r="CW297" s="178"/>
      <c r="CX297" s="177">
        <v>0</v>
      </c>
      <c r="CY297" s="178"/>
      <c r="DA297" s="167" t="s">
        <v>21</v>
      </c>
      <c r="DB297" s="168"/>
      <c r="DC297" s="172">
        <f>SUM(DC289:DC296)</f>
        <v>0</v>
      </c>
      <c r="DD297" s="2"/>
      <c r="DE297" s="159"/>
      <c r="DF297" s="125"/>
      <c r="DG297" s="176"/>
      <c r="DH297" s="177" t="s">
        <v>20</v>
      </c>
      <c r="DI297" s="178"/>
      <c r="DJ297" s="177">
        <v>0</v>
      </c>
      <c r="DK297" s="178"/>
      <c r="DM297" s="167" t="s">
        <v>21</v>
      </c>
      <c r="DN297" s="168"/>
      <c r="DO297" s="172">
        <f>SUM(DO289:DO296)</f>
        <v>0</v>
      </c>
      <c r="DP297" s="2"/>
      <c r="DQ297" s="159"/>
      <c r="DR297" s="125"/>
      <c r="DS297" s="176"/>
      <c r="DT297" s="177" t="s">
        <v>20</v>
      </c>
      <c r="DU297" s="178"/>
      <c r="DV297" s="177">
        <v>0</v>
      </c>
      <c r="DW297" s="178"/>
      <c r="DY297" s="167" t="s">
        <v>21</v>
      </c>
      <c r="DZ297" s="168"/>
      <c r="EA297" s="172">
        <f>SUM(EA289:EA296)</f>
        <v>0</v>
      </c>
      <c r="EC297" s="159"/>
      <c r="ED297" s="125"/>
      <c r="EE297" s="176"/>
      <c r="EF297" s="177" t="s">
        <v>20</v>
      </c>
      <c r="EG297" s="178"/>
      <c r="EH297" s="177">
        <v>0</v>
      </c>
      <c r="EI297" s="178"/>
      <c r="EK297" s="167" t="s">
        <v>21</v>
      </c>
      <c r="EL297" s="168"/>
      <c r="EM297" s="172">
        <f>SUM(EM289:EM296)</f>
        <v>0</v>
      </c>
      <c r="EO297" s="233"/>
      <c r="EP297" s="125"/>
      <c r="EQ297" s="126"/>
      <c r="ER297" s="177" t="s">
        <v>20</v>
      </c>
      <c r="ES297" s="178"/>
      <c r="ET297" s="156">
        <f t="shared" si="22"/>
        <v>0</v>
      </c>
      <c r="EU297" s="157"/>
      <c r="EW297" s="167" t="s">
        <v>21</v>
      </c>
      <c r="EX297" s="239"/>
      <c r="EY297" s="240">
        <f>SUM(EY289:EY296)</f>
        <v>0</v>
      </c>
    </row>
    <row r="298" spans="1:155" ht="17.100000000000001" customHeight="1" thickBot="1" x14ac:dyDescent="0.25">
      <c r="A298" s="159"/>
      <c r="B298" s="111" t="s">
        <v>22</v>
      </c>
      <c r="C298" s="174"/>
      <c r="D298" s="155" t="s">
        <v>23</v>
      </c>
      <c r="E298" s="141"/>
      <c r="F298" s="155">
        <v>0</v>
      </c>
      <c r="G298" s="141"/>
      <c r="I298" s="169"/>
      <c r="J298" s="168"/>
      <c r="K298" s="172"/>
      <c r="M298" s="159"/>
      <c r="N298" s="111" t="s">
        <v>22</v>
      </c>
      <c r="O298" s="174"/>
      <c r="P298" s="155" t="s">
        <v>23</v>
      </c>
      <c r="Q298" s="141"/>
      <c r="R298" s="155">
        <v>0</v>
      </c>
      <c r="S298" s="141"/>
      <c r="U298" s="169"/>
      <c r="V298" s="168"/>
      <c r="W298" s="172"/>
      <c r="Y298" s="159"/>
      <c r="Z298" s="111" t="s">
        <v>22</v>
      </c>
      <c r="AA298" s="174"/>
      <c r="AB298" s="155" t="s">
        <v>23</v>
      </c>
      <c r="AC298" s="141"/>
      <c r="AD298" s="155">
        <v>0</v>
      </c>
      <c r="AE298" s="141"/>
      <c r="AG298" s="169"/>
      <c r="AH298" s="168"/>
      <c r="AI298" s="172"/>
      <c r="AK298" s="159"/>
      <c r="AL298" s="111" t="s">
        <v>22</v>
      </c>
      <c r="AM298" s="174"/>
      <c r="AN298" s="155" t="s">
        <v>23</v>
      </c>
      <c r="AO298" s="141"/>
      <c r="AP298" s="155">
        <v>0</v>
      </c>
      <c r="AQ298" s="141"/>
      <c r="AS298" s="169"/>
      <c r="AT298" s="168"/>
      <c r="AU298" s="172"/>
      <c r="AW298" s="159"/>
      <c r="AX298" s="111" t="s">
        <v>22</v>
      </c>
      <c r="AY298" s="174"/>
      <c r="AZ298" s="155" t="s">
        <v>23</v>
      </c>
      <c r="BA298" s="141"/>
      <c r="BB298" s="155">
        <v>0</v>
      </c>
      <c r="BC298" s="141"/>
      <c r="BE298" s="169"/>
      <c r="BF298" s="168"/>
      <c r="BG298" s="172"/>
      <c r="BI298" s="159"/>
      <c r="BJ298" s="111" t="s">
        <v>22</v>
      </c>
      <c r="BK298" s="174"/>
      <c r="BL298" s="155" t="s">
        <v>23</v>
      </c>
      <c r="BM298" s="141"/>
      <c r="BN298" s="155">
        <v>0</v>
      </c>
      <c r="BO298" s="141"/>
      <c r="BQ298" s="169"/>
      <c r="BR298" s="168"/>
      <c r="BS298" s="172"/>
      <c r="BU298" s="159"/>
      <c r="BV298" s="111" t="s">
        <v>22</v>
      </c>
      <c r="BW298" s="174"/>
      <c r="BX298" s="155" t="s">
        <v>23</v>
      </c>
      <c r="BY298" s="141"/>
      <c r="BZ298" s="155">
        <v>0</v>
      </c>
      <c r="CA298" s="141"/>
      <c r="CC298" s="169"/>
      <c r="CD298" s="168"/>
      <c r="CE298" s="172"/>
      <c r="CG298" s="159"/>
      <c r="CH298" s="111" t="s">
        <v>22</v>
      </c>
      <c r="CI298" s="174"/>
      <c r="CJ298" s="155" t="s">
        <v>23</v>
      </c>
      <c r="CK298" s="141"/>
      <c r="CL298" s="155">
        <v>0</v>
      </c>
      <c r="CM298" s="141"/>
      <c r="CO298" s="169"/>
      <c r="CP298" s="168"/>
      <c r="CQ298" s="172"/>
      <c r="CS298" s="159"/>
      <c r="CT298" s="111" t="s">
        <v>22</v>
      </c>
      <c r="CU298" s="174"/>
      <c r="CV298" s="155" t="s">
        <v>23</v>
      </c>
      <c r="CW298" s="141"/>
      <c r="CX298" s="155">
        <v>0</v>
      </c>
      <c r="CY298" s="141"/>
      <c r="DA298" s="169"/>
      <c r="DB298" s="168"/>
      <c r="DC298" s="172"/>
      <c r="DD298" s="2"/>
      <c r="DE298" s="159"/>
      <c r="DF298" s="111" t="s">
        <v>22</v>
      </c>
      <c r="DG298" s="174"/>
      <c r="DH298" s="155" t="s">
        <v>23</v>
      </c>
      <c r="DI298" s="141"/>
      <c r="DJ298" s="155">
        <v>0</v>
      </c>
      <c r="DK298" s="141"/>
      <c r="DM298" s="169"/>
      <c r="DN298" s="168"/>
      <c r="DO298" s="172"/>
      <c r="DP298" s="2"/>
      <c r="DQ298" s="159"/>
      <c r="DR298" s="111" t="s">
        <v>22</v>
      </c>
      <c r="DS298" s="174"/>
      <c r="DT298" s="155" t="s">
        <v>23</v>
      </c>
      <c r="DU298" s="141"/>
      <c r="DV298" s="155">
        <v>0</v>
      </c>
      <c r="DW298" s="141"/>
      <c r="DY298" s="169"/>
      <c r="DZ298" s="168"/>
      <c r="EA298" s="172"/>
      <c r="EC298" s="159"/>
      <c r="ED298" s="111" t="s">
        <v>22</v>
      </c>
      <c r="EE298" s="174"/>
      <c r="EF298" s="155" t="s">
        <v>23</v>
      </c>
      <c r="EG298" s="141"/>
      <c r="EH298" s="155">
        <v>0</v>
      </c>
      <c r="EI298" s="141"/>
      <c r="EK298" s="169"/>
      <c r="EL298" s="168"/>
      <c r="EM298" s="172"/>
      <c r="EO298" s="233"/>
      <c r="EP298" s="111" t="s">
        <v>22</v>
      </c>
      <c r="EQ298" s="124"/>
      <c r="ER298" s="155" t="s">
        <v>23</v>
      </c>
      <c r="ES298" s="141"/>
      <c r="ET298" s="156">
        <f t="shared" si="22"/>
        <v>0</v>
      </c>
      <c r="EU298" s="157"/>
      <c r="EW298" s="169"/>
      <c r="EX298" s="168"/>
      <c r="EY298" s="172"/>
    </row>
    <row r="299" spans="1:155" ht="17.100000000000001" customHeight="1" thickBot="1" x14ac:dyDescent="0.25">
      <c r="A299" s="159"/>
      <c r="B299" s="113"/>
      <c r="C299" s="175"/>
      <c r="D299" s="154" t="s">
        <v>24</v>
      </c>
      <c r="E299" s="142"/>
      <c r="F299" s="154">
        <v>0</v>
      </c>
      <c r="G299" s="142"/>
      <c r="I299" s="170"/>
      <c r="J299" s="171"/>
      <c r="K299" s="173"/>
      <c r="M299" s="159"/>
      <c r="N299" s="113"/>
      <c r="O299" s="175"/>
      <c r="P299" s="154" t="s">
        <v>24</v>
      </c>
      <c r="Q299" s="142"/>
      <c r="R299" s="154">
        <v>0</v>
      </c>
      <c r="S299" s="142"/>
      <c r="U299" s="170"/>
      <c r="V299" s="171"/>
      <c r="W299" s="173"/>
      <c r="Y299" s="159"/>
      <c r="Z299" s="113"/>
      <c r="AA299" s="175"/>
      <c r="AB299" s="154" t="s">
        <v>24</v>
      </c>
      <c r="AC299" s="142"/>
      <c r="AD299" s="154">
        <v>0</v>
      </c>
      <c r="AE299" s="142"/>
      <c r="AG299" s="170"/>
      <c r="AH299" s="171"/>
      <c r="AI299" s="173"/>
      <c r="AK299" s="159"/>
      <c r="AL299" s="113"/>
      <c r="AM299" s="175"/>
      <c r="AN299" s="154" t="s">
        <v>24</v>
      </c>
      <c r="AO299" s="142"/>
      <c r="AP299" s="154">
        <v>0</v>
      </c>
      <c r="AQ299" s="142"/>
      <c r="AS299" s="170"/>
      <c r="AT299" s="171"/>
      <c r="AU299" s="173"/>
      <c r="AW299" s="159"/>
      <c r="AX299" s="113"/>
      <c r="AY299" s="175"/>
      <c r="AZ299" s="154" t="s">
        <v>24</v>
      </c>
      <c r="BA299" s="142"/>
      <c r="BB299" s="154">
        <v>0</v>
      </c>
      <c r="BC299" s="142"/>
      <c r="BE299" s="170"/>
      <c r="BF299" s="171"/>
      <c r="BG299" s="173"/>
      <c r="BI299" s="159"/>
      <c r="BJ299" s="113"/>
      <c r="BK299" s="175"/>
      <c r="BL299" s="154" t="s">
        <v>24</v>
      </c>
      <c r="BM299" s="142"/>
      <c r="BN299" s="154">
        <v>0</v>
      </c>
      <c r="BO299" s="142"/>
      <c r="BQ299" s="170"/>
      <c r="BR299" s="171"/>
      <c r="BS299" s="173"/>
      <c r="BU299" s="159"/>
      <c r="BV299" s="113"/>
      <c r="BW299" s="175"/>
      <c r="BX299" s="154" t="s">
        <v>24</v>
      </c>
      <c r="BY299" s="142"/>
      <c r="BZ299" s="154">
        <v>0</v>
      </c>
      <c r="CA299" s="142"/>
      <c r="CC299" s="170"/>
      <c r="CD299" s="171"/>
      <c r="CE299" s="173"/>
      <c r="CG299" s="159"/>
      <c r="CH299" s="113"/>
      <c r="CI299" s="175"/>
      <c r="CJ299" s="154" t="s">
        <v>24</v>
      </c>
      <c r="CK299" s="142"/>
      <c r="CL299" s="154">
        <v>0</v>
      </c>
      <c r="CM299" s="142"/>
      <c r="CO299" s="170"/>
      <c r="CP299" s="171"/>
      <c r="CQ299" s="173"/>
      <c r="CS299" s="159"/>
      <c r="CT299" s="113"/>
      <c r="CU299" s="175"/>
      <c r="CV299" s="154" t="s">
        <v>24</v>
      </c>
      <c r="CW299" s="142"/>
      <c r="CX299" s="154">
        <v>0</v>
      </c>
      <c r="CY299" s="142"/>
      <c r="DA299" s="170"/>
      <c r="DB299" s="171"/>
      <c r="DC299" s="173"/>
      <c r="DD299" s="2"/>
      <c r="DE299" s="159"/>
      <c r="DF299" s="113"/>
      <c r="DG299" s="175"/>
      <c r="DH299" s="154" t="s">
        <v>24</v>
      </c>
      <c r="DI299" s="142"/>
      <c r="DJ299" s="154">
        <v>0</v>
      </c>
      <c r="DK299" s="142"/>
      <c r="DM299" s="170"/>
      <c r="DN299" s="171"/>
      <c r="DO299" s="173"/>
      <c r="DP299" s="2"/>
      <c r="DQ299" s="159"/>
      <c r="DR299" s="113"/>
      <c r="DS299" s="175"/>
      <c r="DT299" s="154" t="s">
        <v>24</v>
      </c>
      <c r="DU299" s="142"/>
      <c r="DV299" s="154">
        <v>0</v>
      </c>
      <c r="DW299" s="142"/>
      <c r="DY299" s="170"/>
      <c r="DZ299" s="171"/>
      <c r="EA299" s="173"/>
      <c r="EC299" s="159"/>
      <c r="ED299" s="113"/>
      <c r="EE299" s="175"/>
      <c r="EF299" s="154" t="s">
        <v>24</v>
      </c>
      <c r="EG299" s="142"/>
      <c r="EH299" s="154">
        <v>0</v>
      </c>
      <c r="EI299" s="142"/>
      <c r="EK299" s="170"/>
      <c r="EL299" s="171"/>
      <c r="EM299" s="173"/>
      <c r="EO299" s="233"/>
      <c r="EP299" s="113"/>
      <c r="EQ299" s="112"/>
      <c r="ER299" s="154" t="s">
        <v>24</v>
      </c>
      <c r="ES299" s="142"/>
      <c r="ET299" s="156">
        <f t="shared" si="22"/>
        <v>0</v>
      </c>
      <c r="EU299" s="157"/>
      <c r="EW299" s="170"/>
      <c r="EX299" s="171"/>
      <c r="EY299" s="173"/>
    </row>
    <row r="300" spans="1:155" ht="17.100000000000001" customHeight="1" thickBot="1" x14ac:dyDescent="0.25">
      <c r="A300" s="159"/>
      <c r="B300" s="113"/>
      <c r="C300" s="175"/>
      <c r="D300" s="154" t="s">
        <v>25</v>
      </c>
      <c r="E300" s="142"/>
      <c r="F300" s="154">
        <v>0</v>
      </c>
      <c r="G300" s="142"/>
      <c r="I300" s="111" t="s">
        <v>26</v>
      </c>
      <c r="J300" s="124"/>
      <c r="K300" s="162">
        <v>0</v>
      </c>
      <c r="M300" s="159"/>
      <c r="N300" s="113"/>
      <c r="O300" s="175"/>
      <c r="P300" s="154" t="s">
        <v>25</v>
      </c>
      <c r="Q300" s="142"/>
      <c r="R300" s="154">
        <v>0</v>
      </c>
      <c r="S300" s="142"/>
      <c r="U300" s="111" t="s">
        <v>26</v>
      </c>
      <c r="V300" s="124"/>
      <c r="W300" s="162">
        <v>0</v>
      </c>
      <c r="Y300" s="159"/>
      <c r="Z300" s="113"/>
      <c r="AA300" s="175"/>
      <c r="AB300" s="154" t="s">
        <v>25</v>
      </c>
      <c r="AC300" s="142"/>
      <c r="AD300" s="154">
        <v>0</v>
      </c>
      <c r="AE300" s="142"/>
      <c r="AG300" s="111" t="s">
        <v>26</v>
      </c>
      <c r="AH300" s="124"/>
      <c r="AI300" s="162">
        <v>0</v>
      </c>
      <c r="AK300" s="159"/>
      <c r="AL300" s="113"/>
      <c r="AM300" s="175"/>
      <c r="AN300" s="154" t="s">
        <v>25</v>
      </c>
      <c r="AO300" s="142"/>
      <c r="AP300" s="154">
        <v>0</v>
      </c>
      <c r="AQ300" s="142"/>
      <c r="AS300" s="111" t="s">
        <v>26</v>
      </c>
      <c r="AT300" s="124"/>
      <c r="AU300" s="162">
        <v>0</v>
      </c>
      <c r="AW300" s="159"/>
      <c r="AX300" s="113"/>
      <c r="AY300" s="175"/>
      <c r="AZ300" s="154" t="s">
        <v>25</v>
      </c>
      <c r="BA300" s="142"/>
      <c r="BB300" s="154">
        <v>0</v>
      </c>
      <c r="BC300" s="142"/>
      <c r="BE300" s="111" t="s">
        <v>26</v>
      </c>
      <c r="BF300" s="124"/>
      <c r="BG300" s="162">
        <v>0</v>
      </c>
      <c r="BI300" s="159"/>
      <c r="BJ300" s="113"/>
      <c r="BK300" s="175"/>
      <c r="BL300" s="154" t="s">
        <v>25</v>
      </c>
      <c r="BM300" s="142"/>
      <c r="BN300" s="154">
        <v>0</v>
      </c>
      <c r="BO300" s="142"/>
      <c r="BQ300" s="111" t="s">
        <v>26</v>
      </c>
      <c r="BR300" s="124"/>
      <c r="BS300" s="162">
        <v>0</v>
      </c>
      <c r="BU300" s="159"/>
      <c r="BV300" s="113"/>
      <c r="BW300" s="175"/>
      <c r="BX300" s="154" t="s">
        <v>25</v>
      </c>
      <c r="BY300" s="142"/>
      <c r="BZ300" s="154">
        <v>0</v>
      </c>
      <c r="CA300" s="142"/>
      <c r="CC300" s="111" t="s">
        <v>26</v>
      </c>
      <c r="CD300" s="124"/>
      <c r="CE300" s="162">
        <v>0</v>
      </c>
      <c r="CG300" s="159"/>
      <c r="CH300" s="113"/>
      <c r="CI300" s="175"/>
      <c r="CJ300" s="154" t="s">
        <v>25</v>
      </c>
      <c r="CK300" s="142"/>
      <c r="CL300" s="154">
        <v>0</v>
      </c>
      <c r="CM300" s="142"/>
      <c r="CO300" s="111" t="s">
        <v>26</v>
      </c>
      <c r="CP300" s="124"/>
      <c r="CQ300" s="162">
        <v>0</v>
      </c>
      <c r="CS300" s="159"/>
      <c r="CT300" s="113"/>
      <c r="CU300" s="175"/>
      <c r="CV300" s="154" t="s">
        <v>25</v>
      </c>
      <c r="CW300" s="142"/>
      <c r="CX300" s="154">
        <v>0</v>
      </c>
      <c r="CY300" s="142"/>
      <c r="DA300" s="111" t="s">
        <v>26</v>
      </c>
      <c r="DB300" s="124"/>
      <c r="DC300" s="162">
        <v>0</v>
      </c>
      <c r="DD300" s="2"/>
      <c r="DE300" s="159"/>
      <c r="DF300" s="113"/>
      <c r="DG300" s="175"/>
      <c r="DH300" s="154" t="s">
        <v>25</v>
      </c>
      <c r="DI300" s="142"/>
      <c r="DJ300" s="154">
        <v>0</v>
      </c>
      <c r="DK300" s="142"/>
      <c r="DM300" s="111" t="s">
        <v>26</v>
      </c>
      <c r="DN300" s="124"/>
      <c r="DO300" s="162">
        <v>0</v>
      </c>
      <c r="DP300" s="2"/>
      <c r="DQ300" s="159"/>
      <c r="DR300" s="113"/>
      <c r="DS300" s="175"/>
      <c r="DT300" s="154" t="s">
        <v>25</v>
      </c>
      <c r="DU300" s="142"/>
      <c r="DV300" s="154">
        <v>0</v>
      </c>
      <c r="DW300" s="142"/>
      <c r="DY300" s="111" t="s">
        <v>26</v>
      </c>
      <c r="DZ300" s="124"/>
      <c r="EA300" s="162">
        <v>0</v>
      </c>
      <c r="EC300" s="159"/>
      <c r="ED300" s="113"/>
      <c r="EE300" s="175"/>
      <c r="EF300" s="154" t="s">
        <v>25</v>
      </c>
      <c r="EG300" s="142"/>
      <c r="EH300" s="154">
        <v>0</v>
      </c>
      <c r="EI300" s="142"/>
      <c r="EK300" s="111" t="s">
        <v>26</v>
      </c>
      <c r="EL300" s="124"/>
      <c r="EM300" s="162">
        <v>0</v>
      </c>
      <c r="EO300" s="233"/>
      <c r="EP300" s="113"/>
      <c r="EQ300" s="112"/>
      <c r="ER300" s="154" t="s">
        <v>25</v>
      </c>
      <c r="ES300" s="142"/>
      <c r="ET300" s="156">
        <f t="shared" si="22"/>
        <v>0</v>
      </c>
      <c r="EU300" s="157"/>
      <c r="EW300" s="111" t="s">
        <v>26</v>
      </c>
      <c r="EX300" s="124"/>
      <c r="EY300" s="162">
        <f>K300+W300+AI300+AU300+BG300+BS300+CE300+CQ300+DC300+DO300+EA300+EM300</f>
        <v>0</v>
      </c>
    </row>
    <row r="301" spans="1:155" ht="17.100000000000001" customHeight="1" thickBot="1" x14ac:dyDescent="0.25">
      <c r="A301" s="159"/>
      <c r="B301" s="125"/>
      <c r="C301" s="176"/>
      <c r="D301" s="177" t="s">
        <v>27</v>
      </c>
      <c r="E301" s="178"/>
      <c r="F301" s="177">
        <v>0</v>
      </c>
      <c r="G301" s="178"/>
      <c r="I301" s="113"/>
      <c r="J301" s="112"/>
      <c r="K301" s="163"/>
      <c r="M301" s="159"/>
      <c r="N301" s="125"/>
      <c r="O301" s="176"/>
      <c r="P301" s="177" t="s">
        <v>27</v>
      </c>
      <c r="Q301" s="178"/>
      <c r="R301" s="177">
        <v>0</v>
      </c>
      <c r="S301" s="178"/>
      <c r="U301" s="113"/>
      <c r="V301" s="112"/>
      <c r="W301" s="163"/>
      <c r="Y301" s="159"/>
      <c r="Z301" s="125"/>
      <c r="AA301" s="176"/>
      <c r="AB301" s="177" t="s">
        <v>27</v>
      </c>
      <c r="AC301" s="178"/>
      <c r="AD301" s="177">
        <v>0</v>
      </c>
      <c r="AE301" s="178"/>
      <c r="AG301" s="113"/>
      <c r="AH301" s="112"/>
      <c r="AI301" s="163"/>
      <c r="AK301" s="159"/>
      <c r="AL301" s="125"/>
      <c r="AM301" s="176"/>
      <c r="AN301" s="177" t="s">
        <v>27</v>
      </c>
      <c r="AO301" s="178"/>
      <c r="AP301" s="177">
        <v>0</v>
      </c>
      <c r="AQ301" s="178"/>
      <c r="AS301" s="113"/>
      <c r="AT301" s="112"/>
      <c r="AU301" s="163"/>
      <c r="AW301" s="159"/>
      <c r="AX301" s="125"/>
      <c r="AY301" s="176"/>
      <c r="AZ301" s="177" t="s">
        <v>27</v>
      </c>
      <c r="BA301" s="178"/>
      <c r="BB301" s="177">
        <v>0</v>
      </c>
      <c r="BC301" s="178"/>
      <c r="BE301" s="113"/>
      <c r="BF301" s="112"/>
      <c r="BG301" s="163"/>
      <c r="BI301" s="159"/>
      <c r="BJ301" s="125"/>
      <c r="BK301" s="176"/>
      <c r="BL301" s="177" t="s">
        <v>27</v>
      </c>
      <c r="BM301" s="178"/>
      <c r="BN301" s="177">
        <v>0</v>
      </c>
      <c r="BO301" s="178"/>
      <c r="BQ301" s="113"/>
      <c r="BR301" s="112"/>
      <c r="BS301" s="163"/>
      <c r="BU301" s="159"/>
      <c r="BV301" s="125"/>
      <c r="BW301" s="176"/>
      <c r="BX301" s="177" t="s">
        <v>27</v>
      </c>
      <c r="BY301" s="178"/>
      <c r="BZ301" s="177">
        <v>0</v>
      </c>
      <c r="CA301" s="178"/>
      <c r="CC301" s="113"/>
      <c r="CD301" s="112"/>
      <c r="CE301" s="163"/>
      <c r="CG301" s="159"/>
      <c r="CH301" s="125"/>
      <c r="CI301" s="176"/>
      <c r="CJ301" s="177" t="s">
        <v>27</v>
      </c>
      <c r="CK301" s="178"/>
      <c r="CL301" s="177">
        <v>0</v>
      </c>
      <c r="CM301" s="178"/>
      <c r="CO301" s="113"/>
      <c r="CP301" s="112"/>
      <c r="CQ301" s="163"/>
      <c r="CS301" s="159"/>
      <c r="CT301" s="125"/>
      <c r="CU301" s="176"/>
      <c r="CV301" s="177" t="s">
        <v>27</v>
      </c>
      <c r="CW301" s="178"/>
      <c r="CX301" s="177">
        <v>0</v>
      </c>
      <c r="CY301" s="178"/>
      <c r="DA301" s="113"/>
      <c r="DB301" s="112"/>
      <c r="DC301" s="163"/>
      <c r="DD301" s="2"/>
      <c r="DE301" s="159"/>
      <c r="DF301" s="125"/>
      <c r="DG301" s="176"/>
      <c r="DH301" s="177" t="s">
        <v>27</v>
      </c>
      <c r="DI301" s="178"/>
      <c r="DJ301" s="177">
        <v>0</v>
      </c>
      <c r="DK301" s="178"/>
      <c r="DM301" s="113"/>
      <c r="DN301" s="112"/>
      <c r="DO301" s="163"/>
      <c r="DP301" s="2"/>
      <c r="DQ301" s="159"/>
      <c r="DR301" s="125"/>
      <c r="DS301" s="176"/>
      <c r="DT301" s="177" t="s">
        <v>27</v>
      </c>
      <c r="DU301" s="178"/>
      <c r="DV301" s="177">
        <v>0</v>
      </c>
      <c r="DW301" s="178"/>
      <c r="DY301" s="113"/>
      <c r="DZ301" s="112"/>
      <c r="EA301" s="163"/>
      <c r="EC301" s="159"/>
      <c r="ED301" s="125"/>
      <c r="EE301" s="176"/>
      <c r="EF301" s="177" t="s">
        <v>27</v>
      </c>
      <c r="EG301" s="178"/>
      <c r="EH301" s="177">
        <v>0</v>
      </c>
      <c r="EI301" s="178"/>
      <c r="EK301" s="113"/>
      <c r="EL301" s="112"/>
      <c r="EM301" s="163"/>
      <c r="EO301" s="233"/>
      <c r="EP301" s="125"/>
      <c r="EQ301" s="126"/>
      <c r="ER301" s="177" t="s">
        <v>27</v>
      </c>
      <c r="ES301" s="178"/>
      <c r="ET301" s="156">
        <f t="shared" si="22"/>
        <v>0</v>
      </c>
      <c r="EU301" s="157"/>
      <c r="EW301" s="113"/>
      <c r="EX301" s="112"/>
      <c r="EY301" s="163"/>
    </row>
    <row r="302" spans="1:155" ht="17.100000000000001" customHeight="1" thickBot="1" x14ac:dyDescent="0.25">
      <c r="A302" s="159"/>
      <c r="B302" s="111" t="s">
        <v>28</v>
      </c>
      <c r="C302" s="174"/>
      <c r="D302" s="155" t="s">
        <v>29</v>
      </c>
      <c r="E302" s="141"/>
      <c r="F302" s="155">
        <v>0</v>
      </c>
      <c r="G302" s="141"/>
      <c r="I302" s="125"/>
      <c r="J302" s="126"/>
      <c r="K302" s="164"/>
      <c r="M302" s="159"/>
      <c r="N302" s="111" t="s">
        <v>28</v>
      </c>
      <c r="O302" s="174"/>
      <c r="P302" s="155" t="s">
        <v>29</v>
      </c>
      <c r="Q302" s="141"/>
      <c r="R302" s="155">
        <v>0</v>
      </c>
      <c r="S302" s="141"/>
      <c r="U302" s="125"/>
      <c r="V302" s="126"/>
      <c r="W302" s="164"/>
      <c r="Y302" s="159"/>
      <c r="Z302" s="111" t="s">
        <v>28</v>
      </c>
      <c r="AA302" s="174"/>
      <c r="AB302" s="155" t="s">
        <v>29</v>
      </c>
      <c r="AC302" s="141"/>
      <c r="AD302" s="155">
        <v>0</v>
      </c>
      <c r="AE302" s="141"/>
      <c r="AG302" s="125"/>
      <c r="AH302" s="126"/>
      <c r="AI302" s="164"/>
      <c r="AK302" s="159"/>
      <c r="AL302" s="111" t="s">
        <v>28</v>
      </c>
      <c r="AM302" s="174"/>
      <c r="AN302" s="155" t="s">
        <v>29</v>
      </c>
      <c r="AO302" s="141"/>
      <c r="AP302" s="155">
        <v>0</v>
      </c>
      <c r="AQ302" s="141"/>
      <c r="AS302" s="125"/>
      <c r="AT302" s="126"/>
      <c r="AU302" s="164"/>
      <c r="AW302" s="159"/>
      <c r="AX302" s="111" t="s">
        <v>28</v>
      </c>
      <c r="AY302" s="174"/>
      <c r="AZ302" s="155" t="s">
        <v>29</v>
      </c>
      <c r="BA302" s="141"/>
      <c r="BB302" s="155">
        <v>0</v>
      </c>
      <c r="BC302" s="141"/>
      <c r="BE302" s="125"/>
      <c r="BF302" s="126"/>
      <c r="BG302" s="164"/>
      <c r="BI302" s="159"/>
      <c r="BJ302" s="111" t="s">
        <v>28</v>
      </c>
      <c r="BK302" s="174"/>
      <c r="BL302" s="155" t="s">
        <v>29</v>
      </c>
      <c r="BM302" s="141"/>
      <c r="BN302" s="155">
        <v>0</v>
      </c>
      <c r="BO302" s="141"/>
      <c r="BQ302" s="125"/>
      <c r="BR302" s="126"/>
      <c r="BS302" s="164"/>
      <c r="BU302" s="159"/>
      <c r="BV302" s="111" t="s">
        <v>28</v>
      </c>
      <c r="BW302" s="174"/>
      <c r="BX302" s="155" t="s">
        <v>29</v>
      </c>
      <c r="BY302" s="141"/>
      <c r="BZ302" s="155">
        <v>0</v>
      </c>
      <c r="CA302" s="141"/>
      <c r="CC302" s="125"/>
      <c r="CD302" s="126"/>
      <c r="CE302" s="164"/>
      <c r="CG302" s="159"/>
      <c r="CH302" s="111" t="s">
        <v>28</v>
      </c>
      <c r="CI302" s="174"/>
      <c r="CJ302" s="155" t="s">
        <v>29</v>
      </c>
      <c r="CK302" s="141"/>
      <c r="CL302" s="155">
        <v>0</v>
      </c>
      <c r="CM302" s="141"/>
      <c r="CO302" s="125"/>
      <c r="CP302" s="126"/>
      <c r="CQ302" s="164"/>
      <c r="CS302" s="159"/>
      <c r="CT302" s="111" t="s">
        <v>28</v>
      </c>
      <c r="CU302" s="174"/>
      <c r="CV302" s="155" t="s">
        <v>29</v>
      </c>
      <c r="CW302" s="141"/>
      <c r="CX302" s="155">
        <v>0</v>
      </c>
      <c r="CY302" s="141"/>
      <c r="DA302" s="125"/>
      <c r="DB302" s="126"/>
      <c r="DC302" s="164"/>
      <c r="DD302" s="2"/>
      <c r="DE302" s="159"/>
      <c r="DF302" s="111" t="s">
        <v>28</v>
      </c>
      <c r="DG302" s="174"/>
      <c r="DH302" s="155" t="s">
        <v>29</v>
      </c>
      <c r="DI302" s="141"/>
      <c r="DJ302" s="155">
        <v>0</v>
      </c>
      <c r="DK302" s="141"/>
      <c r="DM302" s="125"/>
      <c r="DN302" s="126"/>
      <c r="DO302" s="164"/>
      <c r="DP302" s="2"/>
      <c r="DQ302" s="159"/>
      <c r="DR302" s="111" t="s">
        <v>28</v>
      </c>
      <c r="DS302" s="174"/>
      <c r="DT302" s="155" t="s">
        <v>29</v>
      </c>
      <c r="DU302" s="141"/>
      <c r="DV302" s="155">
        <v>0</v>
      </c>
      <c r="DW302" s="141"/>
      <c r="DY302" s="125"/>
      <c r="DZ302" s="126"/>
      <c r="EA302" s="164"/>
      <c r="EC302" s="159"/>
      <c r="ED302" s="111" t="s">
        <v>28</v>
      </c>
      <c r="EE302" s="174"/>
      <c r="EF302" s="155" t="s">
        <v>29</v>
      </c>
      <c r="EG302" s="141"/>
      <c r="EH302" s="155">
        <v>0</v>
      </c>
      <c r="EI302" s="141"/>
      <c r="EK302" s="125"/>
      <c r="EL302" s="126"/>
      <c r="EM302" s="164"/>
      <c r="EO302" s="233"/>
      <c r="EP302" s="111" t="s">
        <v>28</v>
      </c>
      <c r="EQ302" s="124"/>
      <c r="ER302" s="155" t="s">
        <v>29</v>
      </c>
      <c r="ES302" s="141"/>
      <c r="ET302" s="156">
        <f t="shared" si="22"/>
        <v>0</v>
      </c>
      <c r="EU302" s="157"/>
      <c r="EW302" s="125"/>
      <c r="EX302" s="126"/>
      <c r="EY302" s="164"/>
    </row>
    <row r="303" spans="1:155" ht="17.100000000000001" customHeight="1" thickBot="1" x14ac:dyDescent="0.25">
      <c r="A303" s="159"/>
      <c r="B303" s="113"/>
      <c r="C303" s="175"/>
      <c r="D303" s="154" t="s">
        <v>30</v>
      </c>
      <c r="E303" s="142"/>
      <c r="F303" s="154">
        <v>0</v>
      </c>
      <c r="G303" s="142"/>
      <c r="I303" s="111" t="s">
        <v>31</v>
      </c>
      <c r="J303" s="124"/>
      <c r="K303" s="162">
        <v>0</v>
      </c>
      <c r="M303" s="159"/>
      <c r="N303" s="113"/>
      <c r="O303" s="175"/>
      <c r="P303" s="154" t="s">
        <v>30</v>
      </c>
      <c r="Q303" s="142"/>
      <c r="R303" s="154">
        <v>0</v>
      </c>
      <c r="S303" s="142"/>
      <c r="U303" s="111" t="s">
        <v>31</v>
      </c>
      <c r="V303" s="124"/>
      <c r="W303" s="162">
        <v>0</v>
      </c>
      <c r="Y303" s="159"/>
      <c r="Z303" s="113"/>
      <c r="AA303" s="175"/>
      <c r="AB303" s="154" t="s">
        <v>30</v>
      </c>
      <c r="AC303" s="142"/>
      <c r="AD303" s="154">
        <v>0</v>
      </c>
      <c r="AE303" s="142"/>
      <c r="AG303" s="111" t="s">
        <v>31</v>
      </c>
      <c r="AH303" s="124"/>
      <c r="AI303" s="162">
        <v>0</v>
      </c>
      <c r="AK303" s="159"/>
      <c r="AL303" s="113"/>
      <c r="AM303" s="175"/>
      <c r="AN303" s="154" t="s">
        <v>30</v>
      </c>
      <c r="AO303" s="142"/>
      <c r="AP303" s="154">
        <v>0</v>
      </c>
      <c r="AQ303" s="142"/>
      <c r="AS303" s="111" t="s">
        <v>31</v>
      </c>
      <c r="AT303" s="124"/>
      <c r="AU303" s="162">
        <v>0</v>
      </c>
      <c r="AW303" s="159"/>
      <c r="AX303" s="113"/>
      <c r="AY303" s="175"/>
      <c r="AZ303" s="154" t="s">
        <v>30</v>
      </c>
      <c r="BA303" s="142"/>
      <c r="BB303" s="154">
        <v>0</v>
      </c>
      <c r="BC303" s="142"/>
      <c r="BE303" s="111" t="s">
        <v>31</v>
      </c>
      <c r="BF303" s="124"/>
      <c r="BG303" s="162">
        <v>0</v>
      </c>
      <c r="BI303" s="159"/>
      <c r="BJ303" s="113"/>
      <c r="BK303" s="175"/>
      <c r="BL303" s="154" t="s">
        <v>30</v>
      </c>
      <c r="BM303" s="142"/>
      <c r="BN303" s="154">
        <v>0</v>
      </c>
      <c r="BO303" s="142"/>
      <c r="BQ303" s="111" t="s">
        <v>31</v>
      </c>
      <c r="BR303" s="124"/>
      <c r="BS303" s="162">
        <v>0</v>
      </c>
      <c r="BU303" s="159"/>
      <c r="BV303" s="113"/>
      <c r="BW303" s="175"/>
      <c r="BX303" s="154" t="s">
        <v>30</v>
      </c>
      <c r="BY303" s="142"/>
      <c r="BZ303" s="154">
        <v>0</v>
      </c>
      <c r="CA303" s="142"/>
      <c r="CC303" s="111" t="s">
        <v>31</v>
      </c>
      <c r="CD303" s="124"/>
      <c r="CE303" s="162">
        <v>0</v>
      </c>
      <c r="CG303" s="159"/>
      <c r="CH303" s="113"/>
      <c r="CI303" s="175"/>
      <c r="CJ303" s="154" t="s">
        <v>30</v>
      </c>
      <c r="CK303" s="142"/>
      <c r="CL303" s="154">
        <v>0</v>
      </c>
      <c r="CM303" s="142"/>
      <c r="CO303" s="111" t="s">
        <v>31</v>
      </c>
      <c r="CP303" s="124"/>
      <c r="CQ303" s="162">
        <v>0</v>
      </c>
      <c r="CS303" s="159"/>
      <c r="CT303" s="113"/>
      <c r="CU303" s="175"/>
      <c r="CV303" s="154" t="s">
        <v>30</v>
      </c>
      <c r="CW303" s="142"/>
      <c r="CX303" s="154">
        <v>0</v>
      </c>
      <c r="CY303" s="142"/>
      <c r="DA303" s="111" t="s">
        <v>31</v>
      </c>
      <c r="DB303" s="124"/>
      <c r="DC303" s="162">
        <v>0</v>
      </c>
      <c r="DD303" s="2"/>
      <c r="DE303" s="159"/>
      <c r="DF303" s="113"/>
      <c r="DG303" s="175"/>
      <c r="DH303" s="154" t="s">
        <v>30</v>
      </c>
      <c r="DI303" s="142"/>
      <c r="DJ303" s="154">
        <v>0</v>
      </c>
      <c r="DK303" s="142"/>
      <c r="DM303" s="111" t="s">
        <v>31</v>
      </c>
      <c r="DN303" s="124"/>
      <c r="DO303" s="162">
        <v>0</v>
      </c>
      <c r="DP303" s="2"/>
      <c r="DQ303" s="159"/>
      <c r="DR303" s="113"/>
      <c r="DS303" s="175"/>
      <c r="DT303" s="154" t="s">
        <v>30</v>
      </c>
      <c r="DU303" s="142"/>
      <c r="DV303" s="154">
        <v>0</v>
      </c>
      <c r="DW303" s="142"/>
      <c r="DY303" s="111" t="s">
        <v>31</v>
      </c>
      <c r="DZ303" s="124"/>
      <c r="EA303" s="162">
        <v>0</v>
      </c>
      <c r="EC303" s="159"/>
      <c r="ED303" s="113"/>
      <c r="EE303" s="175"/>
      <c r="EF303" s="154" t="s">
        <v>30</v>
      </c>
      <c r="EG303" s="142"/>
      <c r="EH303" s="154">
        <v>0</v>
      </c>
      <c r="EI303" s="142"/>
      <c r="EK303" s="111" t="s">
        <v>31</v>
      </c>
      <c r="EL303" s="124"/>
      <c r="EM303" s="162">
        <v>0</v>
      </c>
      <c r="EO303" s="233"/>
      <c r="EP303" s="113"/>
      <c r="EQ303" s="112"/>
      <c r="ER303" s="154" t="s">
        <v>30</v>
      </c>
      <c r="ES303" s="142"/>
      <c r="ET303" s="156">
        <f t="shared" si="22"/>
        <v>0</v>
      </c>
      <c r="EU303" s="157"/>
      <c r="EW303" s="111" t="s">
        <v>31</v>
      </c>
      <c r="EX303" s="124"/>
      <c r="EY303" s="162">
        <f>K303+W303+AI303+AU303+BG303+BS303+CE303+CQ303+DC303+DO303+EA303+EM303</f>
        <v>0</v>
      </c>
    </row>
    <row r="304" spans="1:155" ht="17.100000000000001" customHeight="1" thickBot="1" x14ac:dyDescent="0.25">
      <c r="A304" s="159"/>
      <c r="B304" s="125"/>
      <c r="C304" s="176"/>
      <c r="D304" s="177" t="s">
        <v>32</v>
      </c>
      <c r="E304" s="178"/>
      <c r="F304" s="177">
        <v>0</v>
      </c>
      <c r="G304" s="178"/>
      <c r="I304" s="113"/>
      <c r="J304" s="112"/>
      <c r="K304" s="163"/>
      <c r="M304" s="159"/>
      <c r="N304" s="125"/>
      <c r="O304" s="176"/>
      <c r="P304" s="177" t="s">
        <v>32</v>
      </c>
      <c r="Q304" s="178"/>
      <c r="R304" s="177">
        <v>0</v>
      </c>
      <c r="S304" s="178"/>
      <c r="U304" s="113"/>
      <c r="V304" s="112"/>
      <c r="W304" s="163"/>
      <c r="Y304" s="159"/>
      <c r="Z304" s="125"/>
      <c r="AA304" s="176"/>
      <c r="AB304" s="177" t="s">
        <v>32</v>
      </c>
      <c r="AC304" s="178"/>
      <c r="AD304" s="177">
        <v>0</v>
      </c>
      <c r="AE304" s="178"/>
      <c r="AG304" s="113"/>
      <c r="AH304" s="112"/>
      <c r="AI304" s="163"/>
      <c r="AK304" s="159"/>
      <c r="AL304" s="125"/>
      <c r="AM304" s="176"/>
      <c r="AN304" s="177" t="s">
        <v>32</v>
      </c>
      <c r="AO304" s="178"/>
      <c r="AP304" s="177">
        <v>0</v>
      </c>
      <c r="AQ304" s="178"/>
      <c r="AS304" s="113"/>
      <c r="AT304" s="112"/>
      <c r="AU304" s="163"/>
      <c r="AW304" s="159"/>
      <c r="AX304" s="125"/>
      <c r="AY304" s="176"/>
      <c r="AZ304" s="177" t="s">
        <v>32</v>
      </c>
      <c r="BA304" s="178"/>
      <c r="BB304" s="177">
        <v>0</v>
      </c>
      <c r="BC304" s="178"/>
      <c r="BE304" s="113"/>
      <c r="BF304" s="112"/>
      <c r="BG304" s="163"/>
      <c r="BI304" s="159"/>
      <c r="BJ304" s="125"/>
      <c r="BK304" s="176"/>
      <c r="BL304" s="177" t="s">
        <v>32</v>
      </c>
      <c r="BM304" s="178"/>
      <c r="BN304" s="177">
        <v>0</v>
      </c>
      <c r="BO304" s="178"/>
      <c r="BQ304" s="113"/>
      <c r="BR304" s="112"/>
      <c r="BS304" s="163"/>
      <c r="BU304" s="159"/>
      <c r="BV304" s="125"/>
      <c r="BW304" s="176"/>
      <c r="BX304" s="177" t="s">
        <v>32</v>
      </c>
      <c r="BY304" s="178"/>
      <c r="BZ304" s="177">
        <v>0</v>
      </c>
      <c r="CA304" s="178"/>
      <c r="CC304" s="113"/>
      <c r="CD304" s="112"/>
      <c r="CE304" s="163"/>
      <c r="CG304" s="159"/>
      <c r="CH304" s="125"/>
      <c r="CI304" s="176"/>
      <c r="CJ304" s="177" t="s">
        <v>32</v>
      </c>
      <c r="CK304" s="178"/>
      <c r="CL304" s="177">
        <v>0</v>
      </c>
      <c r="CM304" s="178"/>
      <c r="CO304" s="113"/>
      <c r="CP304" s="112"/>
      <c r="CQ304" s="163"/>
      <c r="CS304" s="159"/>
      <c r="CT304" s="125"/>
      <c r="CU304" s="176"/>
      <c r="CV304" s="177" t="s">
        <v>32</v>
      </c>
      <c r="CW304" s="178"/>
      <c r="CX304" s="177">
        <v>0</v>
      </c>
      <c r="CY304" s="178"/>
      <c r="DA304" s="113"/>
      <c r="DB304" s="112"/>
      <c r="DC304" s="163"/>
      <c r="DD304" s="2"/>
      <c r="DE304" s="159"/>
      <c r="DF304" s="125"/>
      <c r="DG304" s="176"/>
      <c r="DH304" s="177" t="s">
        <v>32</v>
      </c>
      <c r="DI304" s="178"/>
      <c r="DJ304" s="177">
        <v>0</v>
      </c>
      <c r="DK304" s="178"/>
      <c r="DM304" s="113"/>
      <c r="DN304" s="112"/>
      <c r="DO304" s="163"/>
      <c r="DP304" s="2"/>
      <c r="DQ304" s="159"/>
      <c r="DR304" s="125"/>
      <c r="DS304" s="176"/>
      <c r="DT304" s="177" t="s">
        <v>32</v>
      </c>
      <c r="DU304" s="178"/>
      <c r="DV304" s="177">
        <v>0</v>
      </c>
      <c r="DW304" s="178"/>
      <c r="DY304" s="113"/>
      <c r="DZ304" s="112"/>
      <c r="EA304" s="163"/>
      <c r="EC304" s="159"/>
      <c r="ED304" s="125"/>
      <c r="EE304" s="176"/>
      <c r="EF304" s="177" t="s">
        <v>32</v>
      </c>
      <c r="EG304" s="178"/>
      <c r="EH304" s="177">
        <v>0</v>
      </c>
      <c r="EI304" s="178"/>
      <c r="EK304" s="113"/>
      <c r="EL304" s="112"/>
      <c r="EM304" s="163"/>
      <c r="EO304" s="233"/>
      <c r="EP304" s="125"/>
      <c r="EQ304" s="126"/>
      <c r="ER304" s="177" t="s">
        <v>32</v>
      </c>
      <c r="ES304" s="178"/>
      <c r="ET304" s="156">
        <f t="shared" si="22"/>
        <v>0</v>
      </c>
      <c r="EU304" s="157"/>
      <c r="EW304" s="113"/>
      <c r="EX304" s="112"/>
      <c r="EY304" s="163"/>
    </row>
    <row r="305" spans="1:155" ht="17.100000000000001" customHeight="1" thickBot="1" x14ac:dyDescent="0.25">
      <c r="A305" s="159"/>
      <c r="B305" s="111" t="s">
        <v>33</v>
      </c>
      <c r="C305" s="174"/>
      <c r="D305" s="155" t="s">
        <v>34</v>
      </c>
      <c r="E305" s="141"/>
      <c r="F305" s="155">
        <v>0</v>
      </c>
      <c r="G305" s="141"/>
      <c r="I305" s="125"/>
      <c r="J305" s="126"/>
      <c r="K305" s="164"/>
      <c r="M305" s="159"/>
      <c r="N305" s="111" t="s">
        <v>33</v>
      </c>
      <c r="O305" s="174"/>
      <c r="P305" s="155" t="s">
        <v>34</v>
      </c>
      <c r="Q305" s="141"/>
      <c r="R305" s="155">
        <v>0</v>
      </c>
      <c r="S305" s="141"/>
      <c r="U305" s="125"/>
      <c r="V305" s="126"/>
      <c r="W305" s="164"/>
      <c r="Y305" s="159"/>
      <c r="Z305" s="111" t="s">
        <v>33</v>
      </c>
      <c r="AA305" s="174"/>
      <c r="AB305" s="155" t="s">
        <v>34</v>
      </c>
      <c r="AC305" s="141"/>
      <c r="AD305" s="155">
        <v>0</v>
      </c>
      <c r="AE305" s="141"/>
      <c r="AG305" s="125"/>
      <c r="AH305" s="126"/>
      <c r="AI305" s="164"/>
      <c r="AK305" s="159"/>
      <c r="AL305" s="111" t="s">
        <v>33</v>
      </c>
      <c r="AM305" s="174"/>
      <c r="AN305" s="155" t="s">
        <v>34</v>
      </c>
      <c r="AO305" s="141"/>
      <c r="AP305" s="155">
        <v>0</v>
      </c>
      <c r="AQ305" s="141"/>
      <c r="AS305" s="125"/>
      <c r="AT305" s="126"/>
      <c r="AU305" s="164"/>
      <c r="AW305" s="159"/>
      <c r="AX305" s="111" t="s">
        <v>33</v>
      </c>
      <c r="AY305" s="174"/>
      <c r="AZ305" s="155" t="s">
        <v>34</v>
      </c>
      <c r="BA305" s="141"/>
      <c r="BB305" s="155">
        <v>0</v>
      </c>
      <c r="BC305" s="141"/>
      <c r="BE305" s="125"/>
      <c r="BF305" s="126"/>
      <c r="BG305" s="164"/>
      <c r="BI305" s="159"/>
      <c r="BJ305" s="111" t="s">
        <v>33</v>
      </c>
      <c r="BK305" s="174"/>
      <c r="BL305" s="155" t="s">
        <v>34</v>
      </c>
      <c r="BM305" s="141"/>
      <c r="BN305" s="155">
        <v>0</v>
      </c>
      <c r="BO305" s="141"/>
      <c r="BQ305" s="125"/>
      <c r="BR305" s="126"/>
      <c r="BS305" s="164"/>
      <c r="BU305" s="159"/>
      <c r="BV305" s="111" t="s">
        <v>33</v>
      </c>
      <c r="BW305" s="174"/>
      <c r="BX305" s="155" t="s">
        <v>34</v>
      </c>
      <c r="BY305" s="141"/>
      <c r="BZ305" s="155">
        <v>0</v>
      </c>
      <c r="CA305" s="141"/>
      <c r="CC305" s="125"/>
      <c r="CD305" s="126"/>
      <c r="CE305" s="164"/>
      <c r="CG305" s="159"/>
      <c r="CH305" s="111" t="s">
        <v>33</v>
      </c>
      <c r="CI305" s="174"/>
      <c r="CJ305" s="155" t="s">
        <v>34</v>
      </c>
      <c r="CK305" s="141"/>
      <c r="CL305" s="155">
        <v>0</v>
      </c>
      <c r="CM305" s="141"/>
      <c r="CO305" s="125"/>
      <c r="CP305" s="126"/>
      <c r="CQ305" s="164"/>
      <c r="CS305" s="159"/>
      <c r="CT305" s="111" t="s">
        <v>33</v>
      </c>
      <c r="CU305" s="174"/>
      <c r="CV305" s="155" t="s">
        <v>34</v>
      </c>
      <c r="CW305" s="141"/>
      <c r="CX305" s="155">
        <v>0</v>
      </c>
      <c r="CY305" s="141"/>
      <c r="DA305" s="125"/>
      <c r="DB305" s="126"/>
      <c r="DC305" s="164"/>
      <c r="DD305" s="2"/>
      <c r="DE305" s="159"/>
      <c r="DF305" s="111" t="s">
        <v>33</v>
      </c>
      <c r="DG305" s="174"/>
      <c r="DH305" s="155" t="s">
        <v>34</v>
      </c>
      <c r="DI305" s="141"/>
      <c r="DJ305" s="155">
        <v>0</v>
      </c>
      <c r="DK305" s="141"/>
      <c r="DM305" s="125"/>
      <c r="DN305" s="126"/>
      <c r="DO305" s="164"/>
      <c r="DP305" s="2"/>
      <c r="DQ305" s="159"/>
      <c r="DR305" s="111" t="s">
        <v>33</v>
      </c>
      <c r="DS305" s="174"/>
      <c r="DT305" s="155" t="s">
        <v>34</v>
      </c>
      <c r="DU305" s="141"/>
      <c r="DV305" s="155">
        <v>0</v>
      </c>
      <c r="DW305" s="141"/>
      <c r="DY305" s="125"/>
      <c r="DZ305" s="126"/>
      <c r="EA305" s="164"/>
      <c r="EC305" s="159"/>
      <c r="ED305" s="111" t="s">
        <v>33</v>
      </c>
      <c r="EE305" s="174"/>
      <c r="EF305" s="155" t="s">
        <v>34</v>
      </c>
      <c r="EG305" s="141"/>
      <c r="EH305" s="155">
        <v>0</v>
      </c>
      <c r="EI305" s="141"/>
      <c r="EK305" s="125"/>
      <c r="EL305" s="126"/>
      <c r="EM305" s="164"/>
      <c r="EO305" s="233"/>
      <c r="EP305" s="111" t="s">
        <v>33</v>
      </c>
      <c r="EQ305" s="124"/>
      <c r="ER305" s="155" t="s">
        <v>34</v>
      </c>
      <c r="ES305" s="141"/>
      <c r="ET305" s="156">
        <f t="shared" si="22"/>
        <v>0</v>
      </c>
      <c r="EU305" s="157"/>
      <c r="EW305" s="125"/>
      <c r="EX305" s="126"/>
      <c r="EY305" s="164"/>
    </row>
    <row r="306" spans="1:155" ht="17.100000000000001" customHeight="1" thickBot="1" x14ac:dyDescent="0.25">
      <c r="A306" s="159"/>
      <c r="B306" s="125"/>
      <c r="C306" s="176"/>
      <c r="D306" s="177" t="s">
        <v>35</v>
      </c>
      <c r="E306" s="178"/>
      <c r="F306" s="177">
        <v>0</v>
      </c>
      <c r="G306" s="178"/>
      <c r="I306" s="7"/>
      <c r="J306" s="8"/>
      <c r="K306" s="9">
        <f>SUM(K300:K305)</f>
        <v>0</v>
      </c>
      <c r="M306" s="159"/>
      <c r="N306" s="125"/>
      <c r="O306" s="176"/>
      <c r="P306" s="177" t="s">
        <v>35</v>
      </c>
      <c r="Q306" s="178"/>
      <c r="R306" s="177">
        <v>0</v>
      </c>
      <c r="S306" s="178"/>
      <c r="U306" s="7"/>
      <c r="V306" s="8"/>
      <c r="W306" s="9">
        <f>SUM(W300:W305)</f>
        <v>0</v>
      </c>
      <c r="Y306" s="159"/>
      <c r="Z306" s="125"/>
      <c r="AA306" s="176"/>
      <c r="AB306" s="177" t="s">
        <v>35</v>
      </c>
      <c r="AC306" s="178"/>
      <c r="AD306" s="177">
        <v>0</v>
      </c>
      <c r="AE306" s="178"/>
      <c r="AG306" s="7"/>
      <c r="AH306" s="8"/>
      <c r="AI306" s="9">
        <f>SUM(AI300:AI305)</f>
        <v>0</v>
      </c>
      <c r="AK306" s="159"/>
      <c r="AL306" s="125"/>
      <c r="AM306" s="176"/>
      <c r="AN306" s="177" t="s">
        <v>35</v>
      </c>
      <c r="AO306" s="178"/>
      <c r="AP306" s="177">
        <v>0</v>
      </c>
      <c r="AQ306" s="178"/>
      <c r="AS306" s="7"/>
      <c r="AT306" s="8"/>
      <c r="AU306" s="9">
        <f>SUM(AU300:AU305)</f>
        <v>0</v>
      </c>
      <c r="AW306" s="159"/>
      <c r="AX306" s="125"/>
      <c r="AY306" s="176"/>
      <c r="AZ306" s="177" t="s">
        <v>35</v>
      </c>
      <c r="BA306" s="178"/>
      <c r="BB306" s="177">
        <v>0</v>
      </c>
      <c r="BC306" s="178"/>
      <c r="BE306" s="7"/>
      <c r="BF306" s="8"/>
      <c r="BG306" s="9">
        <f>SUM(BG300:BG305)</f>
        <v>0</v>
      </c>
      <c r="BI306" s="159"/>
      <c r="BJ306" s="125"/>
      <c r="BK306" s="176"/>
      <c r="BL306" s="177" t="s">
        <v>35</v>
      </c>
      <c r="BM306" s="178"/>
      <c r="BN306" s="177">
        <v>0</v>
      </c>
      <c r="BO306" s="178"/>
      <c r="BQ306" s="7"/>
      <c r="BR306" s="8"/>
      <c r="BS306" s="9">
        <f>SUM(BS300:BS305)</f>
        <v>0</v>
      </c>
      <c r="BU306" s="159"/>
      <c r="BV306" s="125"/>
      <c r="BW306" s="176"/>
      <c r="BX306" s="177" t="s">
        <v>35</v>
      </c>
      <c r="BY306" s="178"/>
      <c r="BZ306" s="177">
        <v>0</v>
      </c>
      <c r="CA306" s="178"/>
      <c r="CC306" s="7"/>
      <c r="CD306" s="8"/>
      <c r="CE306" s="9">
        <f>SUM(CE300:CE305)</f>
        <v>0</v>
      </c>
      <c r="CG306" s="159"/>
      <c r="CH306" s="125"/>
      <c r="CI306" s="176"/>
      <c r="CJ306" s="177" t="s">
        <v>35</v>
      </c>
      <c r="CK306" s="178"/>
      <c r="CL306" s="177">
        <v>0</v>
      </c>
      <c r="CM306" s="178"/>
      <c r="CO306" s="7"/>
      <c r="CP306" s="8"/>
      <c r="CQ306" s="9">
        <f>SUM(CQ300:CQ305)</f>
        <v>0</v>
      </c>
      <c r="CS306" s="159"/>
      <c r="CT306" s="125"/>
      <c r="CU306" s="176"/>
      <c r="CV306" s="177" t="s">
        <v>35</v>
      </c>
      <c r="CW306" s="178"/>
      <c r="CX306" s="177">
        <v>0</v>
      </c>
      <c r="CY306" s="178"/>
      <c r="DA306" s="7"/>
      <c r="DB306" s="8"/>
      <c r="DC306" s="9">
        <f>SUM(DC300:DC305)</f>
        <v>0</v>
      </c>
      <c r="DD306" s="2"/>
      <c r="DE306" s="159"/>
      <c r="DF306" s="125"/>
      <c r="DG306" s="176"/>
      <c r="DH306" s="177" t="s">
        <v>35</v>
      </c>
      <c r="DI306" s="178"/>
      <c r="DJ306" s="177">
        <v>0</v>
      </c>
      <c r="DK306" s="178"/>
      <c r="DM306" s="7"/>
      <c r="DN306" s="8"/>
      <c r="DO306" s="9">
        <f>SUM(DO300:DO305)</f>
        <v>0</v>
      </c>
      <c r="DP306" s="2"/>
      <c r="DQ306" s="159"/>
      <c r="DR306" s="125"/>
      <c r="DS306" s="176"/>
      <c r="DT306" s="177" t="s">
        <v>35</v>
      </c>
      <c r="DU306" s="178"/>
      <c r="DV306" s="177">
        <v>0</v>
      </c>
      <c r="DW306" s="178"/>
      <c r="DY306" s="7"/>
      <c r="DZ306" s="8"/>
      <c r="EA306" s="9">
        <f>SUM(EA300:EA305)</f>
        <v>0</v>
      </c>
      <c r="EC306" s="159"/>
      <c r="ED306" s="125"/>
      <c r="EE306" s="176"/>
      <c r="EF306" s="177" t="s">
        <v>35</v>
      </c>
      <c r="EG306" s="178"/>
      <c r="EH306" s="177">
        <v>0</v>
      </c>
      <c r="EI306" s="178"/>
      <c r="EK306" s="7"/>
      <c r="EL306" s="8"/>
      <c r="EM306" s="9">
        <f>SUM(EM300:EM305)</f>
        <v>0</v>
      </c>
      <c r="EO306" s="233"/>
      <c r="EP306" s="125"/>
      <c r="EQ306" s="126"/>
      <c r="ER306" s="177" t="s">
        <v>35</v>
      </c>
      <c r="ES306" s="178"/>
      <c r="ET306" s="156">
        <f t="shared" si="22"/>
        <v>0</v>
      </c>
      <c r="EU306" s="157"/>
      <c r="EW306" s="7"/>
      <c r="EX306" s="8"/>
      <c r="EY306" s="9">
        <f>SUM(EY300:EY305)</f>
        <v>0</v>
      </c>
    </row>
    <row r="307" spans="1:155" ht="17.100000000000001" customHeight="1" thickBot="1" x14ac:dyDescent="0.25">
      <c r="A307" s="160"/>
      <c r="B307" s="102" t="s">
        <v>36</v>
      </c>
      <c r="C307" s="148"/>
      <c r="D307" s="148"/>
      <c r="E307" s="128"/>
      <c r="F307" s="156">
        <v>0</v>
      </c>
      <c r="G307" s="157"/>
      <c r="I307" s="111" t="s">
        <v>37</v>
      </c>
      <c r="J307" s="124"/>
      <c r="K307" s="162">
        <v>0</v>
      </c>
      <c r="M307" s="160"/>
      <c r="N307" s="102" t="s">
        <v>36</v>
      </c>
      <c r="O307" s="148"/>
      <c r="P307" s="148"/>
      <c r="Q307" s="128"/>
      <c r="R307" s="156">
        <v>0</v>
      </c>
      <c r="S307" s="157"/>
      <c r="U307" s="111" t="s">
        <v>37</v>
      </c>
      <c r="V307" s="124"/>
      <c r="W307" s="162">
        <v>0</v>
      </c>
      <c r="Y307" s="160"/>
      <c r="Z307" s="102" t="s">
        <v>36</v>
      </c>
      <c r="AA307" s="148"/>
      <c r="AB307" s="148"/>
      <c r="AC307" s="128"/>
      <c r="AD307" s="156">
        <v>0</v>
      </c>
      <c r="AE307" s="157"/>
      <c r="AG307" s="111" t="s">
        <v>37</v>
      </c>
      <c r="AH307" s="124"/>
      <c r="AI307" s="162">
        <v>0</v>
      </c>
      <c r="AK307" s="160"/>
      <c r="AL307" s="102" t="s">
        <v>36</v>
      </c>
      <c r="AM307" s="148"/>
      <c r="AN307" s="148"/>
      <c r="AO307" s="128"/>
      <c r="AP307" s="156">
        <v>0</v>
      </c>
      <c r="AQ307" s="157"/>
      <c r="AS307" s="111" t="s">
        <v>37</v>
      </c>
      <c r="AT307" s="124"/>
      <c r="AU307" s="162">
        <v>0</v>
      </c>
      <c r="AW307" s="160"/>
      <c r="AX307" s="102" t="s">
        <v>36</v>
      </c>
      <c r="AY307" s="148"/>
      <c r="AZ307" s="148"/>
      <c r="BA307" s="128"/>
      <c r="BB307" s="156">
        <v>0</v>
      </c>
      <c r="BC307" s="157"/>
      <c r="BE307" s="111" t="s">
        <v>37</v>
      </c>
      <c r="BF307" s="124"/>
      <c r="BG307" s="162">
        <v>0</v>
      </c>
      <c r="BI307" s="160"/>
      <c r="BJ307" s="102" t="s">
        <v>36</v>
      </c>
      <c r="BK307" s="148"/>
      <c r="BL307" s="148"/>
      <c r="BM307" s="128"/>
      <c r="BN307" s="156">
        <v>0</v>
      </c>
      <c r="BO307" s="157"/>
      <c r="BQ307" s="111" t="s">
        <v>37</v>
      </c>
      <c r="BR307" s="124"/>
      <c r="BS307" s="162">
        <v>0</v>
      </c>
      <c r="BU307" s="160"/>
      <c r="BV307" s="102" t="s">
        <v>36</v>
      </c>
      <c r="BW307" s="148"/>
      <c r="BX307" s="148"/>
      <c r="BY307" s="128"/>
      <c r="BZ307" s="156">
        <v>0</v>
      </c>
      <c r="CA307" s="157"/>
      <c r="CC307" s="111" t="s">
        <v>37</v>
      </c>
      <c r="CD307" s="124"/>
      <c r="CE307" s="162">
        <v>0</v>
      </c>
      <c r="CG307" s="160"/>
      <c r="CH307" s="102" t="s">
        <v>36</v>
      </c>
      <c r="CI307" s="148"/>
      <c r="CJ307" s="148"/>
      <c r="CK307" s="128"/>
      <c r="CL307" s="156">
        <v>0</v>
      </c>
      <c r="CM307" s="157"/>
      <c r="CO307" s="111" t="s">
        <v>37</v>
      </c>
      <c r="CP307" s="124"/>
      <c r="CQ307" s="162">
        <v>0</v>
      </c>
      <c r="CS307" s="160"/>
      <c r="CT307" s="102" t="s">
        <v>36</v>
      </c>
      <c r="CU307" s="148"/>
      <c r="CV307" s="148"/>
      <c r="CW307" s="128"/>
      <c r="CX307" s="156">
        <v>0</v>
      </c>
      <c r="CY307" s="157"/>
      <c r="DA307" s="111" t="s">
        <v>37</v>
      </c>
      <c r="DB307" s="124"/>
      <c r="DC307" s="162">
        <v>0</v>
      </c>
      <c r="DD307" s="2"/>
      <c r="DE307" s="160"/>
      <c r="DF307" s="102" t="s">
        <v>36</v>
      </c>
      <c r="DG307" s="148"/>
      <c r="DH307" s="148"/>
      <c r="DI307" s="128"/>
      <c r="DJ307" s="156">
        <v>0</v>
      </c>
      <c r="DK307" s="157"/>
      <c r="DM307" s="111" t="s">
        <v>37</v>
      </c>
      <c r="DN307" s="124"/>
      <c r="DO307" s="162">
        <v>0</v>
      </c>
      <c r="DP307" s="2"/>
      <c r="DQ307" s="160"/>
      <c r="DR307" s="102" t="s">
        <v>36</v>
      </c>
      <c r="DS307" s="148"/>
      <c r="DT307" s="148"/>
      <c r="DU307" s="128"/>
      <c r="DV307" s="156">
        <v>0</v>
      </c>
      <c r="DW307" s="157"/>
      <c r="DY307" s="111" t="s">
        <v>37</v>
      </c>
      <c r="DZ307" s="124"/>
      <c r="EA307" s="162">
        <v>0</v>
      </c>
      <c r="EC307" s="160"/>
      <c r="ED307" s="102" t="s">
        <v>36</v>
      </c>
      <c r="EE307" s="148"/>
      <c r="EF307" s="148"/>
      <c r="EG307" s="128"/>
      <c r="EH307" s="156">
        <v>0</v>
      </c>
      <c r="EI307" s="157"/>
      <c r="EK307" s="111" t="s">
        <v>37</v>
      </c>
      <c r="EL307" s="124"/>
      <c r="EM307" s="162">
        <v>0</v>
      </c>
      <c r="EO307" s="234"/>
      <c r="EP307" s="156" t="s">
        <v>36</v>
      </c>
      <c r="EQ307" s="187"/>
      <c r="ER307" s="187"/>
      <c r="ES307" s="157"/>
      <c r="ET307" s="156">
        <f t="shared" si="22"/>
        <v>0</v>
      </c>
      <c r="EU307" s="157"/>
      <c r="EW307" s="111" t="s">
        <v>37</v>
      </c>
      <c r="EX307" s="124"/>
      <c r="EY307" s="162">
        <f>K307+W307+AI307+AU307+BG307+BS307+CE307+CQ307+DC307+DO307+EA307+EM307</f>
        <v>0</v>
      </c>
    </row>
    <row r="308" spans="1:155" ht="17.100000000000001" customHeight="1" thickBot="1" x14ac:dyDescent="0.25">
      <c r="A308" s="111" t="s">
        <v>38</v>
      </c>
      <c r="B308" s="174"/>
      <c r="C308" s="124"/>
      <c r="D308" s="155" t="s">
        <v>39</v>
      </c>
      <c r="E308" s="161"/>
      <c r="F308" s="155">
        <v>0</v>
      </c>
      <c r="G308" s="141"/>
      <c r="I308" s="113"/>
      <c r="J308" s="112"/>
      <c r="K308" s="163"/>
      <c r="M308" s="111" t="s">
        <v>38</v>
      </c>
      <c r="N308" s="174"/>
      <c r="O308" s="124"/>
      <c r="P308" s="155" t="s">
        <v>39</v>
      </c>
      <c r="Q308" s="161"/>
      <c r="R308" s="155">
        <v>0</v>
      </c>
      <c r="S308" s="141"/>
      <c r="U308" s="113"/>
      <c r="V308" s="112"/>
      <c r="W308" s="163"/>
      <c r="Y308" s="111" t="s">
        <v>38</v>
      </c>
      <c r="Z308" s="174"/>
      <c r="AA308" s="124"/>
      <c r="AB308" s="155" t="s">
        <v>39</v>
      </c>
      <c r="AC308" s="161"/>
      <c r="AD308" s="155">
        <v>0</v>
      </c>
      <c r="AE308" s="141"/>
      <c r="AG308" s="113"/>
      <c r="AH308" s="112"/>
      <c r="AI308" s="163"/>
      <c r="AK308" s="111" t="s">
        <v>38</v>
      </c>
      <c r="AL308" s="174"/>
      <c r="AM308" s="124"/>
      <c r="AN308" s="155" t="s">
        <v>39</v>
      </c>
      <c r="AO308" s="161"/>
      <c r="AP308" s="155">
        <v>0</v>
      </c>
      <c r="AQ308" s="141"/>
      <c r="AS308" s="113"/>
      <c r="AT308" s="112"/>
      <c r="AU308" s="163"/>
      <c r="AW308" s="111" t="s">
        <v>38</v>
      </c>
      <c r="AX308" s="174"/>
      <c r="AY308" s="124"/>
      <c r="AZ308" s="155" t="s">
        <v>39</v>
      </c>
      <c r="BA308" s="161"/>
      <c r="BB308" s="155">
        <v>0</v>
      </c>
      <c r="BC308" s="141"/>
      <c r="BE308" s="113"/>
      <c r="BF308" s="112"/>
      <c r="BG308" s="163"/>
      <c r="BI308" s="111" t="s">
        <v>38</v>
      </c>
      <c r="BJ308" s="174"/>
      <c r="BK308" s="124"/>
      <c r="BL308" s="155" t="s">
        <v>39</v>
      </c>
      <c r="BM308" s="161"/>
      <c r="BN308" s="155">
        <v>0</v>
      </c>
      <c r="BO308" s="141"/>
      <c r="BQ308" s="113"/>
      <c r="BR308" s="112"/>
      <c r="BS308" s="163"/>
      <c r="BU308" s="111" t="s">
        <v>38</v>
      </c>
      <c r="BV308" s="174"/>
      <c r="BW308" s="124"/>
      <c r="BX308" s="155" t="s">
        <v>39</v>
      </c>
      <c r="BY308" s="161"/>
      <c r="BZ308" s="155">
        <v>0</v>
      </c>
      <c r="CA308" s="141"/>
      <c r="CC308" s="113"/>
      <c r="CD308" s="112"/>
      <c r="CE308" s="163"/>
      <c r="CG308" s="111" t="s">
        <v>38</v>
      </c>
      <c r="CH308" s="174"/>
      <c r="CI308" s="124"/>
      <c r="CJ308" s="155" t="s">
        <v>39</v>
      </c>
      <c r="CK308" s="161"/>
      <c r="CL308" s="155">
        <v>0</v>
      </c>
      <c r="CM308" s="141"/>
      <c r="CO308" s="113"/>
      <c r="CP308" s="112"/>
      <c r="CQ308" s="163"/>
      <c r="CS308" s="111" t="s">
        <v>38</v>
      </c>
      <c r="CT308" s="174"/>
      <c r="CU308" s="124"/>
      <c r="CV308" s="155" t="s">
        <v>39</v>
      </c>
      <c r="CW308" s="161"/>
      <c r="CX308" s="155">
        <v>0</v>
      </c>
      <c r="CY308" s="141"/>
      <c r="DA308" s="113"/>
      <c r="DB308" s="112"/>
      <c r="DC308" s="163"/>
      <c r="DD308" s="2"/>
      <c r="DE308" s="111" t="s">
        <v>38</v>
      </c>
      <c r="DF308" s="174"/>
      <c r="DG308" s="124"/>
      <c r="DH308" s="155" t="s">
        <v>39</v>
      </c>
      <c r="DI308" s="161"/>
      <c r="DJ308" s="155">
        <v>0</v>
      </c>
      <c r="DK308" s="141"/>
      <c r="DM308" s="113"/>
      <c r="DN308" s="112"/>
      <c r="DO308" s="163"/>
      <c r="DP308" s="2"/>
      <c r="DQ308" s="111" t="s">
        <v>38</v>
      </c>
      <c r="DR308" s="174"/>
      <c r="DS308" s="124"/>
      <c r="DT308" s="155" t="s">
        <v>39</v>
      </c>
      <c r="DU308" s="161"/>
      <c r="DV308" s="155">
        <v>0</v>
      </c>
      <c r="DW308" s="141"/>
      <c r="DY308" s="113"/>
      <c r="DZ308" s="112"/>
      <c r="EA308" s="163"/>
      <c r="EC308" s="111" t="s">
        <v>38</v>
      </c>
      <c r="ED308" s="174"/>
      <c r="EE308" s="124"/>
      <c r="EF308" s="155" t="s">
        <v>39</v>
      </c>
      <c r="EG308" s="161"/>
      <c r="EH308" s="155">
        <v>0</v>
      </c>
      <c r="EI308" s="141"/>
      <c r="EK308" s="113"/>
      <c r="EL308" s="112"/>
      <c r="EM308" s="163"/>
      <c r="EO308" s="111" t="s">
        <v>38</v>
      </c>
      <c r="EP308" s="174"/>
      <c r="EQ308" s="124"/>
      <c r="ER308" s="155" t="s">
        <v>39</v>
      </c>
      <c r="ES308" s="141"/>
      <c r="ET308" s="156">
        <f t="shared" si="22"/>
        <v>0</v>
      </c>
      <c r="EU308" s="157"/>
      <c r="EW308" s="113"/>
      <c r="EX308" s="112"/>
      <c r="EY308" s="163"/>
    </row>
    <row r="309" spans="1:155" ht="17.100000000000001" customHeight="1" thickBot="1" x14ac:dyDescent="0.25">
      <c r="A309" s="113"/>
      <c r="B309" s="175"/>
      <c r="C309" s="112"/>
      <c r="D309" s="154" t="s">
        <v>40</v>
      </c>
      <c r="E309" s="181"/>
      <c r="F309" s="154">
        <v>0</v>
      </c>
      <c r="G309" s="142"/>
      <c r="I309" s="125"/>
      <c r="J309" s="126"/>
      <c r="K309" s="164"/>
      <c r="M309" s="113"/>
      <c r="N309" s="175"/>
      <c r="O309" s="112"/>
      <c r="P309" s="154" t="s">
        <v>40</v>
      </c>
      <c r="Q309" s="181"/>
      <c r="R309" s="154">
        <v>0</v>
      </c>
      <c r="S309" s="142"/>
      <c r="U309" s="125"/>
      <c r="V309" s="126"/>
      <c r="W309" s="164"/>
      <c r="Y309" s="113"/>
      <c r="Z309" s="175"/>
      <c r="AA309" s="112"/>
      <c r="AB309" s="154" t="s">
        <v>40</v>
      </c>
      <c r="AC309" s="181"/>
      <c r="AD309" s="154">
        <v>0</v>
      </c>
      <c r="AE309" s="142"/>
      <c r="AG309" s="125"/>
      <c r="AH309" s="126"/>
      <c r="AI309" s="164"/>
      <c r="AK309" s="113"/>
      <c r="AL309" s="175"/>
      <c r="AM309" s="112"/>
      <c r="AN309" s="154" t="s">
        <v>40</v>
      </c>
      <c r="AO309" s="181"/>
      <c r="AP309" s="154">
        <v>0</v>
      </c>
      <c r="AQ309" s="142"/>
      <c r="AS309" s="125"/>
      <c r="AT309" s="126"/>
      <c r="AU309" s="164"/>
      <c r="AW309" s="113"/>
      <c r="AX309" s="175"/>
      <c r="AY309" s="112"/>
      <c r="AZ309" s="154" t="s">
        <v>40</v>
      </c>
      <c r="BA309" s="181"/>
      <c r="BB309" s="154">
        <v>0</v>
      </c>
      <c r="BC309" s="142"/>
      <c r="BE309" s="125"/>
      <c r="BF309" s="126"/>
      <c r="BG309" s="164"/>
      <c r="BI309" s="113"/>
      <c r="BJ309" s="175"/>
      <c r="BK309" s="112"/>
      <c r="BL309" s="154" t="s">
        <v>40</v>
      </c>
      <c r="BM309" s="181"/>
      <c r="BN309" s="154">
        <v>0</v>
      </c>
      <c r="BO309" s="142"/>
      <c r="BQ309" s="125"/>
      <c r="BR309" s="126"/>
      <c r="BS309" s="164"/>
      <c r="BU309" s="113"/>
      <c r="BV309" s="175"/>
      <c r="BW309" s="112"/>
      <c r="BX309" s="154" t="s">
        <v>40</v>
      </c>
      <c r="BY309" s="181"/>
      <c r="BZ309" s="154">
        <v>0</v>
      </c>
      <c r="CA309" s="142"/>
      <c r="CC309" s="125"/>
      <c r="CD309" s="126"/>
      <c r="CE309" s="164"/>
      <c r="CG309" s="113"/>
      <c r="CH309" s="175"/>
      <c r="CI309" s="112"/>
      <c r="CJ309" s="154" t="s">
        <v>40</v>
      </c>
      <c r="CK309" s="181"/>
      <c r="CL309" s="154">
        <v>0</v>
      </c>
      <c r="CM309" s="142"/>
      <c r="CO309" s="125"/>
      <c r="CP309" s="126"/>
      <c r="CQ309" s="164"/>
      <c r="CS309" s="113"/>
      <c r="CT309" s="175"/>
      <c r="CU309" s="112"/>
      <c r="CV309" s="154" t="s">
        <v>40</v>
      </c>
      <c r="CW309" s="181"/>
      <c r="CX309" s="154">
        <v>0</v>
      </c>
      <c r="CY309" s="142"/>
      <c r="DA309" s="125"/>
      <c r="DB309" s="126"/>
      <c r="DC309" s="164"/>
      <c r="DD309" s="2"/>
      <c r="DE309" s="113"/>
      <c r="DF309" s="175"/>
      <c r="DG309" s="112"/>
      <c r="DH309" s="154" t="s">
        <v>40</v>
      </c>
      <c r="DI309" s="181"/>
      <c r="DJ309" s="154">
        <v>0</v>
      </c>
      <c r="DK309" s="142"/>
      <c r="DM309" s="125"/>
      <c r="DN309" s="126"/>
      <c r="DO309" s="164"/>
      <c r="DP309" s="2"/>
      <c r="DQ309" s="113"/>
      <c r="DR309" s="175"/>
      <c r="DS309" s="112"/>
      <c r="DT309" s="154" t="s">
        <v>40</v>
      </c>
      <c r="DU309" s="181"/>
      <c r="DV309" s="154">
        <v>0</v>
      </c>
      <c r="DW309" s="142"/>
      <c r="DY309" s="125"/>
      <c r="DZ309" s="126"/>
      <c r="EA309" s="164"/>
      <c r="EC309" s="113"/>
      <c r="ED309" s="175"/>
      <c r="EE309" s="112"/>
      <c r="EF309" s="154" t="s">
        <v>40</v>
      </c>
      <c r="EG309" s="181"/>
      <c r="EH309" s="154">
        <v>0</v>
      </c>
      <c r="EI309" s="142"/>
      <c r="EK309" s="125"/>
      <c r="EL309" s="126"/>
      <c r="EM309" s="164"/>
      <c r="EO309" s="113"/>
      <c r="EP309" s="175"/>
      <c r="EQ309" s="112"/>
      <c r="ER309" s="154" t="s">
        <v>40</v>
      </c>
      <c r="ES309" s="142"/>
      <c r="ET309" s="156">
        <f t="shared" si="22"/>
        <v>0</v>
      </c>
      <c r="EU309" s="157"/>
      <c r="EW309" s="125"/>
      <c r="EX309" s="126"/>
      <c r="EY309" s="164"/>
    </row>
    <row r="310" spans="1:155" ht="17.100000000000001" customHeight="1" thickBot="1" x14ac:dyDescent="0.25">
      <c r="A310" s="113"/>
      <c r="B310" s="175"/>
      <c r="C310" s="112"/>
      <c r="D310" s="154" t="s">
        <v>41</v>
      </c>
      <c r="E310" s="181"/>
      <c r="F310" s="154">
        <v>0</v>
      </c>
      <c r="G310" s="142"/>
      <c r="I310" s="111" t="s">
        <v>20</v>
      </c>
      <c r="J310" s="124"/>
      <c r="K310" s="162">
        <v>0</v>
      </c>
      <c r="M310" s="113"/>
      <c r="N310" s="175"/>
      <c r="O310" s="112"/>
      <c r="P310" s="154" t="s">
        <v>41</v>
      </c>
      <c r="Q310" s="181"/>
      <c r="R310" s="154">
        <v>0</v>
      </c>
      <c r="S310" s="142"/>
      <c r="U310" s="111" t="s">
        <v>20</v>
      </c>
      <c r="V310" s="124"/>
      <c r="W310" s="162">
        <v>0</v>
      </c>
      <c r="Y310" s="113"/>
      <c r="Z310" s="175"/>
      <c r="AA310" s="112"/>
      <c r="AB310" s="154" t="s">
        <v>41</v>
      </c>
      <c r="AC310" s="181"/>
      <c r="AD310" s="154">
        <v>0</v>
      </c>
      <c r="AE310" s="142"/>
      <c r="AG310" s="111" t="s">
        <v>20</v>
      </c>
      <c r="AH310" s="124"/>
      <c r="AI310" s="162">
        <v>0</v>
      </c>
      <c r="AK310" s="113"/>
      <c r="AL310" s="175"/>
      <c r="AM310" s="112"/>
      <c r="AN310" s="154" t="s">
        <v>41</v>
      </c>
      <c r="AO310" s="181"/>
      <c r="AP310" s="154">
        <v>0</v>
      </c>
      <c r="AQ310" s="142"/>
      <c r="AS310" s="111" t="s">
        <v>20</v>
      </c>
      <c r="AT310" s="124"/>
      <c r="AU310" s="162">
        <v>0</v>
      </c>
      <c r="AW310" s="113"/>
      <c r="AX310" s="175"/>
      <c r="AY310" s="112"/>
      <c r="AZ310" s="154" t="s">
        <v>41</v>
      </c>
      <c r="BA310" s="181"/>
      <c r="BB310" s="154">
        <v>0</v>
      </c>
      <c r="BC310" s="142"/>
      <c r="BE310" s="111" t="s">
        <v>20</v>
      </c>
      <c r="BF310" s="124"/>
      <c r="BG310" s="162">
        <v>0</v>
      </c>
      <c r="BI310" s="113"/>
      <c r="BJ310" s="175"/>
      <c r="BK310" s="112"/>
      <c r="BL310" s="154" t="s">
        <v>41</v>
      </c>
      <c r="BM310" s="181"/>
      <c r="BN310" s="154">
        <v>0</v>
      </c>
      <c r="BO310" s="142"/>
      <c r="BQ310" s="111" t="s">
        <v>20</v>
      </c>
      <c r="BR310" s="124"/>
      <c r="BS310" s="162">
        <v>0</v>
      </c>
      <c r="BU310" s="113"/>
      <c r="BV310" s="175"/>
      <c r="BW310" s="112"/>
      <c r="BX310" s="154" t="s">
        <v>41</v>
      </c>
      <c r="BY310" s="181"/>
      <c r="BZ310" s="154">
        <v>0</v>
      </c>
      <c r="CA310" s="142"/>
      <c r="CC310" s="111" t="s">
        <v>20</v>
      </c>
      <c r="CD310" s="124"/>
      <c r="CE310" s="162">
        <v>0</v>
      </c>
      <c r="CG310" s="113"/>
      <c r="CH310" s="175"/>
      <c r="CI310" s="112"/>
      <c r="CJ310" s="154" t="s">
        <v>41</v>
      </c>
      <c r="CK310" s="181"/>
      <c r="CL310" s="154">
        <v>0</v>
      </c>
      <c r="CM310" s="142"/>
      <c r="CO310" s="111" t="s">
        <v>20</v>
      </c>
      <c r="CP310" s="124"/>
      <c r="CQ310" s="162">
        <v>0</v>
      </c>
      <c r="CS310" s="113"/>
      <c r="CT310" s="175"/>
      <c r="CU310" s="112"/>
      <c r="CV310" s="154" t="s">
        <v>41</v>
      </c>
      <c r="CW310" s="181"/>
      <c r="CX310" s="154">
        <v>0</v>
      </c>
      <c r="CY310" s="142"/>
      <c r="DA310" s="111" t="s">
        <v>20</v>
      </c>
      <c r="DB310" s="124"/>
      <c r="DC310" s="162">
        <v>0</v>
      </c>
      <c r="DD310" s="2"/>
      <c r="DE310" s="113"/>
      <c r="DF310" s="175"/>
      <c r="DG310" s="112"/>
      <c r="DH310" s="154" t="s">
        <v>41</v>
      </c>
      <c r="DI310" s="181"/>
      <c r="DJ310" s="154">
        <v>0</v>
      </c>
      <c r="DK310" s="142"/>
      <c r="DM310" s="111" t="s">
        <v>20</v>
      </c>
      <c r="DN310" s="124"/>
      <c r="DO310" s="162">
        <v>0</v>
      </c>
      <c r="DP310" s="2"/>
      <c r="DQ310" s="113"/>
      <c r="DR310" s="175"/>
      <c r="DS310" s="112"/>
      <c r="DT310" s="154" t="s">
        <v>41</v>
      </c>
      <c r="DU310" s="181"/>
      <c r="DV310" s="154">
        <v>0</v>
      </c>
      <c r="DW310" s="142"/>
      <c r="DY310" s="111" t="s">
        <v>20</v>
      </c>
      <c r="DZ310" s="124"/>
      <c r="EA310" s="162">
        <v>0</v>
      </c>
      <c r="EC310" s="113"/>
      <c r="ED310" s="175"/>
      <c r="EE310" s="112"/>
      <c r="EF310" s="154" t="s">
        <v>41</v>
      </c>
      <c r="EG310" s="181"/>
      <c r="EH310" s="154">
        <v>0</v>
      </c>
      <c r="EI310" s="142"/>
      <c r="EK310" s="111" t="s">
        <v>20</v>
      </c>
      <c r="EL310" s="124"/>
      <c r="EM310" s="162">
        <v>0</v>
      </c>
      <c r="EO310" s="113"/>
      <c r="EP310" s="175"/>
      <c r="EQ310" s="112"/>
      <c r="ER310" s="154" t="s">
        <v>41</v>
      </c>
      <c r="ES310" s="142"/>
      <c r="ET310" s="156">
        <f t="shared" si="22"/>
        <v>0</v>
      </c>
      <c r="EU310" s="157"/>
      <c r="EW310" s="111" t="s">
        <v>20</v>
      </c>
      <c r="EX310" s="124"/>
      <c r="EY310" s="162">
        <f>K310+W310+AI310+AU310+BG310+BS310+CE310+CQ310+DC310+DO310+EA310+EM310</f>
        <v>0</v>
      </c>
    </row>
    <row r="311" spans="1:155" ht="17.100000000000001" customHeight="1" thickBot="1" x14ac:dyDescent="0.25">
      <c r="A311" s="125"/>
      <c r="B311" s="175"/>
      <c r="C311" s="112"/>
      <c r="D311" s="188" t="s">
        <v>42</v>
      </c>
      <c r="E311" s="189"/>
      <c r="F311" s="188">
        <v>0</v>
      </c>
      <c r="G311" s="194"/>
      <c r="I311" s="113"/>
      <c r="J311" s="112"/>
      <c r="K311" s="163"/>
      <c r="M311" s="125"/>
      <c r="N311" s="175"/>
      <c r="O311" s="112"/>
      <c r="P311" s="188" t="s">
        <v>42</v>
      </c>
      <c r="Q311" s="189"/>
      <c r="R311" s="188">
        <v>0</v>
      </c>
      <c r="S311" s="194"/>
      <c r="U311" s="113"/>
      <c r="V311" s="112"/>
      <c r="W311" s="163"/>
      <c r="Y311" s="125"/>
      <c r="Z311" s="175"/>
      <c r="AA311" s="112"/>
      <c r="AB311" s="188" t="s">
        <v>42</v>
      </c>
      <c r="AC311" s="189"/>
      <c r="AD311" s="188">
        <v>0</v>
      </c>
      <c r="AE311" s="194"/>
      <c r="AG311" s="113"/>
      <c r="AH311" s="112"/>
      <c r="AI311" s="163"/>
      <c r="AK311" s="125"/>
      <c r="AL311" s="175"/>
      <c r="AM311" s="112"/>
      <c r="AN311" s="188" t="s">
        <v>42</v>
      </c>
      <c r="AO311" s="189"/>
      <c r="AP311" s="188">
        <v>0</v>
      </c>
      <c r="AQ311" s="194"/>
      <c r="AS311" s="113"/>
      <c r="AT311" s="112"/>
      <c r="AU311" s="163"/>
      <c r="AW311" s="125"/>
      <c r="AX311" s="175"/>
      <c r="AY311" s="112"/>
      <c r="AZ311" s="188" t="s">
        <v>42</v>
      </c>
      <c r="BA311" s="189"/>
      <c r="BB311" s="188">
        <v>0</v>
      </c>
      <c r="BC311" s="194"/>
      <c r="BE311" s="113"/>
      <c r="BF311" s="112"/>
      <c r="BG311" s="163"/>
      <c r="BI311" s="125"/>
      <c r="BJ311" s="175"/>
      <c r="BK311" s="112"/>
      <c r="BL311" s="188" t="s">
        <v>42</v>
      </c>
      <c r="BM311" s="189"/>
      <c r="BN311" s="188">
        <v>0</v>
      </c>
      <c r="BO311" s="194"/>
      <c r="BQ311" s="113"/>
      <c r="BR311" s="112"/>
      <c r="BS311" s="163"/>
      <c r="BU311" s="125"/>
      <c r="BV311" s="175"/>
      <c r="BW311" s="112"/>
      <c r="BX311" s="188" t="s">
        <v>42</v>
      </c>
      <c r="BY311" s="189"/>
      <c r="BZ311" s="188">
        <v>0</v>
      </c>
      <c r="CA311" s="194"/>
      <c r="CC311" s="113"/>
      <c r="CD311" s="112"/>
      <c r="CE311" s="163"/>
      <c r="CG311" s="125"/>
      <c r="CH311" s="175"/>
      <c r="CI311" s="112"/>
      <c r="CJ311" s="188" t="s">
        <v>42</v>
      </c>
      <c r="CK311" s="189"/>
      <c r="CL311" s="188">
        <v>0</v>
      </c>
      <c r="CM311" s="194"/>
      <c r="CO311" s="113"/>
      <c r="CP311" s="112"/>
      <c r="CQ311" s="163"/>
      <c r="CS311" s="125"/>
      <c r="CT311" s="175"/>
      <c r="CU311" s="112"/>
      <c r="CV311" s="188" t="s">
        <v>42</v>
      </c>
      <c r="CW311" s="189"/>
      <c r="CX311" s="188">
        <v>0</v>
      </c>
      <c r="CY311" s="194"/>
      <c r="DA311" s="113"/>
      <c r="DB311" s="112"/>
      <c r="DC311" s="163"/>
      <c r="DD311" s="2"/>
      <c r="DE311" s="125"/>
      <c r="DF311" s="175"/>
      <c r="DG311" s="112"/>
      <c r="DH311" s="188" t="s">
        <v>42</v>
      </c>
      <c r="DI311" s="189"/>
      <c r="DJ311" s="188">
        <v>0</v>
      </c>
      <c r="DK311" s="194"/>
      <c r="DM311" s="113"/>
      <c r="DN311" s="112"/>
      <c r="DO311" s="163"/>
      <c r="DP311" s="2"/>
      <c r="DQ311" s="125"/>
      <c r="DR311" s="175"/>
      <c r="DS311" s="112"/>
      <c r="DT311" s="188" t="s">
        <v>42</v>
      </c>
      <c r="DU311" s="189"/>
      <c r="DV311" s="188">
        <v>0</v>
      </c>
      <c r="DW311" s="194"/>
      <c r="DY311" s="113"/>
      <c r="DZ311" s="112"/>
      <c r="EA311" s="163"/>
      <c r="EC311" s="125"/>
      <c r="ED311" s="175"/>
      <c r="EE311" s="112"/>
      <c r="EF311" s="188" t="s">
        <v>42</v>
      </c>
      <c r="EG311" s="189"/>
      <c r="EH311" s="188">
        <v>0</v>
      </c>
      <c r="EI311" s="194"/>
      <c r="EK311" s="113"/>
      <c r="EL311" s="112"/>
      <c r="EM311" s="163"/>
      <c r="EO311" s="125"/>
      <c r="EP311" s="176"/>
      <c r="EQ311" s="126"/>
      <c r="ER311" s="177" t="s">
        <v>42</v>
      </c>
      <c r="ES311" s="178"/>
      <c r="ET311" s="156">
        <f t="shared" si="22"/>
        <v>0</v>
      </c>
      <c r="EU311" s="157"/>
      <c r="EW311" s="113"/>
      <c r="EX311" s="112"/>
      <c r="EY311" s="163"/>
    </row>
    <row r="312" spans="1:155" ht="17.100000000000001" customHeight="1" thickBot="1" x14ac:dyDescent="0.25">
      <c r="A312" s="111" t="s">
        <v>43</v>
      </c>
      <c r="B312" s="61">
        <f>1</f>
        <v>1</v>
      </c>
      <c r="C312" s="62">
        <v>2</v>
      </c>
      <c r="D312" s="62">
        <v>3</v>
      </c>
      <c r="E312" s="62">
        <v>4</v>
      </c>
      <c r="F312" s="62">
        <v>5</v>
      </c>
      <c r="G312" s="80">
        <v>6</v>
      </c>
      <c r="I312" s="125"/>
      <c r="J312" s="126"/>
      <c r="K312" s="164"/>
      <c r="M312" s="111" t="s">
        <v>43</v>
      </c>
      <c r="N312" s="61">
        <f>1</f>
        <v>1</v>
      </c>
      <c r="O312" s="62">
        <v>2</v>
      </c>
      <c r="P312" s="62">
        <v>3</v>
      </c>
      <c r="Q312" s="62">
        <v>4</v>
      </c>
      <c r="R312" s="62">
        <v>5</v>
      </c>
      <c r="S312" s="80">
        <v>6</v>
      </c>
      <c r="U312" s="125"/>
      <c r="V312" s="126"/>
      <c r="W312" s="164"/>
      <c r="Y312" s="111" t="s">
        <v>43</v>
      </c>
      <c r="Z312" s="61">
        <f>1</f>
        <v>1</v>
      </c>
      <c r="AA312" s="62">
        <v>2</v>
      </c>
      <c r="AB312" s="62">
        <v>3</v>
      </c>
      <c r="AC312" s="62">
        <v>4</v>
      </c>
      <c r="AD312" s="62">
        <v>5</v>
      </c>
      <c r="AE312" s="80">
        <v>6</v>
      </c>
      <c r="AG312" s="125"/>
      <c r="AH312" s="126"/>
      <c r="AI312" s="164"/>
      <c r="AK312" s="111" t="s">
        <v>43</v>
      </c>
      <c r="AL312" s="61">
        <f>1</f>
        <v>1</v>
      </c>
      <c r="AM312" s="62">
        <v>2</v>
      </c>
      <c r="AN312" s="62">
        <v>3</v>
      </c>
      <c r="AO312" s="62">
        <v>4</v>
      </c>
      <c r="AP312" s="62">
        <v>5</v>
      </c>
      <c r="AQ312" s="80">
        <v>6</v>
      </c>
      <c r="AS312" s="125"/>
      <c r="AT312" s="126"/>
      <c r="AU312" s="164"/>
      <c r="AW312" s="111" t="s">
        <v>43</v>
      </c>
      <c r="AX312" s="61">
        <f>1</f>
        <v>1</v>
      </c>
      <c r="AY312" s="62">
        <v>2</v>
      </c>
      <c r="AZ312" s="62">
        <v>3</v>
      </c>
      <c r="BA312" s="62">
        <v>4</v>
      </c>
      <c r="BB312" s="62">
        <v>5</v>
      </c>
      <c r="BC312" s="80">
        <v>6</v>
      </c>
      <c r="BE312" s="125"/>
      <c r="BF312" s="126"/>
      <c r="BG312" s="164"/>
      <c r="BI312" s="111" t="s">
        <v>43</v>
      </c>
      <c r="BJ312" s="61">
        <f>1</f>
        <v>1</v>
      </c>
      <c r="BK312" s="62">
        <v>2</v>
      </c>
      <c r="BL312" s="62">
        <v>3</v>
      </c>
      <c r="BM312" s="62">
        <v>4</v>
      </c>
      <c r="BN312" s="62">
        <v>5</v>
      </c>
      <c r="BO312" s="80">
        <v>6</v>
      </c>
      <c r="BQ312" s="125"/>
      <c r="BR312" s="126"/>
      <c r="BS312" s="164"/>
      <c r="BU312" s="111" t="s">
        <v>43</v>
      </c>
      <c r="BV312" s="61">
        <f>1</f>
        <v>1</v>
      </c>
      <c r="BW312" s="62">
        <v>2</v>
      </c>
      <c r="BX312" s="62">
        <v>3</v>
      </c>
      <c r="BY312" s="62">
        <v>4</v>
      </c>
      <c r="BZ312" s="62">
        <v>5</v>
      </c>
      <c r="CA312" s="80">
        <v>6</v>
      </c>
      <c r="CC312" s="125"/>
      <c r="CD312" s="126"/>
      <c r="CE312" s="164"/>
      <c r="CG312" s="111" t="s">
        <v>43</v>
      </c>
      <c r="CH312" s="61">
        <f>1</f>
        <v>1</v>
      </c>
      <c r="CI312" s="62">
        <v>2</v>
      </c>
      <c r="CJ312" s="62">
        <v>3</v>
      </c>
      <c r="CK312" s="62">
        <v>4</v>
      </c>
      <c r="CL312" s="62">
        <v>5</v>
      </c>
      <c r="CM312" s="80">
        <v>6</v>
      </c>
      <c r="CO312" s="125"/>
      <c r="CP312" s="126"/>
      <c r="CQ312" s="164"/>
      <c r="CS312" s="111" t="s">
        <v>43</v>
      </c>
      <c r="CT312" s="61">
        <f>1</f>
        <v>1</v>
      </c>
      <c r="CU312" s="62">
        <v>2</v>
      </c>
      <c r="CV312" s="62">
        <v>3</v>
      </c>
      <c r="CW312" s="62">
        <v>4</v>
      </c>
      <c r="CX312" s="62">
        <v>5</v>
      </c>
      <c r="CY312" s="80">
        <v>6</v>
      </c>
      <c r="DA312" s="125"/>
      <c r="DB312" s="126"/>
      <c r="DC312" s="164"/>
      <c r="DD312" s="2"/>
      <c r="DE312" s="111" t="s">
        <v>43</v>
      </c>
      <c r="DF312" s="61">
        <f>1</f>
        <v>1</v>
      </c>
      <c r="DG312" s="62">
        <v>2</v>
      </c>
      <c r="DH312" s="62">
        <v>3</v>
      </c>
      <c r="DI312" s="62">
        <v>4</v>
      </c>
      <c r="DJ312" s="62">
        <v>5</v>
      </c>
      <c r="DK312" s="80">
        <v>6</v>
      </c>
      <c r="DM312" s="125"/>
      <c r="DN312" s="126"/>
      <c r="DO312" s="164"/>
      <c r="DP312" s="2"/>
      <c r="DQ312" s="111" t="s">
        <v>43</v>
      </c>
      <c r="DR312" s="61">
        <f>1</f>
        <v>1</v>
      </c>
      <c r="DS312" s="62">
        <v>2</v>
      </c>
      <c r="DT312" s="62">
        <v>3</v>
      </c>
      <c r="DU312" s="62">
        <v>4</v>
      </c>
      <c r="DV312" s="62">
        <v>5</v>
      </c>
      <c r="DW312" s="80">
        <v>6</v>
      </c>
      <c r="DY312" s="125"/>
      <c r="DZ312" s="126"/>
      <c r="EA312" s="164"/>
      <c r="EC312" s="111" t="s">
        <v>43</v>
      </c>
      <c r="ED312" s="61">
        <f>1</f>
        <v>1</v>
      </c>
      <c r="EE312" s="62">
        <v>2</v>
      </c>
      <c r="EF312" s="62">
        <v>3</v>
      </c>
      <c r="EG312" s="62">
        <v>4</v>
      </c>
      <c r="EH312" s="62">
        <v>5</v>
      </c>
      <c r="EI312" s="80">
        <v>6</v>
      </c>
      <c r="EK312" s="125"/>
      <c r="EL312" s="126"/>
      <c r="EM312" s="164"/>
      <c r="EO312" s="229" t="s">
        <v>43</v>
      </c>
      <c r="EP312" s="61">
        <f>1</f>
        <v>1</v>
      </c>
      <c r="EQ312" s="62">
        <v>2</v>
      </c>
      <c r="ER312" s="62">
        <v>3</v>
      </c>
      <c r="ES312" s="62">
        <v>4</v>
      </c>
      <c r="ET312" s="62">
        <v>5</v>
      </c>
      <c r="EU312" s="80">
        <v>6</v>
      </c>
      <c r="EW312" s="125"/>
      <c r="EX312" s="126"/>
      <c r="EY312" s="164"/>
    </row>
    <row r="313" spans="1:155" ht="17.100000000000001" customHeight="1" thickBot="1" x14ac:dyDescent="0.25">
      <c r="A313" s="125"/>
      <c r="B313" s="10">
        <v>0</v>
      </c>
      <c r="C313" s="11">
        <v>0</v>
      </c>
      <c r="D313" s="11">
        <v>0</v>
      </c>
      <c r="E313" s="11">
        <v>0</v>
      </c>
      <c r="F313" s="11">
        <v>0</v>
      </c>
      <c r="G313" s="12">
        <v>0</v>
      </c>
      <c r="H313" s="13"/>
      <c r="I313" s="14"/>
      <c r="J313" s="14"/>
      <c r="K313" s="9">
        <f>SUM(K307:K312)</f>
        <v>0</v>
      </c>
      <c r="M313" s="125"/>
      <c r="N313" s="10">
        <v>0</v>
      </c>
      <c r="O313" s="11">
        <v>0</v>
      </c>
      <c r="P313" s="11">
        <v>0</v>
      </c>
      <c r="Q313" s="11">
        <v>0</v>
      </c>
      <c r="R313" s="11">
        <v>0</v>
      </c>
      <c r="S313" s="12">
        <v>0</v>
      </c>
      <c r="T313" s="13"/>
      <c r="U313" s="14"/>
      <c r="V313" s="14"/>
      <c r="W313" s="9">
        <f>SUM(W307:W312)</f>
        <v>0</v>
      </c>
      <c r="Y313" s="125"/>
      <c r="Z313" s="10">
        <v>0</v>
      </c>
      <c r="AA313" s="11">
        <v>0</v>
      </c>
      <c r="AB313" s="11">
        <v>0</v>
      </c>
      <c r="AC313" s="11">
        <v>0</v>
      </c>
      <c r="AD313" s="11">
        <v>0</v>
      </c>
      <c r="AE313" s="12">
        <v>0</v>
      </c>
      <c r="AF313" s="13"/>
      <c r="AG313" s="14"/>
      <c r="AH313" s="14"/>
      <c r="AI313" s="9">
        <f>SUM(AI307:AI312)</f>
        <v>0</v>
      </c>
      <c r="AK313" s="125"/>
      <c r="AL313" s="10">
        <v>0</v>
      </c>
      <c r="AM313" s="11">
        <v>0</v>
      </c>
      <c r="AN313" s="11">
        <v>0</v>
      </c>
      <c r="AO313" s="11">
        <v>0</v>
      </c>
      <c r="AP313" s="11">
        <v>0</v>
      </c>
      <c r="AQ313" s="12">
        <v>0</v>
      </c>
      <c r="AR313" s="13"/>
      <c r="AS313" s="14"/>
      <c r="AT313" s="14"/>
      <c r="AU313" s="9">
        <f>SUM(AU307:AU312)</f>
        <v>0</v>
      </c>
      <c r="AW313" s="125"/>
      <c r="AX313" s="10">
        <v>0</v>
      </c>
      <c r="AY313" s="11">
        <v>0</v>
      </c>
      <c r="AZ313" s="11">
        <v>0</v>
      </c>
      <c r="BA313" s="11">
        <v>0</v>
      </c>
      <c r="BB313" s="11">
        <v>0</v>
      </c>
      <c r="BC313" s="12">
        <v>0</v>
      </c>
      <c r="BD313" s="13"/>
      <c r="BE313" s="14"/>
      <c r="BF313" s="14"/>
      <c r="BG313" s="9">
        <f>SUM(BG307:BG312)</f>
        <v>0</v>
      </c>
      <c r="BI313" s="125"/>
      <c r="BJ313" s="10">
        <v>0</v>
      </c>
      <c r="BK313" s="11">
        <v>0</v>
      </c>
      <c r="BL313" s="11">
        <v>0</v>
      </c>
      <c r="BM313" s="11">
        <v>0</v>
      </c>
      <c r="BN313" s="11">
        <v>0</v>
      </c>
      <c r="BO313" s="12">
        <v>0</v>
      </c>
      <c r="BP313" s="13"/>
      <c r="BQ313" s="14"/>
      <c r="BR313" s="14"/>
      <c r="BS313" s="9">
        <f>SUM(BS307:BS312)</f>
        <v>0</v>
      </c>
      <c r="BU313" s="125"/>
      <c r="BV313" s="10">
        <v>0</v>
      </c>
      <c r="BW313" s="11">
        <v>0</v>
      </c>
      <c r="BX313" s="11">
        <v>0</v>
      </c>
      <c r="BY313" s="11">
        <v>0</v>
      </c>
      <c r="BZ313" s="11">
        <v>0</v>
      </c>
      <c r="CA313" s="12">
        <v>0</v>
      </c>
      <c r="CB313" s="13"/>
      <c r="CC313" s="14"/>
      <c r="CD313" s="14"/>
      <c r="CE313" s="9">
        <f>SUM(CE307:CE312)</f>
        <v>0</v>
      </c>
      <c r="CG313" s="125"/>
      <c r="CH313" s="10">
        <v>0</v>
      </c>
      <c r="CI313" s="11">
        <v>0</v>
      </c>
      <c r="CJ313" s="11">
        <v>0</v>
      </c>
      <c r="CK313" s="11">
        <v>0</v>
      </c>
      <c r="CL313" s="11">
        <v>0</v>
      </c>
      <c r="CM313" s="12">
        <v>0</v>
      </c>
      <c r="CN313" s="13"/>
      <c r="CO313" s="14"/>
      <c r="CP313" s="14"/>
      <c r="CQ313" s="9">
        <f>SUM(CQ307:CQ312)</f>
        <v>0</v>
      </c>
      <c r="CS313" s="125"/>
      <c r="CT313" s="10">
        <v>0</v>
      </c>
      <c r="CU313" s="11">
        <v>0</v>
      </c>
      <c r="CV313" s="11">
        <v>0</v>
      </c>
      <c r="CW313" s="11">
        <v>0</v>
      </c>
      <c r="CX313" s="11">
        <v>0</v>
      </c>
      <c r="CY313" s="12">
        <v>0</v>
      </c>
      <c r="CZ313" s="13"/>
      <c r="DA313" s="14"/>
      <c r="DB313" s="14"/>
      <c r="DC313" s="9">
        <f>SUM(DC307:DC312)</f>
        <v>0</v>
      </c>
      <c r="DD313" s="2"/>
      <c r="DE313" s="125"/>
      <c r="DF313" s="10">
        <v>0</v>
      </c>
      <c r="DG313" s="11">
        <v>0</v>
      </c>
      <c r="DH313" s="11">
        <v>0</v>
      </c>
      <c r="DI313" s="11">
        <v>0</v>
      </c>
      <c r="DJ313" s="11">
        <v>0</v>
      </c>
      <c r="DK313" s="12">
        <v>0</v>
      </c>
      <c r="DL313" s="13"/>
      <c r="DM313" s="14"/>
      <c r="DN313" s="14"/>
      <c r="DO313" s="9">
        <f>SUM(DO307:DO312)</f>
        <v>0</v>
      </c>
      <c r="DP313" s="2"/>
      <c r="DQ313" s="125"/>
      <c r="DR313" s="10">
        <v>0</v>
      </c>
      <c r="DS313" s="11">
        <v>0</v>
      </c>
      <c r="DT313" s="11">
        <v>0</v>
      </c>
      <c r="DU313" s="11">
        <v>0</v>
      </c>
      <c r="DV313" s="11">
        <v>0</v>
      </c>
      <c r="DW313" s="12">
        <v>0</v>
      </c>
      <c r="DX313" s="13"/>
      <c r="DY313" s="14"/>
      <c r="DZ313" s="14"/>
      <c r="EA313" s="9">
        <f>SUM(EA307:EA312)</f>
        <v>0</v>
      </c>
      <c r="EC313" s="125"/>
      <c r="ED313" s="10">
        <v>0</v>
      </c>
      <c r="EE313" s="11">
        <v>0</v>
      </c>
      <c r="EF313" s="11">
        <v>0</v>
      </c>
      <c r="EG313" s="11">
        <v>0</v>
      </c>
      <c r="EH313" s="11">
        <v>0</v>
      </c>
      <c r="EI313" s="12">
        <v>0</v>
      </c>
      <c r="EJ313" s="13"/>
      <c r="EK313" s="14"/>
      <c r="EL313" s="14"/>
      <c r="EM313" s="9">
        <f>SUM(EM307:EM312)</f>
        <v>0</v>
      </c>
      <c r="EO313" s="237"/>
      <c r="EP313" s="10">
        <f t="shared" ref="EP313:EU313" si="23">B313+N313+Z313+AL313+AX313+BJ313+BV313+CH313+CT313+DF313+DR313+ED313</f>
        <v>0</v>
      </c>
      <c r="EQ313" s="10">
        <f t="shared" si="23"/>
        <v>0</v>
      </c>
      <c r="ER313" s="10">
        <f t="shared" si="23"/>
        <v>0</v>
      </c>
      <c r="ES313" s="10">
        <f t="shared" si="23"/>
        <v>0</v>
      </c>
      <c r="ET313" s="10">
        <f t="shared" si="23"/>
        <v>0</v>
      </c>
      <c r="EU313" s="10">
        <f t="shared" si="23"/>
        <v>0</v>
      </c>
      <c r="EV313" s="13"/>
      <c r="EW313" s="14"/>
      <c r="EX313" s="14"/>
      <c r="EY313" s="9">
        <f>SUM(EY307:EY312)</f>
        <v>0</v>
      </c>
    </row>
    <row r="314" spans="1:155" ht="17.100000000000001" customHeight="1" thickBot="1" x14ac:dyDescent="0.25">
      <c r="A314" s="89" t="s">
        <v>62</v>
      </c>
      <c r="B314" s="89"/>
      <c r="C314" s="89"/>
      <c r="D314" s="16"/>
      <c r="E314" s="17" t="s">
        <v>44</v>
      </c>
      <c r="F314" s="18"/>
      <c r="G314" s="60"/>
      <c r="H314" s="97" t="s">
        <v>1</v>
      </c>
      <c r="I314" s="97"/>
      <c r="J314" s="19">
        <f>G1</f>
        <v>1</v>
      </c>
      <c r="K314" s="20">
        <f>SUM(J1)</f>
        <v>1447</v>
      </c>
      <c r="M314" s="89" t="s">
        <v>62</v>
      </c>
      <c r="N314" s="89"/>
      <c r="O314" s="89"/>
      <c r="P314" s="16"/>
      <c r="Q314" s="17" t="s">
        <v>44</v>
      </c>
      <c r="R314" s="18"/>
      <c r="S314" s="60"/>
      <c r="T314" s="97" t="s">
        <v>1</v>
      </c>
      <c r="U314" s="97"/>
      <c r="V314" s="19">
        <f>S1</f>
        <v>2</v>
      </c>
      <c r="W314" s="20">
        <f>SUM(V1)</f>
        <v>1447</v>
      </c>
      <c r="X314" s="88"/>
      <c r="Y314" s="89" t="s">
        <v>62</v>
      </c>
      <c r="Z314" s="89"/>
      <c r="AA314" s="89"/>
      <c r="AB314" s="16"/>
      <c r="AC314" s="17" t="s">
        <v>44</v>
      </c>
      <c r="AD314" s="18"/>
      <c r="AE314" s="60"/>
      <c r="AF314" s="97" t="s">
        <v>1</v>
      </c>
      <c r="AG314" s="97"/>
      <c r="AH314" s="19">
        <f>AE1</f>
        <v>3</v>
      </c>
      <c r="AI314" s="20">
        <f>SUM(AH1)</f>
        <v>1447</v>
      </c>
      <c r="AJ314" s="88"/>
      <c r="AK314" s="89" t="s">
        <v>62</v>
      </c>
      <c r="AL314" s="89"/>
      <c r="AM314" s="89"/>
      <c r="AN314" s="16"/>
      <c r="AO314" s="17" t="s">
        <v>44</v>
      </c>
      <c r="AP314" s="18"/>
      <c r="AQ314" s="60"/>
      <c r="AR314" s="97" t="s">
        <v>1</v>
      </c>
      <c r="AS314" s="97"/>
      <c r="AT314" s="19">
        <f>AQ1</f>
        <v>4</v>
      </c>
      <c r="AU314" s="20">
        <f>SUM(AT1)</f>
        <v>1447</v>
      </c>
      <c r="AV314" s="88"/>
      <c r="AW314" s="89" t="s">
        <v>62</v>
      </c>
      <c r="AX314" s="89"/>
      <c r="AY314" s="89"/>
      <c r="AZ314" s="16"/>
      <c r="BA314" s="17" t="s">
        <v>44</v>
      </c>
      <c r="BB314" s="18"/>
      <c r="BC314" s="60"/>
      <c r="BD314" s="97" t="s">
        <v>1</v>
      </c>
      <c r="BE314" s="97"/>
      <c r="BF314" s="19">
        <f>BC1</f>
        <v>5</v>
      </c>
      <c r="BG314" s="20">
        <f>SUM(BF1)</f>
        <v>1447</v>
      </c>
      <c r="BI314" s="89" t="s">
        <v>62</v>
      </c>
      <c r="BJ314" s="89"/>
      <c r="BK314" s="89"/>
      <c r="BL314" s="16"/>
      <c r="BM314" s="17" t="s">
        <v>44</v>
      </c>
      <c r="BN314" s="18"/>
      <c r="BO314" s="60"/>
      <c r="BP314" s="97" t="s">
        <v>1</v>
      </c>
      <c r="BQ314" s="97"/>
      <c r="BR314" s="19">
        <f>BO1</f>
        <v>6</v>
      </c>
      <c r="BS314" s="20">
        <f>SUM(BR1)</f>
        <v>1447</v>
      </c>
      <c r="BU314" s="89" t="s">
        <v>62</v>
      </c>
      <c r="BV314" s="89"/>
      <c r="BW314" s="89"/>
      <c r="BX314" s="16"/>
      <c r="BY314" s="17" t="s">
        <v>44</v>
      </c>
      <c r="BZ314" s="18"/>
      <c r="CA314" s="60"/>
      <c r="CB314" s="97" t="s">
        <v>1</v>
      </c>
      <c r="CC314" s="97"/>
      <c r="CD314" s="19">
        <f>CA1</f>
        <v>7</v>
      </c>
      <c r="CE314" s="20">
        <f>SUM(CD1)</f>
        <v>1447</v>
      </c>
      <c r="CG314" s="89" t="s">
        <v>62</v>
      </c>
      <c r="CH314" s="89"/>
      <c r="CI314" s="89"/>
      <c r="CJ314" s="16"/>
      <c r="CK314" s="17" t="s">
        <v>44</v>
      </c>
      <c r="CL314" s="18"/>
      <c r="CM314" s="60"/>
      <c r="CN314" s="97" t="s">
        <v>1</v>
      </c>
      <c r="CO314" s="97"/>
      <c r="CP314" s="19">
        <f>CM1</f>
        <v>8</v>
      </c>
      <c r="CQ314" s="20">
        <f>SUM(CP1)</f>
        <v>1447</v>
      </c>
      <c r="CS314" s="89" t="s">
        <v>62</v>
      </c>
      <c r="CT314" s="89"/>
      <c r="CU314" s="89"/>
      <c r="CV314" s="16"/>
      <c r="CW314" s="17" t="s">
        <v>44</v>
      </c>
      <c r="CX314" s="18"/>
      <c r="CY314" s="60"/>
      <c r="CZ314" s="97" t="s">
        <v>1</v>
      </c>
      <c r="DA314" s="97"/>
      <c r="DB314" s="19">
        <f>CY1</f>
        <v>9</v>
      </c>
      <c r="DC314" s="20">
        <f>SUM(DB1)</f>
        <v>1447</v>
      </c>
      <c r="DD314" s="2"/>
      <c r="DE314" s="89" t="s">
        <v>62</v>
      </c>
      <c r="DF314" s="89"/>
      <c r="DG314" s="89"/>
      <c r="DH314" s="16"/>
      <c r="DI314" s="17" t="s">
        <v>44</v>
      </c>
      <c r="DJ314" s="18"/>
      <c r="DK314" s="60"/>
      <c r="DL314" s="97" t="s">
        <v>1</v>
      </c>
      <c r="DM314" s="97"/>
      <c r="DN314" s="19">
        <f>DK1</f>
        <v>10</v>
      </c>
      <c r="DO314" s="20">
        <f>SUM(DN1)</f>
        <v>1447</v>
      </c>
      <c r="DP314" s="2"/>
      <c r="DQ314" s="89" t="s">
        <v>62</v>
      </c>
      <c r="DR314" s="89"/>
      <c r="DS314" s="89"/>
      <c r="DT314" s="16"/>
      <c r="DU314" s="17" t="s">
        <v>44</v>
      </c>
      <c r="DV314" s="18"/>
      <c r="DW314" s="60"/>
      <c r="DX314" s="97" t="s">
        <v>1</v>
      </c>
      <c r="DY314" s="97"/>
      <c r="DZ314" s="19">
        <f>DW1</f>
        <v>11</v>
      </c>
      <c r="EA314" s="20">
        <f>SUM(DZ1)</f>
        <v>1447</v>
      </c>
      <c r="EC314" s="89" t="s">
        <v>62</v>
      </c>
      <c r="ED314" s="89"/>
      <c r="EE314" s="89"/>
      <c r="EF314" s="16"/>
      <c r="EG314" s="17" t="s">
        <v>44</v>
      </c>
      <c r="EH314" s="18"/>
      <c r="EI314" s="60"/>
      <c r="EJ314" s="97" t="s">
        <v>1</v>
      </c>
      <c r="EK314" s="97"/>
      <c r="EL314" s="19">
        <f>EI1</f>
        <v>12</v>
      </c>
      <c r="EM314" s="20">
        <f>SUM(EL1)</f>
        <v>1447</v>
      </c>
      <c r="EO314" s="89" t="s">
        <v>62</v>
      </c>
      <c r="EP314" s="89"/>
      <c r="EQ314" s="89"/>
      <c r="ER314" s="16"/>
      <c r="ES314" s="17" t="s">
        <v>44</v>
      </c>
      <c r="ET314" s="18"/>
      <c r="EU314" s="60"/>
      <c r="EV314" s="97"/>
      <c r="EW314" s="97"/>
      <c r="EX314" s="19" t="s">
        <v>2</v>
      </c>
      <c r="EY314" s="20">
        <f>SUM(EX1)</f>
        <v>1447</v>
      </c>
    </row>
    <row r="315" spans="1:155" ht="17.100000000000001" customHeight="1" thickBot="1" x14ac:dyDescent="0.25">
      <c r="A315" s="102" t="s">
        <v>4</v>
      </c>
      <c r="B315" s="148"/>
      <c r="C315" s="148"/>
      <c r="D315" s="148"/>
      <c r="E315" s="128"/>
      <c r="F315" s="102" t="s">
        <v>5</v>
      </c>
      <c r="G315" s="128"/>
      <c r="I315" s="102" t="s">
        <v>6</v>
      </c>
      <c r="J315" s="143" t="s">
        <v>7</v>
      </c>
      <c r="K315" s="141">
        <f>K3+K29+K55+K81+K107+K133+K159+K185+K211+K237+K263+K289</f>
        <v>720</v>
      </c>
      <c r="M315" s="102" t="s">
        <v>4</v>
      </c>
      <c r="N315" s="148"/>
      <c r="O315" s="148"/>
      <c r="P315" s="148"/>
      <c r="Q315" s="128"/>
      <c r="R315" s="102" t="s">
        <v>5</v>
      </c>
      <c r="S315" s="128"/>
      <c r="U315" s="102" t="s">
        <v>6</v>
      </c>
      <c r="V315" s="143" t="s">
        <v>7</v>
      </c>
      <c r="W315" s="141">
        <f>W3+W29+W55+W81+W107+W133+W159+W185+W211+W237+W263+W289</f>
        <v>816</v>
      </c>
      <c r="X315" s="87"/>
      <c r="Y315" s="102" t="s">
        <v>4</v>
      </c>
      <c r="Z315" s="148"/>
      <c r="AA315" s="148"/>
      <c r="AB315" s="148"/>
      <c r="AC315" s="128"/>
      <c r="AD315" s="102" t="s">
        <v>5</v>
      </c>
      <c r="AE315" s="128"/>
      <c r="AG315" s="102" t="s">
        <v>6</v>
      </c>
      <c r="AH315" s="143" t="s">
        <v>7</v>
      </c>
      <c r="AI315" s="141">
        <f>AI3+AI29+AI55+AI81+AI107+AI133+AI159+AI185+AI211+AI237+AI263+AI289</f>
        <v>814</v>
      </c>
      <c r="AJ315" s="87"/>
      <c r="AK315" s="102" t="s">
        <v>4</v>
      </c>
      <c r="AL315" s="148"/>
      <c r="AM315" s="148"/>
      <c r="AN315" s="148"/>
      <c r="AO315" s="128"/>
      <c r="AP315" s="102" t="s">
        <v>5</v>
      </c>
      <c r="AQ315" s="128"/>
      <c r="AS315" s="102" t="s">
        <v>6</v>
      </c>
      <c r="AT315" s="143" t="s">
        <v>7</v>
      </c>
      <c r="AU315" s="141">
        <f>AU3+AU29+AU55+AU81+AU107+AU133+AU159+AU185+AU211+AU237+AU263+AU289</f>
        <v>816</v>
      </c>
      <c r="AW315" s="102" t="s">
        <v>4</v>
      </c>
      <c r="AX315" s="148"/>
      <c r="AY315" s="148"/>
      <c r="AZ315" s="148"/>
      <c r="BA315" s="128"/>
      <c r="BB315" s="102" t="s">
        <v>5</v>
      </c>
      <c r="BC315" s="128"/>
      <c r="BE315" s="102" t="s">
        <v>6</v>
      </c>
      <c r="BF315" s="143" t="s">
        <v>7</v>
      </c>
      <c r="BG315" s="141">
        <f>BG3+BG29+BG55+BG81+BG107+BG133+BG159+BG185+BG211+BG237+BG263+BG289</f>
        <v>1024</v>
      </c>
      <c r="BI315" s="102" t="s">
        <v>4</v>
      </c>
      <c r="BJ315" s="148"/>
      <c r="BK315" s="148"/>
      <c r="BL315" s="148"/>
      <c r="BM315" s="128"/>
      <c r="BN315" s="102" t="s">
        <v>5</v>
      </c>
      <c r="BO315" s="128"/>
      <c r="BQ315" s="102" t="s">
        <v>6</v>
      </c>
      <c r="BR315" s="143" t="s">
        <v>7</v>
      </c>
      <c r="BS315" s="141">
        <f>BS3+BS29+BS55+BS81+BS107+BS133+BS159+BS185+BS211+BS237+BS263+BS289</f>
        <v>1068</v>
      </c>
      <c r="BU315" s="102" t="s">
        <v>4</v>
      </c>
      <c r="BV315" s="148"/>
      <c r="BW315" s="148"/>
      <c r="BX315" s="148"/>
      <c r="BY315" s="128"/>
      <c r="BZ315" s="102" t="s">
        <v>5</v>
      </c>
      <c r="CA315" s="128"/>
      <c r="CC315" s="102" t="s">
        <v>6</v>
      </c>
      <c r="CD315" s="143" t="s">
        <v>7</v>
      </c>
      <c r="CE315" s="141">
        <f>CE3+CE29+CE55+CE81+CE107+CE133+CE159+CE185+CE211+CE237+CE263+CE289</f>
        <v>783</v>
      </c>
      <c r="CG315" s="102" t="s">
        <v>4</v>
      </c>
      <c r="CH315" s="148"/>
      <c r="CI315" s="148"/>
      <c r="CJ315" s="148"/>
      <c r="CK315" s="128"/>
      <c r="CL315" s="102" t="s">
        <v>5</v>
      </c>
      <c r="CM315" s="128"/>
      <c r="CO315" s="102" t="s">
        <v>6</v>
      </c>
      <c r="CP315" s="143" t="s">
        <v>7</v>
      </c>
      <c r="CQ315" s="141">
        <f>CQ3+CQ29+CQ55+CQ81+CQ107+CQ133+CQ159+CQ185+CQ211+CQ237+CQ263+CQ289</f>
        <v>576</v>
      </c>
      <c r="CS315" s="102" t="s">
        <v>4</v>
      </c>
      <c r="CT315" s="148"/>
      <c r="CU315" s="148"/>
      <c r="CV315" s="148"/>
      <c r="CW315" s="128"/>
      <c r="CX315" s="102" t="s">
        <v>5</v>
      </c>
      <c r="CY315" s="128"/>
      <c r="DA315" s="102" t="s">
        <v>6</v>
      </c>
      <c r="DB315" s="143" t="s">
        <v>7</v>
      </c>
      <c r="DC315" s="141">
        <f>DC3+DC29+DC55+DC81+DC107+DC133+DC159+DC185+DC211+DC237+DC263+DC289</f>
        <v>0</v>
      </c>
      <c r="DD315" s="2"/>
      <c r="DE315" s="102" t="s">
        <v>4</v>
      </c>
      <c r="DF315" s="148"/>
      <c r="DG315" s="148"/>
      <c r="DH315" s="148"/>
      <c r="DI315" s="128"/>
      <c r="DJ315" s="102" t="s">
        <v>5</v>
      </c>
      <c r="DK315" s="128"/>
      <c r="DM315" s="102" t="s">
        <v>6</v>
      </c>
      <c r="DN315" s="143" t="s">
        <v>7</v>
      </c>
      <c r="DO315" s="141">
        <f>DO3+DO29+DO55+DO81+DO107+DO133+DO159+DO185+DO211+DO237+DO263+DO289</f>
        <v>711</v>
      </c>
      <c r="DP315" s="2"/>
      <c r="DQ315" s="102" t="s">
        <v>4</v>
      </c>
      <c r="DR315" s="148"/>
      <c r="DS315" s="148"/>
      <c r="DT315" s="148"/>
      <c r="DU315" s="128"/>
      <c r="DV315" s="102" t="s">
        <v>5</v>
      </c>
      <c r="DW315" s="128"/>
      <c r="DY315" s="102" t="s">
        <v>6</v>
      </c>
      <c r="DZ315" s="143" t="s">
        <v>7</v>
      </c>
      <c r="EA315" s="141">
        <f>EA3+EA29+EA55+EA81+EA107+EA133+EA159+EA185+EA211+EA237+EA263+EA289</f>
        <v>0</v>
      </c>
      <c r="EC315" s="102" t="s">
        <v>4</v>
      </c>
      <c r="ED315" s="148"/>
      <c r="EE315" s="148"/>
      <c r="EF315" s="148"/>
      <c r="EG315" s="128"/>
      <c r="EH315" s="102" t="s">
        <v>5</v>
      </c>
      <c r="EI315" s="128"/>
      <c r="EK315" s="102" t="s">
        <v>6</v>
      </c>
      <c r="EL315" s="143" t="s">
        <v>7</v>
      </c>
      <c r="EM315" s="141">
        <f>EM3+EM29+EM55+EM81+EM107+EM133+EM159+EM185+EM211+EM237+EM263+EM289</f>
        <v>0</v>
      </c>
      <c r="EO315" s="102" t="s">
        <v>4</v>
      </c>
      <c r="EP315" s="148"/>
      <c r="EQ315" s="148"/>
      <c r="ER315" s="148"/>
      <c r="ES315" s="128"/>
      <c r="ET315" s="102" t="s">
        <v>5</v>
      </c>
      <c r="EU315" s="128"/>
      <c r="EW315" s="102" t="s">
        <v>6</v>
      </c>
      <c r="EX315" s="143" t="s">
        <v>7</v>
      </c>
      <c r="EY315" s="141">
        <f>EY3+EY29+EY55+EY81+EY107+EY133+EY159+EY185+EY211+EY237+EY263+EY289</f>
        <v>7328</v>
      </c>
    </row>
    <row r="316" spans="1:155" ht="17.100000000000001" customHeight="1" thickBot="1" x14ac:dyDescent="0.25">
      <c r="A316" s="104" t="s">
        <v>8</v>
      </c>
      <c r="B316" s="145"/>
      <c r="C316" s="105"/>
      <c r="D316" s="114" t="s">
        <v>9</v>
      </c>
      <c r="E316" s="117"/>
      <c r="F316" s="114">
        <f>F4+F30+F56+F82+F108+F134+F160+F186+F212+F238+F264+F290</f>
        <v>217</v>
      </c>
      <c r="G316" s="115"/>
      <c r="I316" s="103"/>
      <c r="J316" s="140"/>
      <c r="K316" s="142"/>
      <c r="M316" s="104" t="s">
        <v>8</v>
      </c>
      <c r="N316" s="145"/>
      <c r="O316" s="105"/>
      <c r="P316" s="114" t="s">
        <v>9</v>
      </c>
      <c r="Q316" s="117"/>
      <c r="R316" s="114">
        <f>R4+R30+R56+R82+R108+R134+R160+R186+R212+R238+R264+R290</f>
        <v>169</v>
      </c>
      <c r="S316" s="115"/>
      <c r="U316" s="103"/>
      <c r="V316" s="140"/>
      <c r="W316" s="142"/>
      <c r="X316" s="87"/>
      <c r="Y316" s="104" t="s">
        <v>8</v>
      </c>
      <c r="Z316" s="145"/>
      <c r="AA316" s="105"/>
      <c r="AB316" s="114" t="s">
        <v>9</v>
      </c>
      <c r="AC316" s="117"/>
      <c r="AD316" s="114">
        <f>AD4+AD30+AD56+AD82+AD108+AD134+AD160+AD186+AD212+AD238+AD264+AD290</f>
        <v>71</v>
      </c>
      <c r="AE316" s="115"/>
      <c r="AG316" s="103"/>
      <c r="AH316" s="140"/>
      <c r="AI316" s="142"/>
      <c r="AJ316" s="87"/>
      <c r="AK316" s="104" t="s">
        <v>8</v>
      </c>
      <c r="AL316" s="145"/>
      <c r="AM316" s="105"/>
      <c r="AN316" s="114" t="s">
        <v>9</v>
      </c>
      <c r="AO316" s="117"/>
      <c r="AP316" s="114">
        <f>AP4+AP30+AP56+AP82+AP108+AP134+AP160+AP186+AP212+AP238+AP264+AP290</f>
        <v>234</v>
      </c>
      <c r="AQ316" s="115"/>
      <c r="AS316" s="103"/>
      <c r="AT316" s="140"/>
      <c r="AU316" s="142"/>
      <c r="AW316" s="104" t="s">
        <v>8</v>
      </c>
      <c r="AX316" s="145"/>
      <c r="AY316" s="105"/>
      <c r="AZ316" s="114" t="s">
        <v>9</v>
      </c>
      <c r="BA316" s="117"/>
      <c r="BB316" s="114">
        <f>BB4+BB30+BB56+BB82+BB108+BB134+BB160+BB186+BB212+BB238+BB264+BB290</f>
        <v>36</v>
      </c>
      <c r="BC316" s="115"/>
      <c r="BE316" s="103"/>
      <c r="BF316" s="140"/>
      <c r="BG316" s="142"/>
      <c r="BI316" s="104" t="s">
        <v>8</v>
      </c>
      <c r="BJ316" s="145"/>
      <c r="BK316" s="105"/>
      <c r="BL316" s="114" t="s">
        <v>9</v>
      </c>
      <c r="BM316" s="117"/>
      <c r="BN316" s="114">
        <f>BN4+BN30+BN56+BN82+BN108+BN134+BN160+BN186+BN212+BN238+BN264+BN290</f>
        <v>86</v>
      </c>
      <c r="BO316" s="115"/>
      <c r="BQ316" s="103"/>
      <c r="BR316" s="140"/>
      <c r="BS316" s="142"/>
      <c r="BU316" s="104" t="s">
        <v>8</v>
      </c>
      <c r="BV316" s="145"/>
      <c r="BW316" s="105"/>
      <c r="BX316" s="114" t="s">
        <v>9</v>
      </c>
      <c r="BY316" s="117"/>
      <c r="BZ316" s="114">
        <f>BZ4+BZ30+BZ56+BZ82+BZ108+BZ134+BZ160+BZ186+BZ212+BZ238+BZ264+BZ290</f>
        <v>234</v>
      </c>
      <c r="CA316" s="115"/>
      <c r="CC316" s="103"/>
      <c r="CD316" s="140"/>
      <c r="CE316" s="142"/>
      <c r="CG316" s="104" t="s">
        <v>8</v>
      </c>
      <c r="CH316" s="145"/>
      <c r="CI316" s="105"/>
      <c r="CJ316" s="114" t="s">
        <v>9</v>
      </c>
      <c r="CK316" s="117"/>
      <c r="CL316" s="114">
        <f>CL4+CL30+CL56+CL82+CL108+CL134+CL160+CL186+CL212+CL238+CL264+CL290</f>
        <v>0</v>
      </c>
      <c r="CM316" s="115"/>
      <c r="CO316" s="103"/>
      <c r="CP316" s="140"/>
      <c r="CQ316" s="142"/>
      <c r="CS316" s="104" t="s">
        <v>8</v>
      </c>
      <c r="CT316" s="145"/>
      <c r="CU316" s="105"/>
      <c r="CV316" s="114" t="s">
        <v>9</v>
      </c>
      <c r="CW316" s="117"/>
      <c r="CX316" s="114">
        <f>CX4+CX30+CX56+CX82+CX108+CX134+CX160+CX186+CX212+CX238+CX264+CX290</f>
        <v>0</v>
      </c>
      <c r="CY316" s="115"/>
      <c r="DA316" s="103"/>
      <c r="DB316" s="140"/>
      <c r="DC316" s="142"/>
      <c r="DD316" s="2"/>
      <c r="DE316" s="104" t="s">
        <v>8</v>
      </c>
      <c r="DF316" s="145"/>
      <c r="DG316" s="105"/>
      <c r="DH316" s="114" t="s">
        <v>9</v>
      </c>
      <c r="DI316" s="117"/>
      <c r="DJ316" s="114">
        <f>DJ4+DJ30+DJ56+DJ82+DJ108+DJ134+DJ160+DJ186+DJ212+DJ238+DJ264+DJ290</f>
        <v>0</v>
      </c>
      <c r="DK316" s="115"/>
      <c r="DM316" s="103"/>
      <c r="DN316" s="140"/>
      <c r="DO316" s="142"/>
      <c r="DP316" s="2"/>
      <c r="DQ316" s="104" t="s">
        <v>8</v>
      </c>
      <c r="DR316" s="145"/>
      <c r="DS316" s="105"/>
      <c r="DT316" s="114" t="s">
        <v>9</v>
      </c>
      <c r="DU316" s="117"/>
      <c r="DV316" s="114">
        <f>DV4+DV30+DV56+DV82+DV108+DV134+DV160+DV186+DV212+DV238+DV264+DV290</f>
        <v>0</v>
      </c>
      <c r="DW316" s="115"/>
      <c r="DY316" s="103"/>
      <c r="DZ316" s="140"/>
      <c r="EA316" s="142"/>
      <c r="EC316" s="104" t="s">
        <v>8</v>
      </c>
      <c r="ED316" s="145"/>
      <c r="EE316" s="105"/>
      <c r="EF316" s="114" t="s">
        <v>9</v>
      </c>
      <c r="EG316" s="117"/>
      <c r="EH316" s="114">
        <f>EH4+EH30+EH56+EH82+EH108+EH134+EH160+EH186+EH212+EH238+EH264+EH290</f>
        <v>0</v>
      </c>
      <c r="EI316" s="115"/>
      <c r="EK316" s="103"/>
      <c r="EL316" s="140"/>
      <c r="EM316" s="142"/>
      <c r="EO316" s="104" t="s">
        <v>8</v>
      </c>
      <c r="EP316" s="145"/>
      <c r="EQ316" s="105"/>
      <c r="ER316" s="114" t="s">
        <v>9</v>
      </c>
      <c r="ES316" s="117"/>
      <c r="ET316" s="114">
        <f>ET4+ET30+ET56+ET82+ET108+ET134+ET160+ET186+ET212+ET238+ET264+ET290</f>
        <v>1047</v>
      </c>
      <c r="EU316" s="115"/>
      <c r="EW316" s="103"/>
      <c r="EX316" s="140"/>
      <c r="EY316" s="142"/>
    </row>
    <row r="317" spans="1:155" ht="17.100000000000001" customHeight="1" thickBot="1" x14ac:dyDescent="0.25">
      <c r="A317" s="106"/>
      <c r="B317" s="132"/>
      <c r="C317" s="107"/>
      <c r="D317" s="147" t="s">
        <v>10</v>
      </c>
      <c r="E317" s="101"/>
      <c r="F317" s="114">
        <f t="shared" ref="F317:F337" si="24">F5+F31+F57+F83+F109+F135+F161+F187+F213+F239+F265+F291</f>
        <v>130</v>
      </c>
      <c r="G317" s="115"/>
      <c r="I317" s="103"/>
      <c r="J317" s="140" t="s">
        <v>11</v>
      </c>
      <c r="K317" s="141" t="e">
        <f>K5+K31+K57+K83+K109+K135+K161+K187+K213+K239+K265+K291</f>
        <v>#VALUE!</v>
      </c>
      <c r="M317" s="106"/>
      <c r="N317" s="132"/>
      <c r="O317" s="107"/>
      <c r="P317" s="147" t="s">
        <v>10</v>
      </c>
      <c r="Q317" s="101"/>
      <c r="R317" s="114">
        <f t="shared" ref="R317:R337" si="25">R5+R31+R57+R83+R109+R135+R161+R187+R213+R239+R265+R291</f>
        <v>129</v>
      </c>
      <c r="S317" s="115"/>
      <c r="U317" s="103"/>
      <c r="V317" s="140" t="s">
        <v>11</v>
      </c>
      <c r="W317" s="141">
        <f>W5+W31+W57+W83+W109+W135+W161+W187+W213+W239+W265+W291</f>
        <v>1233</v>
      </c>
      <c r="X317" s="87"/>
      <c r="Y317" s="106"/>
      <c r="Z317" s="132"/>
      <c r="AA317" s="107"/>
      <c r="AB317" s="147" t="s">
        <v>10</v>
      </c>
      <c r="AC317" s="101"/>
      <c r="AD317" s="114">
        <f t="shared" ref="AD317:AD337" si="26">AD5+AD31+AD57+AD83+AD109+AD135+AD161+AD187+AD213+AD239+AD265+AD291</f>
        <v>188</v>
      </c>
      <c r="AE317" s="115"/>
      <c r="AG317" s="103"/>
      <c r="AH317" s="140" t="s">
        <v>11</v>
      </c>
      <c r="AI317" s="141">
        <f>AI5+AI31+AI57+AI83+AI109+AI135+AI161+AI187+AI213+AI239+AI265+AI291</f>
        <v>1150</v>
      </c>
      <c r="AJ317" s="87"/>
      <c r="AK317" s="106"/>
      <c r="AL317" s="132"/>
      <c r="AM317" s="107"/>
      <c r="AN317" s="147" t="s">
        <v>10</v>
      </c>
      <c r="AO317" s="101"/>
      <c r="AP317" s="114">
        <f t="shared" ref="AP317:AP337" si="27">AP5+AP31+AP57+AP83+AP109+AP135+AP161+AP187+AP213+AP239+AP265+AP291</f>
        <v>138</v>
      </c>
      <c r="AQ317" s="115"/>
      <c r="AS317" s="103"/>
      <c r="AT317" s="140" t="s">
        <v>11</v>
      </c>
      <c r="AU317" s="141">
        <f>AU5+AU31+AU57+AU83+AU109+AU135+AU161+AU187+AU213+AU239+AU265+AU291</f>
        <v>1057</v>
      </c>
      <c r="AW317" s="106"/>
      <c r="AX317" s="132"/>
      <c r="AY317" s="107"/>
      <c r="AZ317" s="147" t="s">
        <v>10</v>
      </c>
      <c r="BA317" s="101"/>
      <c r="BB317" s="114">
        <f t="shared" ref="BB317:BB337" si="28">BB5+BB31+BB57+BB83+BB109+BB135+BB161+BB187+BB213+BB239+BB265+BB291</f>
        <v>7</v>
      </c>
      <c r="BC317" s="115"/>
      <c r="BE317" s="103"/>
      <c r="BF317" s="140" t="s">
        <v>11</v>
      </c>
      <c r="BG317" s="141">
        <f>BG5+BG31+BG57+BG83+BG109+BG135+BG161+BG187+BG213+BG239+BG265+BG291</f>
        <v>1203</v>
      </c>
      <c r="BI317" s="106"/>
      <c r="BJ317" s="132"/>
      <c r="BK317" s="107"/>
      <c r="BL317" s="147" t="s">
        <v>10</v>
      </c>
      <c r="BM317" s="101"/>
      <c r="BN317" s="114">
        <f t="shared" ref="BN317:BN337" si="29">BN5+BN31+BN57+BN83+BN109+BN135+BN161+BN187+BN213+BN239+BN265+BN291</f>
        <v>98</v>
      </c>
      <c r="BO317" s="115"/>
      <c r="BQ317" s="103"/>
      <c r="BR317" s="140" t="s">
        <v>11</v>
      </c>
      <c r="BS317" s="141">
        <f>BS5+BS31+BS57+BS83+BS109+BS135+BS161+BS187+BS213+BS239+BS265+BS291</f>
        <v>1048</v>
      </c>
      <c r="BU317" s="106"/>
      <c r="BV317" s="132"/>
      <c r="BW317" s="107"/>
      <c r="BX317" s="147" t="s">
        <v>10</v>
      </c>
      <c r="BY317" s="101"/>
      <c r="BZ317" s="114">
        <f t="shared" ref="BZ317:BZ337" si="30">BZ5+BZ31+BZ57+BZ83+BZ109+BZ135+BZ161+BZ187+BZ213+BZ239+BZ265+BZ291</f>
        <v>142</v>
      </c>
      <c r="CA317" s="115"/>
      <c r="CC317" s="103"/>
      <c r="CD317" s="140" t="s">
        <v>11</v>
      </c>
      <c r="CE317" s="141">
        <f>CE5+CE31+CE57+CE83+CE109+CE135+CE161+CE187+CE213+CE239+CE265+CE291</f>
        <v>1075</v>
      </c>
      <c r="CG317" s="106"/>
      <c r="CH317" s="132"/>
      <c r="CI317" s="107"/>
      <c r="CJ317" s="147" t="s">
        <v>10</v>
      </c>
      <c r="CK317" s="101"/>
      <c r="CL317" s="114">
        <f t="shared" ref="CL317:CL337" si="31">CL5+CL31+CL57+CL83+CL109+CL135+CL161+CL187+CL213+CL239+CL265+CL291</f>
        <v>42</v>
      </c>
      <c r="CM317" s="115"/>
      <c r="CO317" s="103"/>
      <c r="CP317" s="140" t="s">
        <v>11</v>
      </c>
      <c r="CQ317" s="141">
        <f>CQ5+CQ31+CQ57+CQ83+CQ109+CQ135+CQ161+CQ187+CQ213+CQ239+CQ265+CQ291</f>
        <v>444</v>
      </c>
      <c r="CS317" s="106"/>
      <c r="CT317" s="132"/>
      <c r="CU317" s="107"/>
      <c r="CV317" s="147" t="s">
        <v>10</v>
      </c>
      <c r="CW317" s="101"/>
      <c r="CX317" s="114">
        <f t="shared" ref="CX317:CX337" si="32">CX5+CX31+CX57+CX83+CX109+CX135+CX161+CX187+CX213+CX239+CX265+CX291</f>
        <v>0</v>
      </c>
      <c r="CY317" s="115"/>
      <c r="DA317" s="103"/>
      <c r="DB317" s="140" t="s">
        <v>11</v>
      </c>
      <c r="DC317" s="141">
        <f>DC5+DC31+DC57+DC83+DC109+DC135+DC161+DC187+DC213+DC239+DC265+DC291</f>
        <v>0</v>
      </c>
      <c r="DD317" s="2"/>
      <c r="DE317" s="106"/>
      <c r="DF317" s="132"/>
      <c r="DG317" s="107"/>
      <c r="DH317" s="147" t="s">
        <v>10</v>
      </c>
      <c r="DI317" s="101"/>
      <c r="DJ317" s="114">
        <f t="shared" ref="DJ317:DJ337" si="33">DJ5+DJ31+DJ57+DJ83+DJ109+DJ135+DJ161+DJ187+DJ213+DJ239+DJ265+DJ291</f>
        <v>69</v>
      </c>
      <c r="DK317" s="115"/>
      <c r="DM317" s="103"/>
      <c r="DN317" s="140" t="s">
        <v>11</v>
      </c>
      <c r="DO317" s="141">
        <f>DO5+DO31+DO57+DO83+DO109+DO135+DO161+DO187+DO213+DO239+DO265+DO291</f>
        <v>919</v>
      </c>
      <c r="DP317" s="2"/>
      <c r="DQ317" s="106"/>
      <c r="DR317" s="132"/>
      <c r="DS317" s="107"/>
      <c r="DT317" s="147" t="s">
        <v>10</v>
      </c>
      <c r="DU317" s="101"/>
      <c r="DV317" s="114">
        <f t="shared" ref="DV317:DV337" si="34">DV5+DV31+DV57+DV83+DV109+DV135+DV161+DV187+DV213+DV239+DV265+DV291</f>
        <v>0</v>
      </c>
      <c r="DW317" s="115"/>
      <c r="DY317" s="103"/>
      <c r="DZ317" s="140" t="s">
        <v>11</v>
      </c>
      <c r="EA317" s="141">
        <f>EA5+EA31+EA57+EA83+EA109+EA135+EA161+EA187+EA213+EA239+EA265+EA291</f>
        <v>0</v>
      </c>
      <c r="EC317" s="106"/>
      <c r="ED317" s="132"/>
      <c r="EE317" s="107"/>
      <c r="EF317" s="147" t="s">
        <v>10</v>
      </c>
      <c r="EG317" s="101"/>
      <c r="EH317" s="114">
        <f t="shared" ref="EH317:EH337" si="35">EH5+EH31+EH57+EH83+EH109+EH135+EH161+EH187+EH213+EH239+EH265+EH291</f>
        <v>0</v>
      </c>
      <c r="EI317" s="115"/>
      <c r="EK317" s="103"/>
      <c r="EL317" s="140" t="s">
        <v>11</v>
      </c>
      <c r="EM317" s="141">
        <f>EM5+EM31+EM57+EM83+EM109+EM135+EM161+EM187+EM213+EM239+EM265+EM291</f>
        <v>0</v>
      </c>
      <c r="EO317" s="106"/>
      <c r="EP317" s="132"/>
      <c r="EQ317" s="107"/>
      <c r="ER317" s="147" t="s">
        <v>10</v>
      </c>
      <c r="ES317" s="101"/>
      <c r="ET317" s="114">
        <f t="shared" ref="ET317:ET337" si="36">ET5+ET31+ET57+ET83+ET109+ET135+ET161+ET187+ET213+ET239+ET265+ET291</f>
        <v>943</v>
      </c>
      <c r="EU317" s="115"/>
      <c r="EW317" s="103"/>
      <c r="EX317" s="140" t="s">
        <v>11</v>
      </c>
      <c r="EY317" s="141" t="e">
        <f>EY5+EY31+EY57+EY83+EY109+EY135+EY161+EY187+EY213+EY239+EY265+EY291</f>
        <v>#VALUE!</v>
      </c>
    </row>
    <row r="318" spans="1:155" ht="17.100000000000001" customHeight="1" thickBot="1" x14ac:dyDescent="0.25">
      <c r="A318" s="108"/>
      <c r="B318" s="146"/>
      <c r="C318" s="109"/>
      <c r="D318" s="127" t="s">
        <v>12</v>
      </c>
      <c r="E318" s="99"/>
      <c r="F318" s="114">
        <f t="shared" si="24"/>
        <v>95</v>
      </c>
      <c r="G318" s="115"/>
      <c r="I318" s="151"/>
      <c r="J318" s="144"/>
      <c r="K318" s="142"/>
      <c r="M318" s="108"/>
      <c r="N318" s="146"/>
      <c r="O318" s="109"/>
      <c r="P318" s="127" t="s">
        <v>12</v>
      </c>
      <c r="Q318" s="99"/>
      <c r="R318" s="114">
        <f t="shared" si="25"/>
        <v>0</v>
      </c>
      <c r="S318" s="115"/>
      <c r="U318" s="151"/>
      <c r="V318" s="144"/>
      <c r="W318" s="142"/>
      <c r="X318" s="87"/>
      <c r="Y318" s="108"/>
      <c r="Z318" s="146"/>
      <c r="AA318" s="109"/>
      <c r="AB318" s="127" t="s">
        <v>12</v>
      </c>
      <c r="AC318" s="99"/>
      <c r="AD318" s="114">
        <f t="shared" si="26"/>
        <v>71</v>
      </c>
      <c r="AE318" s="115"/>
      <c r="AG318" s="151"/>
      <c r="AH318" s="144"/>
      <c r="AI318" s="142"/>
      <c r="AJ318" s="87"/>
      <c r="AK318" s="108"/>
      <c r="AL318" s="146"/>
      <c r="AM318" s="109"/>
      <c r="AN318" s="127" t="s">
        <v>12</v>
      </c>
      <c r="AO318" s="99"/>
      <c r="AP318" s="114">
        <f t="shared" si="27"/>
        <v>86</v>
      </c>
      <c r="AQ318" s="115"/>
      <c r="AS318" s="151"/>
      <c r="AT318" s="144"/>
      <c r="AU318" s="142"/>
      <c r="AW318" s="108"/>
      <c r="AX318" s="146"/>
      <c r="AY318" s="109"/>
      <c r="AZ318" s="127" t="s">
        <v>12</v>
      </c>
      <c r="BA318" s="99"/>
      <c r="BB318" s="114">
        <f t="shared" si="28"/>
        <v>286</v>
      </c>
      <c r="BC318" s="115"/>
      <c r="BE318" s="151"/>
      <c r="BF318" s="144"/>
      <c r="BG318" s="142"/>
      <c r="BI318" s="108"/>
      <c r="BJ318" s="146"/>
      <c r="BK318" s="109"/>
      <c r="BL318" s="127" t="s">
        <v>12</v>
      </c>
      <c r="BM318" s="99"/>
      <c r="BN318" s="114">
        <f t="shared" si="29"/>
        <v>0</v>
      </c>
      <c r="BO318" s="115"/>
      <c r="BQ318" s="151"/>
      <c r="BR318" s="144"/>
      <c r="BS318" s="142"/>
      <c r="BU318" s="108"/>
      <c r="BV318" s="146"/>
      <c r="BW318" s="109"/>
      <c r="BX318" s="127" t="s">
        <v>12</v>
      </c>
      <c r="BY318" s="99"/>
      <c r="BZ318" s="114">
        <f t="shared" si="30"/>
        <v>86</v>
      </c>
      <c r="CA318" s="115"/>
      <c r="CC318" s="151"/>
      <c r="CD318" s="144"/>
      <c r="CE318" s="142"/>
      <c r="CG318" s="108"/>
      <c r="CH318" s="146"/>
      <c r="CI318" s="109"/>
      <c r="CJ318" s="127" t="s">
        <v>12</v>
      </c>
      <c r="CK318" s="99"/>
      <c r="CL318" s="114">
        <f t="shared" si="31"/>
        <v>0</v>
      </c>
      <c r="CM318" s="115"/>
      <c r="CO318" s="151"/>
      <c r="CP318" s="144"/>
      <c r="CQ318" s="142"/>
      <c r="CS318" s="108"/>
      <c r="CT318" s="146"/>
      <c r="CU318" s="109"/>
      <c r="CV318" s="127" t="s">
        <v>12</v>
      </c>
      <c r="CW318" s="99"/>
      <c r="CX318" s="114">
        <f t="shared" si="32"/>
        <v>0</v>
      </c>
      <c r="CY318" s="115"/>
      <c r="DA318" s="151"/>
      <c r="DB318" s="144"/>
      <c r="DC318" s="142"/>
      <c r="DD318" s="2"/>
      <c r="DE318" s="108"/>
      <c r="DF318" s="146"/>
      <c r="DG318" s="109"/>
      <c r="DH318" s="127" t="s">
        <v>12</v>
      </c>
      <c r="DI318" s="99"/>
      <c r="DJ318" s="114">
        <f t="shared" si="33"/>
        <v>100</v>
      </c>
      <c r="DK318" s="115"/>
      <c r="DM318" s="151"/>
      <c r="DN318" s="144"/>
      <c r="DO318" s="142"/>
      <c r="DP318" s="2"/>
      <c r="DQ318" s="108"/>
      <c r="DR318" s="146"/>
      <c r="DS318" s="109"/>
      <c r="DT318" s="127" t="s">
        <v>12</v>
      </c>
      <c r="DU318" s="99"/>
      <c r="DV318" s="114">
        <f t="shared" si="34"/>
        <v>0</v>
      </c>
      <c r="DW318" s="115"/>
      <c r="DY318" s="151"/>
      <c r="DZ318" s="144"/>
      <c r="EA318" s="142"/>
      <c r="EC318" s="108"/>
      <c r="ED318" s="146"/>
      <c r="EE318" s="109"/>
      <c r="EF318" s="127" t="s">
        <v>12</v>
      </c>
      <c r="EG318" s="99"/>
      <c r="EH318" s="114">
        <f t="shared" si="35"/>
        <v>0</v>
      </c>
      <c r="EI318" s="115"/>
      <c r="EK318" s="151"/>
      <c r="EL318" s="144"/>
      <c r="EM318" s="142"/>
      <c r="EO318" s="108"/>
      <c r="EP318" s="146"/>
      <c r="EQ318" s="109"/>
      <c r="ER318" s="127" t="s">
        <v>12</v>
      </c>
      <c r="ES318" s="99"/>
      <c r="ET318" s="114">
        <f t="shared" si="36"/>
        <v>724</v>
      </c>
      <c r="EU318" s="115"/>
      <c r="EW318" s="151"/>
      <c r="EX318" s="144"/>
      <c r="EY318" s="142"/>
    </row>
    <row r="319" spans="1:155" ht="17.100000000000001" customHeight="1" thickBot="1" x14ac:dyDescent="0.25">
      <c r="A319" s="136" t="s">
        <v>13</v>
      </c>
      <c r="B319" s="104" t="s">
        <v>14</v>
      </c>
      <c r="C319" s="105"/>
      <c r="D319" s="116" t="s">
        <v>29</v>
      </c>
      <c r="E319" s="117"/>
      <c r="F319" s="114">
        <f t="shared" si="24"/>
        <v>335</v>
      </c>
      <c r="G319" s="115"/>
      <c r="I319" s="102" t="s">
        <v>15</v>
      </c>
      <c r="J319" s="139" t="s">
        <v>7</v>
      </c>
      <c r="K319" s="141">
        <f>K7+K33+K59+K85+K111+K137+K163+K189+K215+K241+K267+K293</f>
        <v>443</v>
      </c>
      <c r="M319" s="136" t="s">
        <v>13</v>
      </c>
      <c r="N319" s="104" t="s">
        <v>14</v>
      </c>
      <c r="O319" s="105"/>
      <c r="P319" s="116" t="s">
        <v>29</v>
      </c>
      <c r="Q319" s="117"/>
      <c r="R319" s="114">
        <f t="shared" si="25"/>
        <v>284</v>
      </c>
      <c r="S319" s="115"/>
      <c r="U319" s="102" t="s">
        <v>15</v>
      </c>
      <c r="V319" s="139" t="s">
        <v>7</v>
      </c>
      <c r="W319" s="141">
        <f>W7+W33+W59+W85+W111+W137+W163+W189+W215+W241+W267+W293</f>
        <v>510</v>
      </c>
      <c r="X319" s="87"/>
      <c r="Y319" s="136" t="s">
        <v>13</v>
      </c>
      <c r="Z319" s="104" t="s">
        <v>14</v>
      </c>
      <c r="AA319" s="105"/>
      <c r="AB319" s="116" t="s">
        <v>29</v>
      </c>
      <c r="AC319" s="117"/>
      <c r="AD319" s="114">
        <f t="shared" si="26"/>
        <v>164</v>
      </c>
      <c r="AE319" s="115"/>
      <c r="AG319" s="102" t="s">
        <v>15</v>
      </c>
      <c r="AH319" s="139" t="s">
        <v>7</v>
      </c>
      <c r="AI319" s="141">
        <f>AI7+AI33+AI59+AI85+AI111+AI137+AI163+AI189+AI215+AI241+AI267+AI293</f>
        <v>350</v>
      </c>
      <c r="AJ319" s="87"/>
      <c r="AK319" s="136" t="s">
        <v>13</v>
      </c>
      <c r="AL319" s="104" t="s">
        <v>14</v>
      </c>
      <c r="AM319" s="105"/>
      <c r="AN319" s="116" t="s">
        <v>29</v>
      </c>
      <c r="AO319" s="117"/>
      <c r="AP319" s="114">
        <f t="shared" si="27"/>
        <v>309</v>
      </c>
      <c r="AQ319" s="115"/>
      <c r="AS319" s="102" t="s">
        <v>15</v>
      </c>
      <c r="AT319" s="139" t="s">
        <v>7</v>
      </c>
      <c r="AU319" s="141">
        <f>AU7+AU33+AU59+AU85+AU111+AU137+AU163+AU189+AU215+AU241+AU267+AU293</f>
        <v>503</v>
      </c>
      <c r="AW319" s="136" t="s">
        <v>13</v>
      </c>
      <c r="AX319" s="104" t="s">
        <v>14</v>
      </c>
      <c r="AY319" s="105"/>
      <c r="AZ319" s="116" t="s">
        <v>29</v>
      </c>
      <c r="BA319" s="117"/>
      <c r="BB319" s="114">
        <f t="shared" si="28"/>
        <v>162</v>
      </c>
      <c r="BC319" s="115"/>
      <c r="BE319" s="102" t="s">
        <v>15</v>
      </c>
      <c r="BF319" s="139" t="s">
        <v>7</v>
      </c>
      <c r="BG319" s="141">
        <f>BG7+BG33+BG59+BG85+BG111+BG137+BG163+BG189+BG215+BG241+BG267+BG293</f>
        <v>446</v>
      </c>
      <c r="BI319" s="136" t="s">
        <v>13</v>
      </c>
      <c r="BJ319" s="104" t="s">
        <v>14</v>
      </c>
      <c r="BK319" s="105"/>
      <c r="BL319" s="116" t="s">
        <v>29</v>
      </c>
      <c r="BM319" s="117"/>
      <c r="BN319" s="114">
        <f t="shared" si="29"/>
        <v>83</v>
      </c>
      <c r="BO319" s="115"/>
      <c r="BQ319" s="102" t="s">
        <v>15</v>
      </c>
      <c r="BR319" s="139" t="s">
        <v>7</v>
      </c>
      <c r="BS319" s="141">
        <f>BS7+BS33+BS59+BS85+BS111+BS137+BS163+BS189+BS215+BS241+BS267+BS293</f>
        <v>170</v>
      </c>
      <c r="BU319" s="136" t="s">
        <v>13</v>
      </c>
      <c r="BV319" s="104" t="s">
        <v>14</v>
      </c>
      <c r="BW319" s="105"/>
      <c r="BX319" s="116" t="s">
        <v>29</v>
      </c>
      <c r="BY319" s="117"/>
      <c r="BZ319" s="114">
        <f t="shared" si="30"/>
        <v>296</v>
      </c>
      <c r="CA319" s="115"/>
      <c r="CC319" s="102" t="s">
        <v>15</v>
      </c>
      <c r="CD319" s="139" t="s">
        <v>7</v>
      </c>
      <c r="CE319" s="141">
        <f>CE7+CE33+CE59+CE85+CE111+CE137+CE163+CE189+CE215+CE241+CE267+CE293</f>
        <v>459</v>
      </c>
      <c r="CG319" s="136" t="s">
        <v>13</v>
      </c>
      <c r="CH319" s="104" t="s">
        <v>14</v>
      </c>
      <c r="CI319" s="105"/>
      <c r="CJ319" s="116" t="s">
        <v>29</v>
      </c>
      <c r="CK319" s="117"/>
      <c r="CL319" s="114">
        <f t="shared" si="31"/>
        <v>9</v>
      </c>
      <c r="CM319" s="115"/>
      <c r="CO319" s="102" t="s">
        <v>15</v>
      </c>
      <c r="CP319" s="139" t="s">
        <v>7</v>
      </c>
      <c r="CQ319" s="141">
        <f>CQ7+CQ33+CQ59+CQ85+CQ111+CQ137+CQ163+CQ189+CQ215+CQ241+CQ267+CQ293</f>
        <v>61</v>
      </c>
      <c r="CS319" s="136" t="s">
        <v>13</v>
      </c>
      <c r="CT319" s="104" t="s">
        <v>14</v>
      </c>
      <c r="CU319" s="105"/>
      <c r="CV319" s="116" t="s">
        <v>29</v>
      </c>
      <c r="CW319" s="117"/>
      <c r="CX319" s="114">
        <f t="shared" si="32"/>
        <v>0</v>
      </c>
      <c r="CY319" s="115"/>
      <c r="DA319" s="102" t="s">
        <v>15</v>
      </c>
      <c r="DB319" s="139" t="s">
        <v>7</v>
      </c>
      <c r="DC319" s="141">
        <f>DC7+DC33+DC59+DC85+DC111+DC137+DC163+DC189+DC215+DC241+DC267+DC293</f>
        <v>0</v>
      </c>
      <c r="DD319" s="2"/>
      <c r="DE319" s="136" t="s">
        <v>13</v>
      </c>
      <c r="DF319" s="104" t="s">
        <v>14</v>
      </c>
      <c r="DG319" s="105"/>
      <c r="DH319" s="116" t="s">
        <v>29</v>
      </c>
      <c r="DI319" s="117"/>
      <c r="DJ319" s="114">
        <f t="shared" si="33"/>
        <v>156</v>
      </c>
      <c r="DK319" s="115"/>
      <c r="DM319" s="102" t="s">
        <v>15</v>
      </c>
      <c r="DN319" s="139" t="s">
        <v>7</v>
      </c>
      <c r="DO319" s="141">
        <f>DO7+DO33+DO59+DO85+DO111+DO137+DO163+DO189+DO215+DO241+DO267+DO293</f>
        <v>483</v>
      </c>
      <c r="DP319" s="2"/>
      <c r="DQ319" s="136" t="s">
        <v>13</v>
      </c>
      <c r="DR319" s="104" t="s">
        <v>14</v>
      </c>
      <c r="DS319" s="105"/>
      <c r="DT319" s="116" t="s">
        <v>29</v>
      </c>
      <c r="DU319" s="117"/>
      <c r="DV319" s="114">
        <f t="shared" si="34"/>
        <v>0</v>
      </c>
      <c r="DW319" s="115"/>
      <c r="DY319" s="102" t="s">
        <v>15</v>
      </c>
      <c r="DZ319" s="139" t="s">
        <v>7</v>
      </c>
      <c r="EA319" s="141">
        <f>EA7+EA33+EA59+EA85+EA111+EA137+EA163+EA189+EA215+EA241+EA267+EA293</f>
        <v>0</v>
      </c>
      <c r="EC319" s="136" t="s">
        <v>13</v>
      </c>
      <c r="ED319" s="104" t="s">
        <v>14</v>
      </c>
      <c r="EE319" s="105"/>
      <c r="EF319" s="116" t="s">
        <v>29</v>
      </c>
      <c r="EG319" s="117"/>
      <c r="EH319" s="114">
        <f t="shared" si="35"/>
        <v>0</v>
      </c>
      <c r="EI319" s="115"/>
      <c r="EK319" s="102" t="s">
        <v>15</v>
      </c>
      <c r="EL319" s="139" t="s">
        <v>7</v>
      </c>
      <c r="EM319" s="141">
        <f>EM7+EM33+EM59+EM85+EM111+EM137+EM163+EM189+EM215+EM241+EM267+EM293</f>
        <v>0</v>
      </c>
      <c r="EO319" s="136" t="s">
        <v>13</v>
      </c>
      <c r="EP319" s="104" t="s">
        <v>14</v>
      </c>
      <c r="EQ319" s="105"/>
      <c r="ER319" s="116" t="s">
        <v>29</v>
      </c>
      <c r="ES319" s="117"/>
      <c r="ET319" s="114">
        <f t="shared" si="36"/>
        <v>1798</v>
      </c>
      <c r="EU319" s="115"/>
      <c r="EW319" s="102" t="s">
        <v>15</v>
      </c>
      <c r="EX319" s="139" t="s">
        <v>7</v>
      </c>
      <c r="EY319" s="141">
        <f>EY7+EY33+EY59+EY85+EY111+EY137+EY163+EY189+EY215+EY241+EY267+EY293</f>
        <v>3425</v>
      </c>
    </row>
    <row r="320" spans="1:155" ht="17.100000000000001" customHeight="1" thickBot="1" x14ac:dyDescent="0.25">
      <c r="A320" s="137"/>
      <c r="B320" s="106"/>
      <c r="C320" s="107"/>
      <c r="D320" s="100" t="s">
        <v>16</v>
      </c>
      <c r="E320" s="101"/>
      <c r="F320" s="114">
        <f t="shared" si="24"/>
        <v>102</v>
      </c>
      <c r="G320" s="115"/>
      <c r="I320" s="103"/>
      <c r="J320" s="140"/>
      <c r="K320" s="142"/>
      <c r="M320" s="137"/>
      <c r="N320" s="106"/>
      <c r="O320" s="107"/>
      <c r="P320" s="100" t="s">
        <v>16</v>
      </c>
      <c r="Q320" s="101"/>
      <c r="R320" s="114">
        <f t="shared" si="25"/>
        <v>92</v>
      </c>
      <c r="S320" s="115"/>
      <c r="U320" s="103"/>
      <c r="V320" s="140"/>
      <c r="W320" s="142"/>
      <c r="X320" s="87"/>
      <c r="Y320" s="137"/>
      <c r="Z320" s="106"/>
      <c r="AA320" s="107"/>
      <c r="AB320" s="100" t="s">
        <v>16</v>
      </c>
      <c r="AC320" s="101"/>
      <c r="AD320" s="114">
        <f t="shared" si="26"/>
        <v>55</v>
      </c>
      <c r="AE320" s="115"/>
      <c r="AG320" s="103"/>
      <c r="AH320" s="140"/>
      <c r="AI320" s="142"/>
      <c r="AJ320" s="87"/>
      <c r="AK320" s="137"/>
      <c r="AL320" s="106"/>
      <c r="AM320" s="107"/>
      <c r="AN320" s="100" t="s">
        <v>16</v>
      </c>
      <c r="AO320" s="101"/>
      <c r="AP320" s="114">
        <f t="shared" si="27"/>
        <v>83</v>
      </c>
      <c r="AQ320" s="115"/>
      <c r="AS320" s="103"/>
      <c r="AT320" s="140"/>
      <c r="AU320" s="142"/>
      <c r="AW320" s="137"/>
      <c r="AX320" s="106"/>
      <c r="AY320" s="107"/>
      <c r="AZ320" s="100" t="s">
        <v>16</v>
      </c>
      <c r="BA320" s="101"/>
      <c r="BB320" s="114">
        <f t="shared" si="28"/>
        <v>115</v>
      </c>
      <c r="BC320" s="115"/>
      <c r="BE320" s="103"/>
      <c r="BF320" s="140"/>
      <c r="BG320" s="142"/>
      <c r="BI320" s="137"/>
      <c r="BJ320" s="106"/>
      <c r="BK320" s="107"/>
      <c r="BL320" s="100" t="s">
        <v>16</v>
      </c>
      <c r="BM320" s="101"/>
      <c r="BN320" s="114">
        <f t="shared" si="29"/>
        <v>75</v>
      </c>
      <c r="BO320" s="115"/>
      <c r="BQ320" s="103"/>
      <c r="BR320" s="140"/>
      <c r="BS320" s="142"/>
      <c r="BU320" s="137"/>
      <c r="BV320" s="106"/>
      <c r="BW320" s="107"/>
      <c r="BX320" s="100" t="s">
        <v>16</v>
      </c>
      <c r="BY320" s="101"/>
      <c r="BZ320" s="114">
        <f t="shared" si="30"/>
        <v>84</v>
      </c>
      <c r="CA320" s="115"/>
      <c r="CC320" s="103"/>
      <c r="CD320" s="140"/>
      <c r="CE320" s="142"/>
      <c r="CG320" s="137"/>
      <c r="CH320" s="106"/>
      <c r="CI320" s="107"/>
      <c r="CJ320" s="100" t="s">
        <v>16</v>
      </c>
      <c r="CK320" s="101"/>
      <c r="CL320" s="114">
        <f t="shared" si="31"/>
        <v>54</v>
      </c>
      <c r="CM320" s="115"/>
      <c r="CO320" s="103"/>
      <c r="CP320" s="140"/>
      <c r="CQ320" s="142"/>
      <c r="CS320" s="137"/>
      <c r="CT320" s="106"/>
      <c r="CU320" s="107"/>
      <c r="CV320" s="100" t="s">
        <v>16</v>
      </c>
      <c r="CW320" s="101"/>
      <c r="CX320" s="114">
        <f t="shared" si="32"/>
        <v>0</v>
      </c>
      <c r="CY320" s="115"/>
      <c r="DA320" s="103"/>
      <c r="DB320" s="140"/>
      <c r="DC320" s="142"/>
      <c r="DD320" s="2"/>
      <c r="DE320" s="137"/>
      <c r="DF320" s="106"/>
      <c r="DG320" s="107"/>
      <c r="DH320" s="100" t="s">
        <v>16</v>
      </c>
      <c r="DI320" s="101"/>
      <c r="DJ320" s="114">
        <f t="shared" si="33"/>
        <v>98</v>
      </c>
      <c r="DK320" s="115"/>
      <c r="DM320" s="103"/>
      <c r="DN320" s="140"/>
      <c r="DO320" s="142"/>
      <c r="DP320" s="2"/>
      <c r="DQ320" s="137"/>
      <c r="DR320" s="106"/>
      <c r="DS320" s="107"/>
      <c r="DT320" s="100" t="s">
        <v>16</v>
      </c>
      <c r="DU320" s="101"/>
      <c r="DV320" s="114">
        <f t="shared" si="34"/>
        <v>0</v>
      </c>
      <c r="DW320" s="115"/>
      <c r="DY320" s="103"/>
      <c r="DZ320" s="140"/>
      <c r="EA320" s="142"/>
      <c r="EC320" s="137"/>
      <c r="ED320" s="106"/>
      <c r="EE320" s="107"/>
      <c r="EF320" s="100" t="s">
        <v>16</v>
      </c>
      <c r="EG320" s="101"/>
      <c r="EH320" s="114">
        <f t="shared" si="35"/>
        <v>0</v>
      </c>
      <c r="EI320" s="115"/>
      <c r="EK320" s="103"/>
      <c r="EL320" s="140"/>
      <c r="EM320" s="142"/>
      <c r="EO320" s="137"/>
      <c r="EP320" s="106"/>
      <c r="EQ320" s="107"/>
      <c r="ER320" s="100" t="s">
        <v>16</v>
      </c>
      <c r="ES320" s="101"/>
      <c r="ET320" s="114">
        <f t="shared" si="36"/>
        <v>758</v>
      </c>
      <c r="EU320" s="115"/>
      <c r="EW320" s="103"/>
      <c r="EX320" s="140"/>
      <c r="EY320" s="142"/>
    </row>
    <row r="321" spans="1:155" ht="17.100000000000001" customHeight="1" thickBot="1" x14ac:dyDescent="0.25">
      <c r="A321" s="137"/>
      <c r="B321" s="108"/>
      <c r="C321" s="109"/>
      <c r="D321" s="98" t="s">
        <v>17</v>
      </c>
      <c r="E321" s="99"/>
      <c r="F321" s="114">
        <f t="shared" si="24"/>
        <v>0</v>
      </c>
      <c r="G321" s="115"/>
      <c r="I321" s="103"/>
      <c r="J321" s="140" t="s">
        <v>11</v>
      </c>
      <c r="K321" s="141">
        <f>K9+K35+K61+K87+K113+K139+K165+K191+K217+K243+K269+K295</f>
        <v>485</v>
      </c>
      <c r="M321" s="137"/>
      <c r="N321" s="108"/>
      <c r="O321" s="109"/>
      <c r="P321" s="98" t="s">
        <v>17</v>
      </c>
      <c r="Q321" s="99"/>
      <c r="R321" s="114">
        <f t="shared" si="25"/>
        <v>0</v>
      </c>
      <c r="S321" s="115"/>
      <c r="U321" s="103"/>
      <c r="V321" s="140" t="s">
        <v>11</v>
      </c>
      <c r="W321" s="141">
        <f>W9+W35+W61+W87+W113+W139+W165+W191+W217+W243+W269+W295</f>
        <v>631</v>
      </c>
      <c r="X321" s="87"/>
      <c r="Y321" s="137"/>
      <c r="Z321" s="108"/>
      <c r="AA321" s="109"/>
      <c r="AB321" s="98" t="s">
        <v>17</v>
      </c>
      <c r="AC321" s="99"/>
      <c r="AD321" s="114">
        <f t="shared" si="26"/>
        <v>0</v>
      </c>
      <c r="AE321" s="115"/>
      <c r="AG321" s="103"/>
      <c r="AH321" s="140" t="s">
        <v>11</v>
      </c>
      <c r="AI321" s="141">
        <f>AI9+AI35+AI61+AI87+AI113+AI139+AI165+AI191+AI217+AI243+AI269+AI295</f>
        <v>397</v>
      </c>
      <c r="AJ321" s="87"/>
      <c r="AK321" s="137"/>
      <c r="AL321" s="108"/>
      <c r="AM321" s="109"/>
      <c r="AN321" s="98" t="s">
        <v>17</v>
      </c>
      <c r="AO321" s="99"/>
      <c r="AP321" s="114">
        <f t="shared" si="27"/>
        <v>0</v>
      </c>
      <c r="AQ321" s="115"/>
      <c r="AS321" s="103"/>
      <c r="AT321" s="140" t="s">
        <v>11</v>
      </c>
      <c r="AU321" s="141">
        <f>AU9+AU35+AU61+AU87+AU113+AU139+AU165+AU191+AU217+AU243+AU269+AU295</f>
        <v>541</v>
      </c>
      <c r="AW321" s="137"/>
      <c r="AX321" s="108"/>
      <c r="AY321" s="109"/>
      <c r="AZ321" s="98" t="s">
        <v>17</v>
      </c>
      <c r="BA321" s="99"/>
      <c r="BB321" s="114">
        <f t="shared" si="28"/>
        <v>0</v>
      </c>
      <c r="BC321" s="115"/>
      <c r="BE321" s="103"/>
      <c r="BF321" s="140" t="s">
        <v>11</v>
      </c>
      <c r="BG321" s="141">
        <f>BG9+BG35+BG61+BG87+BG113+BG139+BG165+BG191+BG217+BG243+BG269+BG295</f>
        <v>284</v>
      </c>
      <c r="BI321" s="137"/>
      <c r="BJ321" s="108"/>
      <c r="BK321" s="109"/>
      <c r="BL321" s="98" t="s">
        <v>17</v>
      </c>
      <c r="BM321" s="99"/>
      <c r="BN321" s="114">
        <f t="shared" si="29"/>
        <v>0</v>
      </c>
      <c r="BO321" s="115"/>
      <c r="BQ321" s="103"/>
      <c r="BR321" s="140" t="s">
        <v>11</v>
      </c>
      <c r="BS321" s="141">
        <f>BS9+BS35+BS61+BS87+BS113+BS139+BS165+BS191+BS217+BS243+BS269+BS295</f>
        <v>186</v>
      </c>
      <c r="BU321" s="137"/>
      <c r="BV321" s="108"/>
      <c r="BW321" s="109"/>
      <c r="BX321" s="98" t="s">
        <v>17</v>
      </c>
      <c r="BY321" s="99"/>
      <c r="BZ321" s="114">
        <f t="shared" si="30"/>
        <v>0</v>
      </c>
      <c r="CA321" s="115"/>
      <c r="CC321" s="103"/>
      <c r="CD321" s="140" t="s">
        <v>11</v>
      </c>
      <c r="CE321" s="141">
        <f>CE9+CE35+CE61+CE87+CE113+CE139+CE165+CE191+CE217+CE243+CE269+CE295</f>
        <v>489</v>
      </c>
      <c r="CG321" s="137"/>
      <c r="CH321" s="108"/>
      <c r="CI321" s="109"/>
      <c r="CJ321" s="98" t="s">
        <v>17</v>
      </c>
      <c r="CK321" s="99"/>
      <c r="CL321" s="114">
        <f t="shared" si="31"/>
        <v>0</v>
      </c>
      <c r="CM321" s="115"/>
      <c r="CO321" s="103"/>
      <c r="CP321" s="140" t="s">
        <v>11</v>
      </c>
      <c r="CQ321" s="141">
        <f>CQ9+CQ35+CQ61+CQ87+CQ113+CQ139+CQ165+CQ191+CQ217+CQ243+CQ269+CQ295</f>
        <v>63</v>
      </c>
      <c r="CS321" s="137"/>
      <c r="CT321" s="108"/>
      <c r="CU321" s="109"/>
      <c r="CV321" s="98" t="s">
        <v>17</v>
      </c>
      <c r="CW321" s="99"/>
      <c r="CX321" s="114">
        <f t="shared" si="32"/>
        <v>0</v>
      </c>
      <c r="CY321" s="115"/>
      <c r="DA321" s="103"/>
      <c r="DB321" s="140" t="s">
        <v>11</v>
      </c>
      <c r="DC321" s="141">
        <f>DC9+DC35+DC61+DC87+DC113+DC139+DC165+DC191+DC217+DC243+DC269+DC295</f>
        <v>0</v>
      </c>
      <c r="DD321" s="2"/>
      <c r="DE321" s="137"/>
      <c r="DF321" s="108"/>
      <c r="DG321" s="109"/>
      <c r="DH321" s="98" t="s">
        <v>17</v>
      </c>
      <c r="DI321" s="99"/>
      <c r="DJ321" s="114">
        <f t="shared" si="33"/>
        <v>0</v>
      </c>
      <c r="DK321" s="115"/>
      <c r="DM321" s="103"/>
      <c r="DN321" s="140" t="s">
        <v>11</v>
      </c>
      <c r="DO321" s="141">
        <f>DO9+DO35+DO61+DO87+DO113+DO139+DO165+DO191+DO217+DO243+DO269+DO295</f>
        <v>350</v>
      </c>
      <c r="DP321" s="2"/>
      <c r="DQ321" s="137"/>
      <c r="DR321" s="108"/>
      <c r="DS321" s="109"/>
      <c r="DT321" s="98" t="s">
        <v>17</v>
      </c>
      <c r="DU321" s="99"/>
      <c r="DV321" s="114">
        <f t="shared" si="34"/>
        <v>0</v>
      </c>
      <c r="DW321" s="115"/>
      <c r="DY321" s="103"/>
      <c r="DZ321" s="140" t="s">
        <v>11</v>
      </c>
      <c r="EA321" s="141">
        <f>EA9+EA35+EA61+EA87+EA113+EA139+EA165+EA191+EA217+EA243+EA269+EA295</f>
        <v>0</v>
      </c>
      <c r="EC321" s="137"/>
      <c r="ED321" s="108"/>
      <c r="EE321" s="109"/>
      <c r="EF321" s="98" t="s">
        <v>17</v>
      </c>
      <c r="EG321" s="99"/>
      <c r="EH321" s="114">
        <f t="shared" si="35"/>
        <v>0</v>
      </c>
      <c r="EI321" s="115"/>
      <c r="EK321" s="103"/>
      <c r="EL321" s="140" t="s">
        <v>11</v>
      </c>
      <c r="EM321" s="141">
        <f>EM9+EM35+EM61+EM87+EM113+EM139+EM165+EM191+EM217+EM243+EM269+EM295</f>
        <v>0</v>
      </c>
      <c r="EO321" s="137"/>
      <c r="EP321" s="108"/>
      <c r="EQ321" s="109"/>
      <c r="ER321" s="98" t="s">
        <v>17</v>
      </c>
      <c r="ES321" s="99"/>
      <c r="ET321" s="114">
        <f t="shared" si="36"/>
        <v>0</v>
      </c>
      <c r="EU321" s="115"/>
      <c r="EW321" s="103"/>
      <c r="EX321" s="140" t="s">
        <v>11</v>
      </c>
      <c r="EY321" s="141">
        <f>EY9+EY35+EY61+EY87+EY113+EY139+EY165+EY191+EY217+EY243+EY269+EY295</f>
        <v>3426</v>
      </c>
    </row>
    <row r="322" spans="1:155" ht="17.100000000000001" customHeight="1" thickBot="1" x14ac:dyDescent="0.25">
      <c r="A322" s="137"/>
      <c r="B322" s="104" t="s">
        <v>18</v>
      </c>
      <c r="C322" s="105"/>
      <c r="D322" s="116" t="s">
        <v>19</v>
      </c>
      <c r="E322" s="117"/>
      <c r="F322" s="114">
        <f t="shared" si="24"/>
        <v>0</v>
      </c>
      <c r="G322" s="115"/>
      <c r="I322" s="103"/>
      <c r="J322" s="144"/>
      <c r="K322" s="142"/>
      <c r="M322" s="137"/>
      <c r="N322" s="104" t="s">
        <v>18</v>
      </c>
      <c r="O322" s="105"/>
      <c r="P322" s="116" t="s">
        <v>19</v>
      </c>
      <c r="Q322" s="117"/>
      <c r="R322" s="114">
        <f t="shared" si="25"/>
        <v>0</v>
      </c>
      <c r="S322" s="115"/>
      <c r="U322" s="103"/>
      <c r="V322" s="144"/>
      <c r="W322" s="142"/>
      <c r="X322" s="87"/>
      <c r="Y322" s="137"/>
      <c r="Z322" s="104" t="s">
        <v>18</v>
      </c>
      <c r="AA322" s="105"/>
      <c r="AB322" s="116" t="s">
        <v>19</v>
      </c>
      <c r="AC322" s="117"/>
      <c r="AD322" s="114">
        <f t="shared" si="26"/>
        <v>0</v>
      </c>
      <c r="AE322" s="115"/>
      <c r="AG322" s="103"/>
      <c r="AH322" s="144"/>
      <c r="AI322" s="142"/>
      <c r="AJ322" s="87"/>
      <c r="AK322" s="137"/>
      <c r="AL322" s="104" t="s">
        <v>18</v>
      </c>
      <c r="AM322" s="105"/>
      <c r="AN322" s="116" t="s">
        <v>19</v>
      </c>
      <c r="AO322" s="117"/>
      <c r="AP322" s="114">
        <f t="shared" si="27"/>
        <v>0</v>
      </c>
      <c r="AQ322" s="115"/>
      <c r="AS322" s="103"/>
      <c r="AT322" s="144"/>
      <c r="AU322" s="142"/>
      <c r="AW322" s="137"/>
      <c r="AX322" s="104" t="s">
        <v>18</v>
      </c>
      <c r="AY322" s="105"/>
      <c r="AZ322" s="116" t="s">
        <v>19</v>
      </c>
      <c r="BA322" s="117"/>
      <c r="BB322" s="114">
        <f t="shared" si="28"/>
        <v>0</v>
      </c>
      <c r="BC322" s="115"/>
      <c r="BE322" s="103"/>
      <c r="BF322" s="144"/>
      <c r="BG322" s="142"/>
      <c r="BI322" s="137"/>
      <c r="BJ322" s="104" t="s">
        <v>18</v>
      </c>
      <c r="BK322" s="105"/>
      <c r="BL322" s="116" t="s">
        <v>19</v>
      </c>
      <c r="BM322" s="117"/>
      <c r="BN322" s="114">
        <f t="shared" si="29"/>
        <v>0</v>
      </c>
      <c r="BO322" s="115"/>
      <c r="BQ322" s="103"/>
      <c r="BR322" s="144"/>
      <c r="BS322" s="142"/>
      <c r="BU322" s="137"/>
      <c r="BV322" s="104" t="s">
        <v>18</v>
      </c>
      <c r="BW322" s="105"/>
      <c r="BX322" s="116" t="s">
        <v>19</v>
      </c>
      <c r="BY322" s="117"/>
      <c r="BZ322" s="114">
        <f t="shared" si="30"/>
        <v>0</v>
      </c>
      <c r="CA322" s="115"/>
      <c r="CC322" s="103"/>
      <c r="CD322" s="144"/>
      <c r="CE322" s="142"/>
      <c r="CG322" s="137"/>
      <c r="CH322" s="104" t="s">
        <v>18</v>
      </c>
      <c r="CI322" s="105"/>
      <c r="CJ322" s="116" t="s">
        <v>19</v>
      </c>
      <c r="CK322" s="117"/>
      <c r="CL322" s="114">
        <f t="shared" si="31"/>
        <v>0</v>
      </c>
      <c r="CM322" s="115"/>
      <c r="CO322" s="103"/>
      <c r="CP322" s="144"/>
      <c r="CQ322" s="142"/>
      <c r="CS322" s="137"/>
      <c r="CT322" s="104" t="s">
        <v>18</v>
      </c>
      <c r="CU322" s="105"/>
      <c r="CV322" s="116" t="s">
        <v>19</v>
      </c>
      <c r="CW322" s="117"/>
      <c r="CX322" s="114">
        <f t="shared" si="32"/>
        <v>0</v>
      </c>
      <c r="CY322" s="115"/>
      <c r="DA322" s="103"/>
      <c r="DB322" s="144"/>
      <c r="DC322" s="142"/>
      <c r="DD322" s="2"/>
      <c r="DE322" s="137"/>
      <c r="DF322" s="104" t="s">
        <v>18</v>
      </c>
      <c r="DG322" s="105"/>
      <c r="DH322" s="116" t="s">
        <v>19</v>
      </c>
      <c r="DI322" s="117"/>
      <c r="DJ322" s="114">
        <f t="shared" si="33"/>
        <v>0</v>
      </c>
      <c r="DK322" s="115"/>
      <c r="DM322" s="103"/>
      <c r="DN322" s="144"/>
      <c r="DO322" s="142"/>
      <c r="DP322" s="2"/>
      <c r="DQ322" s="137"/>
      <c r="DR322" s="104" t="s">
        <v>18</v>
      </c>
      <c r="DS322" s="105"/>
      <c r="DT322" s="116" t="s">
        <v>19</v>
      </c>
      <c r="DU322" s="117"/>
      <c r="DV322" s="114">
        <f t="shared" si="34"/>
        <v>0</v>
      </c>
      <c r="DW322" s="115"/>
      <c r="DY322" s="103"/>
      <c r="DZ322" s="144"/>
      <c r="EA322" s="142"/>
      <c r="EC322" s="137"/>
      <c r="ED322" s="104" t="s">
        <v>18</v>
      </c>
      <c r="EE322" s="105"/>
      <c r="EF322" s="116" t="s">
        <v>19</v>
      </c>
      <c r="EG322" s="117"/>
      <c r="EH322" s="114">
        <f t="shared" si="35"/>
        <v>0</v>
      </c>
      <c r="EI322" s="115"/>
      <c r="EK322" s="103"/>
      <c r="EL322" s="144"/>
      <c r="EM322" s="142"/>
      <c r="EO322" s="137"/>
      <c r="EP322" s="104" t="s">
        <v>18</v>
      </c>
      <c r="EQ322" s="105"/>
      <c r="ER322" s="116" t="s">
        <v>19</v>
      </c>
      <c r="ES322" s="117"/>
      <c r="ET322" s="114">
        <f t="shared" si="36"/>
        <v>0</v>
      </c>
      <c r="EU322" s="115"/>
      <c r="EW322" s="103"/>
      <c r="EX322" s="144"/>
      <c r="EY322" s="142"/>
    </row>
    <row r="323" spans="1:155" ht="17.100000000000001" customHeight="1" thickBot="1" x14ac:dyDescent="0.25">
      <c r="A323" s="137"/>
      <c r="B323" s="108"/>
      <c r="C323" s="109"/>
      <c r="D323" s="98" t="s">
        <v>20</v>
      </c>
      <c r="E323" s="99"/>
      <c r="F323" s="114">
        <f t="shared" si="24"/>
        <v>0</v>
      </c>
      <c r="G323" s="115"/>
      <c r="I323" s="111" t="s">
        <v>21</v>
      </c>
      <c r="J323" s="112"/>
      <c r="K323" s="110" t="e">
        <f>SUM(K315:K322)</f>
        <v>#VALUE!</v>
      </c>
      <c r="M323" s="137"/>
      <c r="N323" s="108"/>
      <c r="O323" s="109"/>
      <c r="P323" s="98" t="s">
        <v>20</v>
      </c>
      <c r="Q323" s="99"/>
      <c r="R323" s="114">
        <f t="shared" si="25"/>
        <v>0</v>
      </c>
      <c r="S323" s="115"/>
      <c r="U323" s="111" t="s">
        <v>21</v>
      </c>
      <c r="V323" s="112"/>
      <c r="W323" s="110">
        <f>SUM(W315:W322)</f>
        <v>3190</v>
      </c>
      <c r="X323" s="87"/>
      <c r="Y323" s="137"/>
      <c r="Z323" s="108"/>
      <c r="AA323" s="109"/>
      <c r="AB323" s="98" t="s">
        <v>20</v>
      </c>
      <c r="AC323" s="99"/>
      <c r="AD323" s="114">
        <f t="shared" si="26"/>
        <v>0</v>
      </c>
      <c r="AE323" s="115"/>
      <c r="AG323" s="111" t="s">
        <v>21</v>
      </c>
      <c r="AH323" s="112"/>
      <c r="AI323" s="110">
        <f>SUM(AI315:AI322)</f>
        <v>2711</v>
      </c>
      <c r="AJ323" s="87"/>
      <c r="AK323" s="137"/>
      <c r="AL323" s="108"/>
      <c r="AM323" s="109"/>
      <c r="AN323" s="98" t="s">
        <v>20</v>
      </c>
      <c r="AO323" s="99"/>
      <c r="AP323" s="114">
        <f t="shared" si="27"/>
        <v>0</v>
      </c>
      <c r="AQ323" s="115"/>
      <c r="AS323" s="111" t="s">
        <v>21</v>
      </c>
      <c r="AT323" s="112"/>
      <c r="AU323" s="110">
        <f>SUM(AU315:AU322)</f>
        <v>2917</v>
      </c>
      <c r="AW323" s="137"/>
      <c r="AX323" s="108"/>
      <c r="AY323" s="109"/>
      <c r="AZ323" s="98" t="s">
        <v>20</v>
      </c>
      <c r="BA323" s="99"/>
      <c r="BB323" s="114">
        <f t="shared" si="28"/>
        <v>6</v>
      </c>
      <c r="BC323" s="115"/>
      <c r="BE323" s="111" t="s">
        <v>21</v>
      </c>
      <c r="BF323" s="112"/>
      <c r="BG323" s="110">
        <f>SUM(BG315:BG322)</f>
        <v>2957</v>
      </c>
      <c r="BI323" s="137"/>
      <c r="BJ323" s="108"/>
      <c r="BK323" s="109"/>
      <c r="BL323" s="98" t="s">
        <v>20</v>
      </c>
      <c r="BM323" s="99"/>
      <c r="BN323" s="114">
        <f t="shared" si="29"/>
        <v>0</v>
      </c>
      <c r="BO323" s="115"/>
      <c r="BQ323" s="111" t="s">
        <v>21</v>
      </c>
      <c r="BR323" s="112"/>
      <c r="BS323" s="110">
        <f>SUM(BS315:BS322)</f>
        <v>2472</v>
      </c>
      <c r="BU323" s="137"/>
      <c r="BV323" s="108"/>
      <c r="BW323" s="109"/>
      <c r="BX323" s="98" t="s">
        <v>20</v>
      </c>
      <c r="BY323" s="99"/>
      <c r="BZ323" s="114">
        <f t="shared" si="30"/>
        <v>0</v>
      </c>
      <c r="CA323" s="115"/>
      <c r="CC323" s="111" t="s">
        <v>21</v>
      </c>
      <c r="CD323" s="112"/>
      <c r="CE323" s="110">
        <f>SUM(CE315:CE322)</f>
        <v>2806</v>
      </c>
      <c r="CG323" s="137"/>
      <c r="CH323" s="108"/>
      <c r="CI323" s="109"/>
      <c r="CJ323" s="98" t="s">
        <v>20</v>
      </c>
      <c r="CK323" s="99"/>
      <c r="CL323" s="114">
        <f t="shared" si="31"/>
        <v>0</v>
      </c>
      <c r="CM323" s="115"/>
      <c r="CO323" s="111" t="s">
        <v>21</v>
      </c>
      <c r="CP323" s="112"/>
      <c r="CQ323" s="110">
        <f>SUM(CQ315:CQ322)</f>
        <v>1144</v>
      </c>
      <c r="CS323" s="137"/>
      <c r="CT323" s="108"/>
      <c r="CU323" s="109"/>
      <c r="CV323" s="98" t="s">
        <v>20</v>
      </c>
      <c r="CW323" s="99"/>
      <c r="CX323" s="114">
        <f t="shared" si="32"/>
        <v>0</v>
      </c>
      <c r="CY323" s="115"/>
      <c r="DA323" s="111" t="s">
        <v>21</v>
      </c>
      <c r="DB323" s="112"/>
      <c r="DC323" s="110">
        <f>SUM(DC315:DC322)</f>
        <v>0</v>
      </c>
      <c r="DD323" s="2"/>
      <c r="DE323" s="137"/>
      <c r="DF323" s="108"/>
      <c r="DG323" s="109"/>
      <c r="DH323" s="98" t="s">
        <v>20</v>
      </c>
      <c r="DI323" s="99"/>
      <c r="DJ323" s="114">
        <f t="shared" si="33"/>
        <v>0</v>
      </c>
      <c r="DK323" s="115"/>
      <c r="DM323" s="111" t="s">
        <v>21</v>
      </c>
      <c r="DN323" s="112"/>
      <c r="DO323" s="110">
        <f>SUM(DO315:DO322)</f>
        <v>2463</v>
      </c>
      <c r="DP323" s="2"/>
      <c r="DQ323" s="137"/>
      <c r="DR323" s="108"/>
      <c r="DS323" s="109"/>
      <c r="DT323" s="98" t="s">
        <v>20</v>
      </c>
      <c r="DU323" s="99"/>
      <c r="DV323" s="114">
        <f t="shared" si="34"/>
        <v>0</v>
      </c>
      <c r="DW323" s="115"/>
      <c r="DY323" s="111" t="s">
        <v>21</v>
      </c>
      <c r="DZ323" s="112"/>
      <c r="EA323" s="110">
        <f>SUM(EA315:EA322)</f>
        <v>0</v>
      </c>
      <c r="EC323" s="137"/>
      <c r="ED323" s="108"/>
      <c r="EE323" s="109"/>
      <c r="EF323" s="98" t="s">
        <v>20</v>
      </c>
      <c r="EG323" s="99"/>
      <c r="EH323" s="114">
        <f t="shared" si="35"/>
        <v>0</v>
      </c>
      <c r="EI323" s="115"/>
      <c r="EK323" s="111" t="s">
        <v>21</v>
      </c>
      <c r="EL323" s="112"/>
      <c r="EM323" s="110">
        <f>SUM(EM315:EM322)</f>
        <v>0</v>
      </c>
      <c r="EO323" s="137"/>
      <c r="EP323" s="108"/>
      <c r="EQ323" s="109"/>
      <c r="ER323" s="98" t="s">
        <v>20</v>
      </c>
      <c r="ES323" s="99"/>
      <c r="ET323" s="114">
        <f t="shared" si="36"/>
        <v>6</v>
      </c>
      <c r="EU323" s="115"/>
      <c r="EW323" s="111" t="s">
        <v>21</v>
      </c>
      <c r="EX323" s="112"/>
      <c r="EY323" s="110" t="e">
        <f>SUM(EY315:EY322)</f>
        <v>#VALUE!</v>
      </c>
    </row>
    <row r="324" spans="1:155" ht="17.100000000000001" customHeight="1" thickBot="1" x14ac:dyDescent="0.25">
      <c r="A324" s="137"/>
      <c r="B324" s="104" t="s">
        <v>22</v>
      </c>
      <c r="C324" s="105"/>
      <c r="D324" s="116" t="s">
        <v>23</v>
      </c>
      <c r="E324" s="117"/>
      <c r="F324" s="114">
        <f t="shared" si="24"/>
        <v>371</v>
      </c>
      <c r="G324" s="115"/>
      <c r="I324" s="113"/>
      <c r="J324" s="112"/>
      <c r="K324" s="110"/>
      <c r="M324" s="137"/>
      <c r="N324" s="104" t="s">
        <v>22</v>
      </c>
      <c r="O324" s="105"/>
      <c r="P324" s="116" t="s">
        <v>23</v>
      </c>
      <c r="Q324" s="117"/>
      <c r="R324" s="114">
        <f t="shared" si="25"/>
        <v>353</v>
      </c>
      <c r="S324" s="115"/>
      <c r="U324" s="113"/>
      <c r="V324" s="112"/>
      <c r="W324" s="110"/>
      <c r="X324" s="87"/>
      <c r="Y324" s="137"/>
      <c r="Z324" s="104" t="s">
        <v>22</v>
      </c>
      <c r="AA324" s="105"/>
      <c r="AB324" s="116" t="s">
        <v>23</v>
      </c>
      <c r="AC324" s="117"/>
      <c r="AD324" s="114">
        <f t="shared" si="26"/>
        <v>196</v>
      </c>
      <c r="AE324" s="115"/>
      <c r="AG324" s="113"/>
      <c r="AH324" s="112"/>
      <c r="AI324" s="110"/>
      <c r="AJ324" s="87"/>
      <c r="AK324" s="137"/>
      <c r="AL324" s="104" t="s">
        <v>22</v>
      </c>
      <c r="AM324" s="105"/>
      <c r="AN324" s="116" t="s">
        <v>23</v>
      </c>
      <c r="AO324" s="117"/>
      <c r="AP324" s="114">
        <f t="shared" si="27"/>
        <v>388</v>
      </c>
      <c r="AQ324" s="115"/>
      <c r="AS324" s="113"/>
      <c r="AT324" s="112"/>
      <c r="AU324" s="110"/>
      <c r="AW324" s="137"/>
      <c r="AX324" s="104" t="s">
        <v>22</v>
      </c>
      <c r="AY324" s="105"/>
      <c r="AZ324" s="116" t="s">
        <v>23</v>
      </c>
      <c r="BA324" s="117"/>
      <c r="BB324" s="114">
        <f t="shared" si="28"/>
        <v>147</v>
      </c>
      <c r="BC324" s="115"/>
      <c r="BE324" s="113"/>
      <c r="BF324" s="112"/>
      <c r="BG324" s="110"/>
      <c r="BI324" s="137"/>
      <c r="BJ324" s="104" t="s">
        <v>22</v>
      </c>
      <c r="BK324" s="105"/>
      <c r="BL324" s="116" t="s">
        <v>23</v>
      </c>
      <c r="BM324" s="117"/>
      <c r="BN324" s="114">
        <f t="shared" si="29"/>
        <v>72</v>
      </c>
      <c r="BO324" s="115"/>
      <c r="BQ324" s="113"/>
      <c r="BR324" s="112"/>
      <c r="BS324" s="110"/>
      <c r="BU324" s="137"/>
      <c r="BV324" s="104" t="s">
        <v>22</v>
      </c>
      <c r="BW324" s="105"/>
      <c r="BX324" s="116" t="s">
        <v>23</v>
      </c>
      <c r="BY324" s="117"/>
      <c r="BZ324" s="114">
        <f t="shared" si="30"/>
        <v>383</v>
      </c>
      <c r="CA324" s="115"/>
      <c r="CC324" s="113"/>
      <c r="CD324" s="112"/>
      <c r="CE324" s="110"/>
      <c r="CG324" s="137"/>
      <c r="CH324" s="104" t="s">
        <v>22</v>
      </c>
      <c r="CI324" s="105"/>
      <c r="CJ324" s="116" t="s">
        <v>23</v>
      </c>
      <c r="CK324" s="117"/>
      <c r="CL324" s="114">
        <f t="shared" si="31"/>
        <v>17</v>
      </c>
      <c r="CM324" s="115"/>
      <c r="CO324" s="113"/>
      <c r="CP324" s="112"/>
      <c r="CQ324" s="110"/>
      <c r="CS324" s="137"/>
      <c r="CT324" s="104" t="s">
        <v>22</v>
      </c>
      <c r="CU324" s="105"/>
      <c r="CV324" s="116" t="s">
        <v>23</v>
      </c>
      <c r="CW324" s="117"/>
      <c r="CX324" s="114">
        <f t="shared" si="32"/>
        <v>0</v>
      </c>
      <c r="CY324" s="115"/>
      <c r="DA324" s="113"/>
      <c r="DB324" s="112"/>
      <c r="DC324" s="110"/>
      <c r="DD324" s="2"/>
      <c r="DE324" s="137"/>
      <c r="DF324" s="104" t="s">
        <v>22</v>
      </c>
      <c r="DG324" s="105"/>
      <c r="DH324" s="116" t="s">
        <v>23</v>
      </c>
      <c r="DI324" s="117"/>
      <c r="DJ324" s="114">
        <f t="shared" si="33"/>
        <v>216</v>
      </c>
      <c r="DK324" s="115"/>
      <c r="DM324" s="113"/>
      <c r="DN324" s="112"/>
      <c r="DO324" s="110"/>
      <c r="DP324" s="2"/>
      <c r="DQ324" s="137"/>
      <c r="DR324" s="104" t="s">
        <v>22</v>
      </c>
      <c r="DS324" s="105"/>
      <c r="DT324" s="116" t="s">
        <v>23</v>
      </c>
      <c r="DU324" s="117"/>
      <c r="DV324" s="114">
        <f t="shared" si="34"/>
        <v>0</v>
      </c>
      <c r="DW324" s="115"/>
      <c r="DY324" s="113"/>
      <c r="DZ324" s="112"/>
      <c r="EA324" s="110"/>
      <c r="EC324" s="137"/>
      <c r="ED324" s="104" t="s">
        <v>22</v>
      </c>
      <c r="EE324" s="105"/>
      <c r="EF324" s="116" t="s">
        <v>23</v>
      </c>
      <c r="EG324" s="117"/>
      <c r="EH324" s="114">
        <f t="shared" si="35"/>
        <v>0</v>
      </c>
      <c r="EI324" s="115"/>
      <c r="EK324" s="113"/>
      <c r="EL324" s="112"/>
      <c r="EM324" s="110"/>
      <c r="EO324" s="137"/>
      <c r="EP324" s="104" t="s">
        <v>22</v>
      </c>
      <c r="EQ324" s="105"/>
      <c r="ER324" s="116" t="s">
        <v>23</v>
      </c>
      <c r="ES324" s="117"/>
      <c r="ET324" s="114">
        <f t="shared" si="36"/>
        <v>2143</v>
      </c>
      <c r="EU324" s="115"/>
      <c r="EW324" s="113"/>
      <c r="EX324" s="112"/>
      <c r="EY324" s="110"/>
    </row>
    <row r="325" spans="1:155" ht="17.100000000000001" customHeight="1" thickBot="1" x14ac:dyDescent="0.25">
      <c r="A325" s="137"/>
      <c r="B325" s="106"/>
      <c r="C325" s="107"/>
      <c r="D325" s="100" t="s">
        <v>24</v>
      </c>
      <c r="E325" s="101"/>
      <c r="F325" s="114">
        <f t="shared" si="24"/>
        <v>112</v>
      </c>
      <c r="G325" s="115"/>
      <c r="I325" s="113"/>
      <c r="J325" s="112"/>
      <c r="K325" s="110"/>
      <c r="M325" s="137"/>
      <c r="N325" s="106"/>
      <c r="O325" s="107"/>
      <c r="P325" s="100" t="s">
        <v>24</v>
      </c>
      <c r="Q325" s="101"/>
      <c r="R325" s="114">
        <f t="shared" si="25"/>
        <v>102</v>
      </c>
      <c r="S325" s="115"/>
      <c r="U325" s="113"/>
      <c r="V325" s="112"/>
      <c r="W325" s="110"/>
      <c r="X325" s="87"/>
      <c r="Y325" s="137"/>
      <c r="Z325" s="106"/>
      <c r="AA325" s="107"/>
      <c r="AB325" s="100" t="s">
        <v>24</v>
      </c>
      <c r="AC325" s="101"/>
      <c r="AD325" s="114">
        <f t="shared" si="26"/>
        <v>107</v>
      </c>
      <c r="AE325" s="115"/>
      <c r="AG325" s="113"/>
      <c r="AH325" s="112"/>
      <c r="AI325" s="110"/>
      <c r="AJ325" s="87"/>
      <c r="AK325" s="137"/>
      <c r="AL325" s="106"/>
      <c r="AM325" s="107"/>
      <c r="AN325" s="100" t="s">
        <v>24</v>
      </c>
      <c r="AO325" s="101"/>
      <c r="AP325" s="114">
        <f t="shared" si="27"/>
        <v>111</v>
      </c>
      <c r="AQ325" s="115"/>
      <c r="AS325" s="113"/>
      <c r="AT325" s="112"/>
      <c r="AU325" s="110"/>
      <c r="AW325" s="137"/>
      <c r="AX325" s="106"/>
      <c r="AY325" s="107"/>
      <c r="AZ325" s="100" t="s">
        <v>24</v>
      </c>
      <c r="BA325" s="101"/>
      <c r="BB325" s="114">
        <f t="shared" si="28"/>
        <v>36</v>
      </c>
      <c r="BC325" s="115"/>
      <c r="BE325" s="113"/>
      <c r="BF325" s="112"/>
      <c r="BG325" s="110"/>
      <c r="BI325" s="137"/>
      <c r="BJ325" s="106"/>
      <c r="BK325" s="107"/>
      <c r="BL325" s="100" t="s">
        <v>24</v>
      </c>
      <c r="BM325" s="101"/>
      <c r="BN325" s="114">
        <f t="shared" si="29"/>
        <v>51</v>
      </c>
      <c r="BO325" s="115"/>
      <c r="BQ325" s="113"/>
      <c r="BR325" s="112"/>
      <c r="BS325" s="110"/>
      <c r="BU325" s="137"/>
      <c r="BV325" s="106"/>
      <c r="BW325" s="107"/>
      <c r="BX325" s="100" t="s">
        <v>24</v>
      </c>
      <c r="BY325" s="101"/>
      <c r="BZ325" s="114">
        <f t="shared" si="30"/>
        <v>111</v>
      </c>
      <c r="CA325" s="115"/>
      <c r="CC325" s="113"/>
      <c r="CD325" s="112"/>
      <c r="CE325" s="110"/>
      <c r="CG325" s="137"/>
      <c r="CH325" s="106"/>
      <c r="CI325" s="107"/>
      <c r="CJ325" s="100" t="s">
        <v>24</v>
      </c>
      <c r="CK325" s="101"/>
      <c r="CL325" s="114">
        <f t="shared" si="31"/>
        <v>51</v>
      </c>
      <c r="CM325" s="115"/>
      <c r="CO325" s="113"/>
      <c r="CP325" s="112"/>
      <c r="CQ325" s="110"/>
      <c r="CS325" s="137"/>
      <c r="CT325" s="106"/>
      <c r="CU325" s="107"/>
      <c r="CV325" s="100" t="s">
        <v>24</v>
      </c>
      <c r="CW325" s="101"/>
      <c r="CX325" s="114">
        <f t="shared" si="32"/>
        <v>0</v>
      </c>
      <c r="CY325" s="115"/>
      <c r="DA325" s="113"/>
      <c r="DB325" s="112"/>
      <c r="DC325" s="110"/>
      <c r="DD325" s="2"/>
      <c r="DE325" s="137"/>
      <c r="DF325" s="106"/>
      <c r="DG325" s="107"/>
      <c r="DH325" s="100" t="s">
        <v>24</v>
      </c>
      <c r="DI325" s="101"/>
      <c r="DJ325" s="114">
        <f t="shared" si="33"/>
        <v>73</v>
      </c>
      <c r="DK325" s="115"/>
      <c r="DM325" s="113"/>
      <c r="DN325" s="112"/>
      <c r="DO325" s="110"/>
      <c r="DP325" s="2"/>
      <c r="DQ325" s="137"/>
      <c r="DR325" s="106"/>
      <c r="DS325" s="107"/>
      <c r="DT325" s="100" t="s">
        <v>24</v>
      </c>
      <c r="DU325" s="101"/>
      <c r="DV325" s="114">
        <f t="shared" si="34"/>
        <v>0</v>
      </c>
      <c r="DW325" s="115"/>
      <c r="DY325" s="113"/>
      <c r="DZ325" s="112"/>
      <c r="EA325" s="110"/>
      <c r="EC325" s="137"/>
      <c r="ED325" s="106"/>
      <c r="EE325" s="107"/>
      <c r="EF325" s="100" t="s">
        <v>24</v>
      </c>
      <c r="EG325" s="101"/>
      <c r="EH325" s="114">
        <f t="shared" si="35"/>
        <v>0</v>
      </c>
      <c r="EI325" s="115"/>
      <c r="EK325" s="113"/>
      <c r="EL325" s="112"/>
      <c r="EM325" s="110"/>
      <c r="EO325" s="137"/>
      <c r="EP325" s="106"/>
      <c r="EQ325" s="107"/>
      <c r="ER325" s="100" t="s">
        <v>24</v>
      </c>
      <c r="ES325" s="101"/>
      <c r="ET325" s="114">
        <f t="shared" si="36"/>
        <v>754</v>
      </c>
      <c r="EU325" s="115"/>
      <c r="EW325" s="113"/>
      <c r="EX325" s="112"/>
      <c r="EY325" s="110"/>
    </row>
    <row r="326" spans="1:155" ht="17.100000000000001" customHeight="1" thickBot="1" x14ac:dyDescent="0.25">
      <c r="A326" s="137"/>
      <c r="B326" s="106"/>
      <c r="C326" s="107"/>
      <c r="D326" s="100" t="s">
        <v>25</v>
      </c>
      <c r="E326" s="101"/>
      <c r="F326" s="114">
        <f t="shared" si="24"/>
        <v>451</v>
      </c>
      <c r="G326" s="115"/>
      <c r="I326" s="104" t="s">
        <v>26</v>
      </c>
      <c r="J326" s="105"/>
      <c r="K326" s="149">
        <f>K14+K40+K66+K92+K118+K144+K170+K196+K222+K248+K274+K300</f>
        <v>2679</v>
      </c>
      <c r="M326" s="137"/>
      <c r="N326" s="106"/>
      <c r="O326" s="107"/>
      <c r="P326" s="100" t="s">
        <v>25</v>
      </c>
      <c r="Q326" s="101"/>
      <c r="R326" s="114">
        <f t="shared" si="25"/>
        <v>570</v>
      </c>
      <c r="S326" s="115"/>
      <c r="U326" s="104" t="s">
        <v>26</v>
      </c>
      <c r="V326" s="105"/>
      <c r="W326" s="149">
        <f>W14+W40+W66+W92+W118+W144+W170+W196+W222+W248+W274+W300</f>
        <v>2866</v>
      </c>
      <c r="X326" s="87"/>
      <c r="Y326" s="137"/>
      <c r="Z326" s="106"/>
      <c r="AA326" s="107"/>
      <c r="AB326" s="100" t="s">
        <v>25</v>
      </c>
      <c r="AC326" s="101"/>
      <c r="AD326" s="114">
        <f t="shared" si="26"/>
        <v>433</v>
      </c>
      <c r="AE326" s="115"/>
      <c r="AG326" s="104" t="s">
        <v>26</v>
      </c>
      <c r="AH326" s="105"/>
      <c r="AI326" s="149">
        <f>AI14+AI40+AI66+AI92+AI118+AI144+AI170+AI196+AI222+AI248+AI274+AI300</f>
        <v>2711</v>
      </c>
      <c r="AJ326" s="87"/>
      <c r="AK326" s="137"/>
      <c r="AL326" s="106"/>
      <c r="AM326" s="107"/>
      <c r="AN326" s="100" t="s">
        <v>25</v>
      </c>
      <c r="AO326" s="101"/>
      <c r="AP326" s="114">
        <f t="shared" si="27"/>
        <v>665</v>
      </c>
      <c r="AQ326" s="115"/>
      <c r="AS326" s="104" t="s">
        <v>26</v>
      </c>
      <c r="AT326" s="105"/>
      <c r="AU326" s="149">
        <f>AU14+AU40+AU66+AU92+AU118+AU144+AU170+AU196+AU222+AU248+AU274+AU300</f>
        <v>2917</v>
      </c>
      <c r="AW326" s="137"/>
      <c r="AX326" s="106"/>
      <c r="AY326" s="107"/>
      <c r="AZ326" s="100" t="s">
        <v>25</v>
      </c>
      <c r="BA326" s="101"/>
      <c r="BB326" s="114">
        <f t="shared" si="28"/>
        <v>625</v>
      </c>
      <c r="BC326" s="115"/>
      <c r="BE326" s="104" t="s">
        <v>26</v>
      </c>
      <c r="BF326" s="105"/>
      <c r="BG326" s="149">
        <f>BG14+BG40+BG66+BG92+BG118+BG144+BG170+BG196+BG222+BG248+BG274+BG300</f>
        <v>2647</v>
      </c>
      <c r="BI326" s="137"/>
      <c r="BJ326" s="106"/>
      <c r="BK326" s="107"/>
      <c r="BL326" s="100" t="s">
        <v>25</v>
      </c>
      <c r="BM326" s="101"/>
      <c r="BN326" s="114">
        <f t="shared" si="29"/>
        <v>210</v>
      </c>
      <c r="BO326" s="115"/>
      <c r="BQ326" s="104" t="s">
        <v>26</v>
      </c>
      <c r="BR326" s="105"/>
      <c r="BS326" s="149">
        <f>BS14+BS40+BS66+BS92+BS118+BS144+BS170+BS196+BS222+BS248+BS274+BS300</f>
        <v>2472</v>
      </c>
      <c r="BU326" s="137"/>
      <c r="BV326" s="106"/>
      <c r="BW326" s="107"/>
      <c r="BX326" s="100" t="s">
        <v>25</v>
      </c>
      <c r="BY326" s="101"/>
      <c r="BZ326" s="114">
        <f t="shared" si="30"/>
        <v>548</v>
      </c>
      <c r="CA326" s="115"/>
      <c r="CC326" s="104" t="s">
        <v>26</v>
      </c>
      <c r="CD326" s="105"/>
      <c r="CE326" s="149">
        <f>CE14+CE40+CE66+CE92+CE118+CE144+CE170+CE196+CE222+CE248+CE274+CE300</f>
        <v>2806</v>
      </c>
      <c r="CG326" s="137"/>
      <c r="CH326" s="106"/>
      <c r="CI326" s="107"/>
      <c r="CJ326" s="100" t="s">
        <v>25</v>
      </c>
      <c r="CK326" s="101"/>
      <c r="CL326" s="114">
        <f t="shared" si="31"/>
        <v>60</v>
      </c>
      <c r="CM326" s="115"/>
      <c r="CO326" s="104" t="s">
        <v>26</v>
      </c>
      <c r="CP326" s="105"/>
      <c r="CQ326" s="149">
        <f>CQ14+CQ40+CQ66+CQ92+CQ118+CQ144+CQ170+CQ196+CQ222+CQ248+CQ274+CQ300</f>
        <v>1144</v>
      </c>
      <c r="CS326" s="137"/>
      <c r="CT326" s="106"/>
      <c r="CU326" s="107"/>
      <c r="CV326" s="100" t="s">
        <v>25</v>
      </c>
      <c r="CW326" s="101"/>
      <c r="CX326" s="114">
        <f t="shared" si="32"/>
        <v>0</v>
      </c>
      <c r="CY326" s="115"/>
      <c r="DA326" s="104" t="s">
        <v>26</v>
      </c>
      <c r="DB326" s="105"/>
      <c r="DC326" s="149">
        <f>DC14+DC40+DC66+DC92+DC118+DC144+DC170+DC196+DC222+DC248+DC274+DC300</f>
        <v>0</v>
      </c>
      <c r="DD326" s="2"/>
      <c r="DE326" s="137"/>
      <c r="DF326" s="106"/>
      <c r="DG326" s="107"/>
      <c r="DH326" s="100" t="s">
        <v>25</v>
      </c>
      <c r="DI326" s="101"/>
      <c r="DJ326" s="114">
        <f t="shared" si="33"/>
        <v>317</v>
      </c>
      <c r="DK326" s="115"/>
      <c r="DM326" s="104" t="s">
        <v>26</v>
      </c>
      <c r="DN326" s="105"/>
      <c r="DO326" s="149">
        <f>DO14+DO40+DO66+DO92+DO118+DO144+DO170+DO196+DO222+DO248+DO274+DO300</f>
        <v>2454</v>
      </c>
      <c r="DP326" s="2"/>
      <c r="DQ326" s="137"/>
      <c r="DR326" s="106"/>
      <c r="DS326" s="107"/>
      <c r="DT326" s="100" t="s">
        <v>25</v>
      </c>
      <c r="DU326" s="101"/>
      <c r="DV326" s="114">
        <f t="shared" si="34"/>
        <v>0</v>
      </c>
      <c r="DW326" s="115"/>
      <c r="DY326" s="104" t="s">
        <v>26</v>
      </c>
      <c r="DZ326" s="105"/>
      <c r="EA326" s="149">
        <f>EA14+EA40+EA66+EA92+EA118+EA144+EA170+EA196+EA222+EA248+EA274+EA300</f>
        <v>0</v>
      </c>
      <c r="EC326" s="137"/>
      <c r="ED326" s="106"/>
      <c r="EE326" s="107"/>
      <c r="EF326" s="100" t="s">
        <v>25</v>
      </c>
      <c r="EG326" s="101"/>
      <c r="EH326" s="114">
        <f t="shared" si="35"/>
        <v>0</v>
      </c>
      <c r="EI326" s="115"/>
      <c r="EK326" s="104" t="s">
        <v>26</v>
      </c>
      <c r="EL326" s="105"/>
      <c r="EM326" s="149">
        <f>EM14+EM40+EM66+EM92+EM118+EM144+EM170+EM196+EM222+EM248+EM274+EM300</f>
        <v>0</v>
      </c>
      <c r="EO326" s="137"/>
      <c r="EP326" s="106"/>
      <c r="EQ326" s="107"/>
      <c r="ER326" s="100" t="s">
        <v>25</v>
      </c>
      <c r="ES326" s="101"/>
      <c r="ET326" s="114">
        <f t="shared" si="36"/>
        <v>3879</v>
      </c>
      <c r="EU326" s="115"/>
      <c r="EW326" s="104" t="s">
        <v>26</v>
      </c>
      <c r="EX326" s="105"/>
      <c r="EY326" s="149">
        <f>EY14+EY40+EY66+EY92+EY118+EY144+EY170+EY196+EY222+EY248+EY274+EY300</f>
        <v>22696</v>
      </c>
    </row>
    <row r="327" spans="1:155" ht="17.100000000000001" customHeight="1" thickBot="1" x14ac:dyDescent="0.25">
      <c r="A327" s="137"/>
      <c r="B327" s="108"/>
      <c r="C327" s="109"/>
      <c r="D327" s="98" t="s">
        <v>27</v>
      </c>
      <c r="E327" s="99"/>
      <c r="F327" s="114">
        <f t="shared" si="24"/>
        <v>186</v>
      </c>
      <c r="G327" s="115"/>
      <c r="I327" s="106"/>
      <c r="J327" s="107"/>
      <c r="K327" s="150"/>
      <c r="M327" s="137"/>
      <c r="N327" s="108"/>
      <c r="O327" s="109"/>
      <c r="P327" s="98" t="s">
        <v>27</v>
      </c>
      <c r="Q327" s="99"/>
      <c r="R327" s="114">
        <f t="shared" si="25"/>
        <v>240</v>
      </c>
      <c r="S327" s="115"/>
      <c r="U327" s="106"/>
      <c r="V327" s="107"/>
      <c r="W327" s="150"/>
      <c r="X327" s="87"/>
      <c r="Y327" s="137"/>
      <c r="Z327" s="108"/>
      <c r="AA327" s="109"/>
      <c r="AB327" s="98" t="s">
        <v>27</v>
      </c>
      <c r="AC327" s="99"/>
      <c r="AD327" s="114">
        <f t="shared" si="26"/>
        <v>261</v>
      </c>
      <c r="AE327" s="115"/>
      <c r="AG327" s="106"/>
      <c r="AH327" s="107"/>
      <c r="AI327" s="150"/>
      <c r="AJ327" s="87"/>
      <c r="AK327" s="137"/>
      <c r="AL327" s="108"/>
      <c r="AM327" s="109"/>
      <c r="AN327" s="98" t="s">
        <v>27</v>
      </c>
      <c r="AO327" s="99"/>
      <c r="AP327" s="114">
        <f t="shared" si="27"/>
        <v>274</v>
      </c>
      <c r="AQ327" s="115"/>
      <c r="AS327" s="106"/>
      <c r="AT327" s="107"/>
      <c r="AU327" s="150"/>
      <c r="AW327" s="137"/>
      <c r="AX327" s="108"/>
      <c r="AY327" s="109"/>
      <c r="AZ327" s="98" t="s">
        <v>27</v>
      </c>
      <c r="BA327" s="99"/>
      <c r="BB327" s="114">
        <f t="shared" si="28"/>
        <v>609</v>
      </c>
      <c r="BC327" s="115"/>
      <c r="BE327" s="106"/>
      <c r="BF327" s="107"/>
      <c r="BG327" s="150"/>
      <c r="BI327" s="137"/>
      <c r="BJ327" s="108"/>
      <c r="BK327" s="109"/>
      <c r="BL327" s="98" t="s">
        <v>27</v>
      </c>
      <c r="BM327" s="99"/>
      <c r="BN327" s="114">
        <f t="shared" si="29"/>
        <v>122</v>
      </c>
      <c r="BO327" s="115"/>
      <c r="BQ327" s="106"/>
      <c r="BR327" s="107"/>
      <c r="BS327" s="150"/>
      <c r="BU327" s="137"/>
      <c r="BV327" s="108"/>
      <c r="BW327" s="109"/>
      <c r="BX327" s="98" t="s">
        <v>27</v>
      </c>
      <c r="BY327" s="99"/>
      <c r="BZ327" s="114">
        <f t="shared" si="30"/>
        <v>259</v>
      </c>
      <c r="CA327" s="115"/>
      <c r="CC327" s="106"/>
      <c r="CD327" s="107"/>
      <c r="CE327" s="150"/>
      <c r="CG327" s="137"/>
      <c r="CH327" s="108"/>
      <c r="CI327" s="109"/>
      <c r="CJ327" s="98" t="s">
        <v>27</v>
      </c>
      <c r="CK327" s="99"/>
      <c r="CL327" s="114">
        <f t="shared" si="31"/>
        <v>47</v>
      </c>
      <c r="CM327" s="115"/>
      <c r="CO327" s="106"/>
      <c r="CP327" s="107"/>
      <c r="CQ327" s="150"/>
      <c r="CS327" s="137"/>
      <c r="CT327" s="108"/>
      <c r="CU327" s="109"/>
      <c r="CV327" s="98" t="s">
        <v>27</v>
      </c>
      <c r="CW327" s="99"/>
      <c r="CX327" s="114">
        <f t="shared" si="32"/>
        <v>0</v>
      </c>
      <c r="CY327" s="115"/>
      <c r="DA327" s="106"/>
      <c r="DB327" s="107"/>
      <c r="DC327" s="150"/>
      <c r="DD327" s="2"/>
      <c r="DE327" s="137"/>
      <c r="DF327" s="108"/>
      <c r="DG327" s="109"/>
      <c r="DH327" s="98" t="s">
        <v>27</v>
      </c>
      <c r="DI327" s="99"/>
      <c r="DJ327" s="114">
        <f t="shared" si="33"/>
        <v>196</v>
      </c>
      <c r="DK327" s="115"/>
      <c r="DM327" s="106"/>
      <c r="DN327" s="107"/>
      <c r="DO327" s="150"/>
      <c r="DP327" s="2"/>
      <c r="DQ327" s="137"/>
      <c r="DR327" s="108"/>
      <c r="DS327" s="109"/>
      <c r="DT327" s="98" t="s">
        <v>27</v>
      </c>
      <c r="DU327" s="99"/>
      <c r="DV327" s="114">
        <f t="shared" si="34"/>
        <v>0</v>
      </c>
      <c r="DW327" s="115"/>
      <c r="DY327" s="106"/>
      <c r="DZ327" s="107"/>
      <c r="EA327" s="150"/>
      <c r="EC327" s="137"/>
      <c r="ED327" s="108"/>
      <c r="EE327" s="109"/>
      <c r="EF327" s="98" t="s">
        <v>27</v>
      </c>
      <c r="EG327" s="99"/>
      <c r="EH327" s="114">
        <f t="shared" si="35"/>
        <v>0</v>
      </c>
      <c r="EI327" s="115"/>
      <c r="EK327" s="106"/>
      <c r="EL327" s="107"/>
      <c r="EM327" s="150"/>
      <c r="EO327" s="137"/>
      <c r="EP327" s="108"/>
      <c r="EQ327" s="109"/>
      <c r="ER327" s="98" t="s">
        <v>27</v>
      </c>
      <c r="ES327" s="99"/>
      <c r="ET327" s="114">
        <f t="shared" si="36"/>
        <v>2194</v>
      </c>
      <c r="EU327" s="115"/>
      <c r="EW327" s="106"/>
      <c r="EX327" s="107"/>
      <c r="EY327" s="150"/>
    </row>
    <row r="328" spans="1:155" ht="17.100000000000001" customHeight="1" thickBot="1" x14ac:dyDescent="0.25">
      <c r="A328" s="137"/>
      <c r="B328" s="104" t="s">
        <v>28</v>
      </c>
      <c r="C328" s="105"/>
      <c r="D328" s="116" t="s">
        <v>29</v>
      </c>
      <c r="E328" s="117"/>
      <c r="F328" s="114">
        <f t="shared" si="24"/>
        <v>11</v>
      </c>
      <c r="G328" s="115"/>
      <c r="I328" s="106"/>
      <c r="J328" s="107"/>
      <c r="K328" s="150"/>
      <c r="M328" s="137"/>
      <c r="N328" s="104" t="s">
        <v>28</v>
      </c>
      <c r="O328" s="105"/>
      <c r="P328" s="116" t="s">
        <v>29</v>
      </c>
      <c r="Q328" s="117"/>
      <c r="R328" s="114">
        <f t="shared" si="25"/>
        <v>5</v>
      </c>
      <c r="S328" s="115"/>
      <c r="U328" s="106"/>
      <c r="V328" s="107"/>
      <c r="W328" s="150"/>
      <c r="X328" s="87"/>
      <c r="Y328" s="137"/>
      <c r="Z328" s="104" t="s">
        <v>28</v>
      </c>
      <c r="AA328" s="105"/>
      <c r="AB328" s="116" t="s">
        <v>29</v>
      </c>
      <c r="AC328" s="117"/>
      <c r="AD328" s="114">
        <f t="shared" si="26"/>
        <v>47</v>
      </c>
      <c r="AE328" s="115"/>
      <c r="AG328" s="106"/>
      <c r="AH328" s="107"/>
      <c r="AI328" s="150"/>
      <c r="AJ328" s="87"/>
      <c r="AK328" s="137"/>
      <c r="AL328" s="104" t="s">
        <v>28</v>
      </c>
      <c r="AM328" s="105"/>
      <c r="AN328" s="116" t="s">
        <v>29</v>
      </c>
      <c r="AO328" s="117"/>
      <c r="AP328" s="114">
        <f t="shared" si="27"/>
        <v>5</v>
      </c>
      <c r="AQ328" s="115"/>
      <c r="AS328" s="106"/>
      <c r="AT328" s="107"/>
      <c r="AU328" s="150"/>
      <c r="AW328" s="137"/>
      <c r="AX328" s="104" t="s">
        <v>28</v>
      </c>
      <c r="AY328" s="105"/>
      <c r="AZ328" s="116" t="s">
        <v>29</v>
      </c>
      <c r="BA328" s="117"/>
      <c r="BB328" s="114">
        <f t="shared" si="28"/>
        <v>30</v>
      </c>
      <c r="BC328" s="115"/>
      <c r="BE328" s="106"/>
      <c r="BF328" s="107"/>
      <c r="BG328" s="150"/>
      <c r="BI328" s="137"/>
      <c r="BJ328" s="104" t="s">
        <v>28</v>
      </c>
      <c r="BK328" s="105"/>
      <c r="BL328" s="116" t="s">
        <v>29</v>
      </c>
      <c r="BM328" s="117"/>
      <c r="BN328" s="114">
        <f t="shared" si="29"/>
        <v>21</v>
      </c>
      <c r="BO328" s="115"/>
      <c r="BQ328" s="106"/>
      <c r="BR328" s="107"/>
      <c r="BS328" s="150"/>
      <c r="BU328" s="137"/>
      <c r="BV328" s="104" t="s">
        <v>28</v>
      </c>
      <c r="BW328" s="105"/>
      <c r="BX328" s="116" t="s">
        <v>29</v>
      </c>
      <c r="BY328" s="117"/>
      <c r="BZ328" s="114">
        <f t="shared" si="30"/>
        <v>5</v>
      </c>
      <c r="CA328" s="115"/>
      <c r="CC328" s="106"/>
      <c r="CD328" s="107"/>
      <c r="CE328" s="150"/>
      <c r="CG328" s="137"/>
      <c r="CH328" s="104" t="s">
        <v>28</v>
      </c>
      <c r="CI328" s="105"/>
      <c r="CJ328" s="116" t="s">
        <v>29</v>
      </c>
      <c r="CK328" s="117"/>
      <c r="CL328" s="114">
        <f t="shared" si="31"/>
        <v>17</v>
      </c>
      <c r="CM328" s="115"/>
      <c r="CO328" s="106"/>
      <c r="CP328" s="107"/>
      <c r="CQ328" s="150"/>
      <c r="CS328" s="137"/>
      <c r="CT328" s="104" t="s">
        <v>28</v>
      </c>
      <c r="CU328" s="105"/>
      <c r="CV328" s="116" t="s">
        <v>29</v>
      </c>
      <c r="CW328" s="117"/>
      <c r="CX328" s="114">
        <f t="shared" si="32"/>
        <v>0</v>
      </c>
      <c r="CY328" s="115"/>
      <c r="DA328" s="106"/>
      <c r="DB328" s="107"/>
      <c r="DC328" s="150"/>
      <c r="DD328" s="2"/>
      <c r="DE328" s="137"/>
      <c r="DF328" s="104" t="s">
        <v>28</v>
      </c>
      <c r="DG328" s="105"/>
      <c r="DH328" s="116" t="s">
        <v>29</v>
      </c>
      <c r="DI328" s="117"/>
      <c r="DJ328" s="114">
        <f t="shared" si="33"/>
        <v>5</v>
      </c>
      <c r="DK328" s="115"/>
      <c r="DM328" s="106"/>
      <c r="DN328" s="107"/>
      <c r="DO328" s="150"/>
      <c r="DP328" s="2"/>
      <c r="DQ328" s="137"/>
      <c r="DR328" s="104" t="s">
        <v>28</v>
      </c>
      <c r="DS328" s="105"/>
      <c r="DT328" s="116" t="s">
        <v>29</v>
      </c>
      <c r="DU328" s="117"/>
      <c r="DV328" s="114">
        <f t="shared" si="34"/>
        <v>0</v>
      </c>
      <c r="DW328" s="115"/>
      <c r="DY328" s="106"/>
      <c r="DZ328" s="107"/>
      <c r="EA328" s="150"/>
      <c r="EC328" s="137"/>
      <c r="ED328" s="104" t="s">
        <v>28</v>
      </c>
      <c r="EE328" s="105"/>
      <c r="EF328" s="116" t="s">
        <v>29</v>
      </c>
      <c r="EG328" s="117"/>
      <c r="EH328" s="114">
        <f t="shared" si="35"/>
        <v>0</v>
      </c>
      <c r="EI328" s="115"/>
      <c r="EK328" s="106"/>
      <c r="EL328" s="107"/>
      <c r="EM328" s="150"/>
      <c r="EO328" s="137"/>
      <c r="EP328" s="104" t="s">
        <v>28</v>
      </c>
      <c r="EQ328" s="105"/>
      <c r="ER328" s="116" t="s">
        <v>29</v>
      </c>
      <c r="ES328" s="117"/>
      <c r="ET328" s="114">
        <f t="shared" si="36"/>
        <v>146</v>
      </c>
      <c r="EU328" s="115"/>
      <c r="EW328" s="106"/>
      <c r="EX328" s="107"/>
      <c r="EY328" s="150"/>
    </row>
    <row r="329" spans="1:155" ht="17.100000000000001" customHeight="1" thickBot="1" x14ac:dyDescent="0.25">
      <c r="A329" s="137"/>
      <c r="B329" s="106"/>
      <c r="C329" s="107"/>
      <c r="D329" s="100" t="s">
        <v>30</v>
      </c>
      <c r="E329" s="101"/>
      <c r="F329" s="114">
        <f t="shared" si="24"/>
        <v>353</v>
      </c>
      <c r="G329" s="115"/>
      <c r="I329" s="106" t="s">
        <v>31</v>
      </c>
      <c r="J329" s="107"/>
      <c r="K329" s="149">
        <f>K17+K43+K69+K95+K121+K147+K173+K199+K225+K251+K277+K303</f>
        <v>0</v>
      </c>
      <c r="M329" s="137"/>
      <c r="N329" s="106"/>
      <c r="O329" s="107"/>
      <c r="P329" s="100" t="s">
        <v>30</v>
      </c>
      <c r="Q329" s="101"/>
      <c r="R329" s="114">
        <f t="shared" si="25"/>
        <v>310</v>
      </c>
      <c r="S329" s="115"/>
      <c r="U329" s="106" t="s">
        <v>31</v>
      </c>
      <c r="V329" s="107"/>
      <c r="W329" s="149">
        <f>W17+W43+W69+W95+W121+W147+W173+W199+W225+W251+W277+W303</f>
        <v>0</v>
      </c>
      <c r="X329" s="87"/>
      <c r="Y329" s="137"/>
      <c r="Z329" s="106"/>
      <c r="AA329" s="107"/>
      <c r="AB329" s="100" t="s">
        <v>30</v>
      </c>
      <c r="AC329" s="101"/>
      <c r="AD329" s="114">
        <f t="shared" si="26"/>
        <v>160</v>
      </c>
      <c r="AE329" s="115"/>
      <c r="AG329" s="106" t="s">
        <v>31</v>
      </c>
      <c r="AH329" s="107"/>
      <c r="AI329" s="149">
        <f>AI17+AI43+AI69+AI95+AI121+AI147+AI173+AI199+AI225+AI251+AI277+AI303</f>
        <v>0</v>
      </c>
      <c r="AJ329" s="87"/>
      <c r="AK329" s="137"/>
      <c r="AL329" s="106"/>
      <c r="AM329" s="107"/>
      <c r="AN329" s="100" t="s">
        <v>30</v>
      </c>
      <c r="AO329" s="101"/>
      <c r="AP329" s="114">
        <f t="shared" si="27"/>
        <v>338</v>
      </c>
      <c r="AQ329" s="115"/>
      <c r="AS329" s="106" t="s">
        <v>31</v>
      </c>
      <c r="AT329" s="107"/>
      <c r="AU329" s="149">
        <f>AU17+AU43+AU69+AU95+AU121+AU147+AU173+AU199+AU225+AU251+AU277+AU303</f>
        <v>0</v>
      </c>
      <c r="AW329" s="137"/>
      <c r="AX329" s="106"/>
      <c r="AY329" s="107"/>
      <c r="AZ329" s="100" t="s">
        <v>30</v>
      </c>
      <c r="BA329" s="101"/>
      <c r="BB329" s="114">
        <f t="shared" si="28"/>
        <v>116</v>
      </c>
      <c r="BC329" s="115"/>
      <c r="BE329" s="106" t="s">
        <v>31</v>
      </c>
      <c r="BF329" s="107"/>
      <c r="BG329" s="149">
        <f>BG17+BG43+BG69+BG95+BG121+BG147+BG173+BG199+BG225+BG251+BG277+BG303</f>
        <v>310</v>
      </c>
      <c r="BI329" s="137"/>
      <c r="BJ329" s="106"/>
      <c r="BK329" s="107"/>
      <c r="BL329" s="100" t="s">
        <v>30</v>
      </c>
      <c r="BM329" s="101"/>
      <c r="BN329" s="114">
        <f t="shared" si="29"/>
        <v>75</v>
      </c>
      <c r="BO329" s="115"/>
      <c r="BQ329" s="106" t="s">
        <v>31</v>
      </c>
      <c r="BR329" s="107"/>
      <c r="BS329" s="149">
        <f>BS17+BS43+BS69+BS95+BS121+BS147+BS173+BS199+BS225+BS251+BS277+BS303</f>
        <v>0</v>
      </c>
      <c r="BU329" s="137"/>
      <c r="BV329" s="106"/>
      <c r="BW329" s="107"/>
      <c r="BX329" s="100" t="s">
        <v>30</v>
      </c>
      <c r="BY329" s="101"/>
      <c r="BZ329" s="114">
        <f t="shared" si="30"/>
        <v>301</v>
      </c>
      <c r="CA329" s="115"/>
      <c r="CC329" s="106" t="s">
        <v>31</v>
      </c>
      <c r="CD329" s="107"/>
      <c r="CE329" s="149">
        <f>CE17+CE43+CE69+CE95+CE121+CE147+CE173+CE199+CE225+CE251+CE277+CE303</f>
        <v>0</v>
      </c>
      <c r="CG329" s="137"/>
      <c r="CH329" s="106"/>
      <c r="CI329" s="107"/>
      <c r="CJ329" s="100" t="s">
        <v>30</v>
      </c>
      <c r="CK329" s="101"/>
      <c r="CL329" s="114">
        <f t="shared" si="31"/>
        <v>32</v>
      </c>
      <c r="CM329" s="115"/>
      <c r="CO329" s="106" t="s">
        <v>31</v>
      </c>
      <c r="CP329" s="107"/>
      <c r="CQ329" s="149">
        <f>CQ17+CQ43+CQ69+CQ95+CQ121+CQ147+CQ173+CQ199+CQ225+CQ251+CQ277+CQ303</f>
        <v>0</v>
      </c>
      <c r="CS329" s="137"/>
      <c r="CT329" s="106"/>
      <c r="CU329" s="107"/>
      <c r="CV329" s="100" t="s">
        <v>30</v>
      </c>
      <c r="CW329" s="101"/>
      <c r="CX329" s="114">
        <f t="shared" si="32"/>
        <v>0</v>
      </c>
      <c r="CY329" s="115"/>
      <c r="DA329" s="106" t="s">
        <v>31</v>
      </c>
      <c r="DB329" s="107"/>
      <c r="DC329" s="149">
        <f>DC17+DC43+DC69+DC95+DC121+DC147+DC173+DC199+DC225+DC251+DC277+DC303</f>
        <v>0</v>
      </c>
      <c r="DD329" s="2"/>
      <c r="DE329" s="137"/>
      <c r="DF329" s="106"/>
      <c r="DG329" s="107"/>
      <c r="DH329" s="100" t="s">
        <v>30</v>
      </c>
      <c r="DI329" s="101"/>
      <c r="DJ329" s="114">
        <f t="shared" si="33"/>
        <v>224</v>
      </c>
      <c r="DK329" s="115"/>
      <c r="DM329" s="106" t="s">
        <v>31</v>
      </c>
      <c r="DN329" s="107"/>
      <c r="DO329" s="149">
        <f>DO17+DO43+DO69+DO95+DO121+DO147+DO173+DO199+DO225+DO251+DO277+DO303</f>
        <v>0</v>
      </c>
      <c r="DP329" s="2"/>
      <c r="DQ329" s="137"/>
      <c r="DR329" s="106"/>
      <c r="DS329" s="107"/>
      <c r="DT329" s="100" t="s">
        <v>30</v>
      </c>
      <c r="DU329" s="101"/>
      <c r="DV329" s="114">
        <f t="shared" si="34"/>
        <v>0</v>
      </c>
      <c r="DW329" s="115"/>
      <c r="DY329" s="106" t="s">
        <v>31</v>
      </c>
      <c r="DZ329" s="107"/>
      <c r="EA329" s="149">
        <f>EA17+EA43+EA69+EA95+EA121+EA147+EA173+EA199+EA225+EA251+EA277+EA303</f>
        <v>0</v>
      </c>
      <c r="EC329" s="137"/>
      <c r="ED329" s="106"/>
      <c r="EE329" s="107"/>
      <c r="EF329" s="100" t="s">
        <v>30</v>
      </c>
      <c r="EG329" s="101"/>
      <c r="EH329" s="114">
        <f t="shared" si="35"/>
        <v>0</v>
      </c>
      <c r="EI329" s="115"/>
      <c r="EK329" s="106" t="s">
        <v>31</v>
      </c>
      <c r="EL329" s="107"/>
      <c r="EM329" s="149">
        <f>EM17+EM43+EM69+EM95+EM121+EM147+EM173+EM199+EM225+EM251+EM277+EM303</f>
        <v>0</v>
      </c>
      <c r="EO329" s="137"/>
      <c r="EP329" s="106"/>
      <c r="EQ329" s="107"/>
      <c r="ER329" s="100" t="s">
        <v>30</v>
      </c>
      <c r="ES329" s="101"/>
      <c r="ET329" s="114">
        <f t="shared" si="36"/>
        <v>1909</v>
      </c>
      <c r="EU329" s="115"/>
      <c r="EW329" s="106" t="s">
        <v>31</v>
      </c>
      <c r="EX329" s="107"/>
      <c r="EY329" s="149">
        <f>EY17+EY43+EY69+EY95+EY121+EY147+EY173+EY199+EY225+EY251+EY277+EY303</f>
        <v>310</v>
      </c>
    </row>
    <row r="330" spans="1:155" ht="17.100000000000001" customHeight="1" thickBot="1" x14ac:dyDescent="0.25">
      <c r="A330" s="137"/>
      <c r="B330" s="108"/>
      <c r="C330" s="109"/>
      <c r="D330" s="98" t="s">
        <v>32</v>
      </c>
      <c r="E330" s="99"/>
      <c r="F330" s="114">
        <f t="shared" si="24"/>
        <v>51</v>
      </c>
      <c r="G330" s="115"/>
      <c r="I330" s="106"/>
      <c r="J330" s="107"/>
      <c r="K330" s="150"/>
      <c r="M330" s="137"/>
      <c r="N330" s="108"/>
      <c r="O330" s="109"/>
      <c r="P330" s="98" t="s">
        <v>32</v>
      </c>
      <c r="Q330" s="99"/>
      <c r="R330" s="114">
        <f t="shared" si="25"/>
        <v>42</v>
      </c>
      <c r="S330" s="115"/>
      <c r="U330" s="106"/>
      <c r="V330" s="107"/>
      <c r="W330" s="150"/>
      <c r="X330" s="87"/>
      <c r="Y330" s="137"/>
      <c r="Z330" s="108"/>
      <c r="AA330" s="109"/>
      <c r="AB330" s="98" t="s">
        <v>32</v>
      </c>
      <c r="AC330" s="99"/>
      <c r="AD330" s="114">
        <f t="shared" si="26"/>
        <v>0</v>
      </c>
      <c r="AE330" s="115"/>
      <c r="AG330" s="106"/>
      <c r="AH330" s="107"/>
      <c r="AI330" s="150"/>
      <c r="AJ330" s="87"/>
      <c r="AK330" s="137"/>
      <c r="AL330" s="108"/>
      <c r="AM330" s="109"/>
      <c r="AN330" s="98" t="s">
        <v>32</v>
      </c>
      <c r="AO330" s="99"/>
      <c r="AP330" s="114">
        <f t="shared" si="27"/>
        <v>52</v>
      </c>
      <c r="AQ330" s="115"/>
      <c r="AS330" s="106"/>
      <c r="AT330" s="107"/>
      <c r="AU330" s="150"/>
      <c r="AW330" s="137"/>
      <c r="AX330" s="108"/>
      <c r="AY330" s="109"/>
      <c r="AZ330" s="98" t="s">
        <v>32</v>
      </c>
      <c r="BA330" s="99"/>
      <c r="BB330" s="114">
        <f t="shared" si="28"/>
        <v>0</v>
      </c>
      <c r="BC330" s="115"/>
      <c r="BE330" s="106"/>
      <c r="BF330" s="107"/>
      <c r="BG330" s="150"/>
      <c r="BI330" s="137"/>
      <c r="BJ330" s="108"/>
      <c r="BK330" s="109"/>
      <c r="BL330" s="98" t="s">
        <v>32</v>
      </c>
      <c r="BM330" s="99"/>
      <c r="BN330" s="114">
        <f t="shared" si="29"/>
        <v>0</v>
      </c>
      <c r="BO330" s="115"/>
      <c r="BQ330" s="106"/>
      <c r="BR330" s="107"/>
      <c r="BS330" s="150"/>
      <c r="BU330" s="137"/>
      <c r="BV330" s="108"/>
      <c r="BW330" s="109"/>
      <c r="BX330" s="98" t="s">
        <v>32</v>
      </c>
      <c r="BY330" s="99"/>
      <c r="BZ330" s="114">
        <f t="shared" si="30"/>
        <v>52</v>
      </c>
      <c r="CA330" s="115"/>
      <c r="CC330" s="106"/>
      <c r="CD330" s="107"/>
      <c r="CE330" s="150"/>
      <c r="CG330" s="137"/>
      <c r="CH330" s="108"/>
      <c r="CI330" s="109"/>
      <c r="CJ330" s="98" t="s">
        <v>32</v>
      </c>
      <c r="CK330" s="99"/>
      <c r="CL330" s="114">
        <f t="shared" si="31"/>
        <v>0</v>
      </c>
      <c r="CM330" s="115"/>
      <c r="CO330" s="106"/>
      <c r="CP330" s="107"/>
      <c r="CQ330" s="150"/>
      <c r="CS330" s="137"/>
      <c r="CT330" s="108"/>
      <c r="CU330" s="109"/>
      <c r="CV330" s="98" t="s">
        <v>32</v>
      </c>
      <c r="CW330" s="99"/>
      <c r="CX330" s="114">
        <f t="shared" si="32"/>
        <v>0</v>
      </c>
      <c r="CY330" s="115"/>
      <c r="DA330" s="106"/>
      <c r="DB330" s="107"/>
      <c r="DC330" s="150"/>
      <c r="DD330" s="2"/>
      <c r="DE330" s="137"/>
      <c r="DF330" s="108"/>
      <c r="DG330" s="109"/>
      <c r="DH330" s="98" t="s">
        <v>32</v>
      </c>
      <c r="DI330" s="99"/>
      <c r="DJ330" s="114">
        <f t="shared" si="33"/>
        <v>13</v>
      </c>
      <c r="DK330" s="115"/>
      <c r="DM330" s="106"/>
      <c r="DN330" s="107"/>
      <c r="DO330" s="150"/>
      <c r="DP330" s="2"/>
      <c r="DQ330" s="137"/>
      <c r="DR330" s="108"/>
      <c r="DS330" s="109"/>
      <c r="DT330" s="98" t="s">
        <v>32</v>
      </c>
      <c r="DU330" s="99"/>
      <c r="DV330" s="114">
        <f t="shared" si="34"/>
        <v>0</v>
      </c>
      <c r="DW330" s="115"/>
      <c r="DY330" s="106"/>
      <c r="DZ330" s="107"/>
      <c r="EA330" s="150"/>
      <c r="EC330" s="137"/>
      <c r="ED330" s="108"/>
      <c r="EE330" s="109"/>
      <c r="EF330" s="98" t="s">
        <v>32</v>
      </c>
      <c r="EG330" s="99"/>
      <c r="EH330" s="114">
        <f t="shared" si="35"/>
        <v>0</v>
      </c>
      <c r="EI330" s="115"/>
      <c r="EK330" s="106"/>
      <c r="EL330" s="107"/>
      <c r="EM330" s="150"/>
      <c r="EO330" s="137"/>
      <c r="EP330" s="108"/>
      <c r="EQ330" s="109"/>
      <c r="ER330" s="98" t="s">
        <v>32</v>
      </c>
      <c r="ES330" s="99"/>
      <c r="ET330" s="114">
        <f t="shared" si="36"/>
        <v>210</v>
      </c>
      <c r="EU330" s="115"/>
      <c r="EW330" s="106"/>
      <c r="EX330" s="107"/>
      <c r="EY330" s="150"/>
    </row>
    <row r="331" spans="1:155" ht="17.100000000000001" customHeight="1" thickBot="1" x14ac:dyDescent="0.25">
      <c r="A331" s="137"/>
      <c r="B331" s="104" t="s">
        <v>33</v>
      </c>
      <c r="C331" s="105"/>
      <c r="D331" s="116" t="s">
        <v>34</v>
      </c>
      <c r="E331" s="117"/>
      <c r="F331" s="114">
        <f t="shared" si="24"/>
        <v>254</v>
      </c>
      <c r="G331" s="115"/>
      <c r="I331" s="108"/>
      <c r="J331" s="109"/>
      <c r="K331" s="150"/>
      <c r="M331" s="137"/>
      <c r="N331" s="104" t="s">
        <v>33</v>
      </c>
      <c r="O331" s="105"/>
      <c r="P331" s="116" t="s">
        <v>34</v>
      </c>
      <c r="Q331" s="117"/>
      <c r="R331" s="114">
        <f t="shared" si="25"/>
        <v>267</v>
      </c>
      <c r="S331" s="115"/>
      <c r="U331" s="108"/>
      <c r="V331" s="109"/>
      <c r="W331" s="150"/>
      <c r="X331" s="87"/>
      <c r="Y331" s="137"/>
      <c r="Z331" s="104" t="s">
        <v>33</v>
      </c>
      <c r="AA331" s="105"/>
      <c r="AB331" s="116" t="s">
        <v>34</v>
      </c>
      <c r="AC331" s="117"/>
      <c r="AD331" s="114">
        <f t="shared" si="26"/>
        <v>339</v>
      </c>
      <c r="AE331" s="115"/>
      <c r="AG331" s="108"/>
      <c r="AH331" s="109"/>
      <c r="AI331" s="150"/>
      <c r="AJ331" s="87"/>
      <c r="AK331" s="137"/>
      <c r="AL331" s="104" t="s">
        <v>33</v>
      </c>
      <c r="AM331" s="105"/>
      <c r="AN331" s="116" t="s">
        <v>34</v>
      </c>
      <c r="AO331" s="117"/>
      <c r="AP331" s="114">
        <f t="shared" si="27"/>
        <v>266</v>
      </c>
      <c r="AQ331" s="115"/>
      <c r="AS331" s="108"/>
      <c r="AT331" s="109"/>
      <c r="AU331" s="150"/>
      <c r="AW331" s="137"/>
      <c r="AX331" s="104" t="s">
        <v>33</v>
      </c>
      <c r="AY331" s="105"/>
      <c r="AZ331" s="116" t="s">
        <v>34</v>
      </c>
      <c r="BA331" s="117"/>
      <c r="BB331" s="114">
        <f t="shared" si="28"/>
        <v>294</v>
      </c>
      <c r="BC331" s="115"/>
      <c r="BE331" s="108"/>
      <c r="BF331" s="109"/>
      <c r="BG331" s="150"/>
      <c r="BI331" s="137"/>
      <c r="BJ331" s="104" t="s">
        <v>33</v>
      </c>
      <c r="BK331" s="105"/>
      <c r="BL331" s="116" t="s">
        <v>34</v>
      </c>
      <c r="BM331" s="117"/>
      <c r="BN331" s="114">
        <f t="shared" si="29"/>
        <v>111</v>
      </c>
      <c r="BO331" s="115"/>
      <c r="BQ331" s="108"/>
      <c r="BR331" s="109"/>
      <c r="BS331" s="150"/>
      <c r="BU331" s="137"/>
      <c r="BV331" s="104" t="s">
        <v>33</v>
      </c>
      <c r="BW331" s="105"/>
      <c r="BX331" s="116" t="s">
        <v>34</v>
      </c>
      <c r="BY331" s="117"/>
      <c r="BZ331" s="114">
        <f t="shared" si="30"/>
        <v>237</v>
      </c>
      <c r="CA331" s="115"/>
      <c r="CC331" s="108"/>
      <c r="CD331" s="109"/>
      <c r="CE331" s="150"/>
      <c r="CG331" s="137"/>
      <c r="CH331" s="104" t="s">
        <v>33</v>
      </c>
      <c r="CI331" s="105"/>
      <c r="CJ331" s="116" t="s">
        <v>34</v>
      </c>
      <c r="CK331" s="117"/>
      <c r="CL331" s="114">
        <f t="shared" si="31"/>
        <v>21</v>
      </c>
      <c r="CM331" s="115"/>
      <c r="CO331" s="108"/>
      <c r="CP331" s="109"/>
      <c r="CQ331" s="150"/>
      <c r="CS331" s="137"/>
      <c r="CT331" s="104" t="s">
        <v>33</v>
      </c>
      <c r="CU331" s="105"/>
      <c r="CV331" s="116" t="s">
        <v>34</v>
      </c>
      <c r="CW331" s="117"/>
      <c r="CX331" s="114">
        <f t="shared" si="32"/>
        <v>0</v>
      </c>
      <c r="CY331" s="115"/>
      <c r="DA331" s="108"/>
      <c r="DB331" s="109"/>
      <c r="DC331" s="150"/>
      <c r="DD331" s="2"/>
      <c r="DE331" s="137"/>
      <c r="DF331" s="104" t="s">
        <v>33</v>
      </c>
      <c r="DG331" s="105"/>
      <c r="DH331" s="116" t="s">
        <v>34</v>
      </c>
      <c r="DI331" s="117"/>
      <c r="DJ331" s="114">
        <f t="shared" si="33"/>
        <v>262</v>
      </c>
      <c r="DK331" s="115"/>
      <c r="DM331" s="108"/>
      <c r="DN331" s="109"/>
      <c r="DO331" s="150"/>
      <c r="DP331" s="2"/>
      <c r="DQ331" s="137"/>
      <c r="DR331" s="104" t="s">
        <v>33</v>
      </c>
      <c r="DS331" s="105"/>
      <c r="DT331" s="116" t="s">
        <v>34</v>
      </c>
      <c r="DU331" s="117"/>
      <c r="DV331" s="114">
        <f t="shared" si="34"/>
        <v>0</v>
      </c>
      <c r="DW331" s="115"/>
      <c r="DY331" s="108"/>
      <c r="DZ331" s="109"/>
      <c r="EA331" s="150"/>
      <c r="EC331" s="137"/>
      <c r="ED331" s="104" t="s">
        <v>33</v>
      </c>
      <c r="EE331" s="105"/>
      <c r="EF331" s="116" t="s">
        <v>34</v>
      </c>
      <c r="EG331" s="117"/>
      <c r="EH331" s="114">
        <f t="shared" si="35"/>
        <v>0</v>
      </c>
      <c r="EI331" s="115"/>
      <c r="EK331" s="108"/>
      <c r="EL331" s="109"/>
      <c r="EM331" s="150"/>
      <c r="EO331" s="137"/>
      <c r="EP331" s="104" t="s">
        <v>33</v>
      </c>
      <c r="EQ331" s="105"/>
      <c r="ER331" s="116" t="s">
        <v>34</v>
      </c>
      <c r="ES331" s="117"/>
      <c r="ET331" s="114">
        <f t="shared" si="36"/>
        <v>2051</v>
      </c>
      <c r="EU331" s="115"/>
      <c r="EW331" s="108"/>
      <c r="EX331" s="109"/>
      <c r="EY331" s="150"/>
    </row>
    <row r="332" spans="1:155" ht="17.100000000000001" customHeight="1" thickBot="1" x14ac:dyDescent="0.25">
      <c r="A332" s="137"/>
      <c r="B332" s="108"/>
      <c r="C332" s="109"/>
      <c r="D332" s="98" t="s">
        <v>35</v>
      </c>
      <c r="E332" s="99"/>
      <c r="F332" s="114">
        <f t="shared" si="24"/>
        <v>0</v>
      </c>
      <c r="G332" s="115"/>
      <c r="I332" s="73"/>
      <c r="J332" s="25"/>
      <c r="K332" s="26">
        <f>SUM(K326:K331)</f>
        <v>2679</v>
      </c>
      <c r="M332" s="137"/>
      <c r="N332" s="108"/>
      <c r="O332" s="109"/>
      <c r="P332" s="98" t="s">
        <v>35</v>
      </c>
      <c r="Q332" s="99"/>
      <c r="R332" s="114">
        <f t="shared" si="25"/>
        <v>0</v>
      </c>
      <c r="S332" s="115"/>
      <c r="U332" s="73"/>
      <c r="V332" s="25"/>
      <c r="W332" s="26">
        <f>SUM(W326:W331)</f>
        <v>2866</v>
      </c>
      <c r="X332" s="87"/>
      <c r="Y332" s="137"/>
      <c r="Z332" s="108"/>
      <c r="AA332" s="109"/>
      <c r="AB332" s="98" t="s">
        <v>35</v>
      </c>
      <c r="AC332" s="99"/>
      <c r="AD332" s="114">
        <f t="shared" si="26"/>
        <v>0</v>
      </c>
      <c r="AE332" s="115"/>
      <c r="AG332" s="73"/>
      <c r="AH332" s="25"/>
      <c r="AI332" s="26">
        <f>SUM(AI326:AI331)</f>
        <v>2711</v>
      </c>
      <c r="AJ332" s="87"/>
      <c r="AK332" s="137"/>
      <c r="AL332" s="108"/>
      <c r="AM332" s="109"/>
      <c r="AN332" s="98" t="s">
        <v>35</v>
      </c>
      <c r="AO332" s="99"/>
      <c r="AP332" s="114">
        <f t="shared" si="27"/>
        <v>0</v>
      </c>
      <c r="AQ332" s="115"/>
      <c r="AS332" s="73"/>
      <c r="AT332" s="25"/>
      <c r="AU332" s="26">
        <f>SUM(AU326:AU331)</f>
        <v>2917</v>
      </c>
      <c r="AW332" s="137"/>
      <c r="AX332" s="108"/>
      <c r="AY332" s="109"/>
      <c r="AZ332" s="98" t="s">
        <v>35</v>
      </c>
      <c r="BA332" s="99"/>
      <c r="BB332" s="114">
        <f t="shared" si="28"/>
        <v>0</v>
      </c>
      <c r="BC332" s="115"/>
      <c r="BE332" s="73"/>
      <c r="BF332" s="25"/>
      <c r="BG332" s="26">
        <f>SUM(BG326:BG331)</f>
        <v>2957</v>
      </c>
      <c r="BI332" s="137"/>
      <c r="BJ332" s="108"/>
      <c r="BK332" s="109"/>
      <c r="BL332" s="98" t="s">
        <v>35</v>
      </c>
      <c r="BM332" s="99"/>
      <c r="BN332" s="114">
        <f t="shared" si="29"/>
        <v>0</v>
      </c>
      <c r="BO332" s="115"/>
      <c r="BQ332" s="73"/>
      <c r="BR332" s="25"/>
      <c r="BS332" s="26">
        <f>SUM(BS326:BS331)</f>
        <v>2472</v>
      </c>
      <c r="BU332" s="137"/>
      <c r="BV332" s="108"/>
      <c r="BW332" s="109"/>
      <c r="BX332" s="98" t="s">
        <v>35</v>
      </c>
      <c r="BY332" s="99"/>
      <c r="BZ332" s="114">
        <f t="shared" si="30"/>
        <v>0</v>
      </c>
      <c r="CA332" s="115"/>
      <c r="CC332" s="73"/>
      <c r="CD332" s="25"/>
      <c r="CE332" s="26">
        <f>SUM(CE326:CE331)</f>
        <v>2806</v>
      </c>
      <c r="CG332" s="137"/>
      <c r="CH332" s="108"/>
      <c r="CI332" s="109"/>
      <c r="CJ332" s="98" t="s">
        <v>35</v>
      </c>
      <c r="CK332" s="99"/>
      <c r="CL332" s="114">
        <f t="shared" si="31"/>
        <v>0</v>
      </c>
      <c r="CM332" s="115"/>
      <c r="CO332" s="73"/>
      <c r="CP332" s="25"/>
      <c r="CQ332" s="26">
        <f>SUM(CQ326:CQ331)</f>
        <v>1144</v>
      </c>
      <c r="CS332" s="137"/>
      <c r="CT332" s="108"/>
      <c r="CU332" s="109"/>
      <c r="CV332" s="98" t="s">
        <v>35</v>
      </c>
      <c r="CW332" s="99"/>
      <c r="CX332" s="114">
        <f t="shared" si="32"/>
        <v>0</v>
      </c>
      <c r="CY332" s="115"/>
      <c r="DA332" s="73"/>
      <c r="DB332" s="25"/>
      <c r="DC332" s="26">
        <f>SUM(DC326:DC331)</f>
        <v>0</v>
      </c>
      <c r="DD332" s="2"/>
      <c r="DE332" s="137"/>
      <c r="DF332" s="108"/>
      <c r="DG332" s="109"/>
      <c r="DH332" s="98" t="s">
        <v>35</v>
      </c>
      <c r="DI332" s="99"/>
      <c r="DJ332" s="114">
        <f t="shared" si="33"/>
        <v>0</v>
      </c>
      <c r="DK332" s="115"/>
      <c r="DM332" s="73"/>
      <c r="DN332" s="25"/>
      <c r="DO332" s="26">
        <f>SUM(DO326:DO331)</f>
        <v>2454</v>
      </c>
      <c r="DP332" s="2"/>
      <c r="DQ332" s="137"/>
      <c r="DR332" s="108"/>
      <c r="DS332" s="109"/>
      <c r="DT332" s="98" t="s">
        <v>35</v>
      </c>
      <c r="DU332" s="99"/>
      <c r="DV332" s="114">
        <f t="shared" si="34"/>
        <v>0</v>
      </c>
      <c r="DW332" s="115"/>
      <c r="DY332" s="73"/>
      <c r="DZ332" s="25"/>
      <c r="EA332" s="26">
        <f>SUM(EA326:EA331)</f>
        <v>0</v>
      </c>
      <c r="EC332" s="137"/>
      <c r="ED332" s="108"/>
      <c r="EE332" s="109"/>
      <c r="EF332" s="98" t="s">
        <v>35</v>
      </c>
      <c r="EG332" s="99"/>
      <c r="EH332" s="114">
        <f t="shared" si="35"/>
        <v>0</v>
      </c>
      <c r="EI332" s="115"/>
      <c r="EK332" s="73"/>
      <c r="EL332" s="25"/>
      <c r="EM332" s="26">
        <f>SUM(EM326:EM331)</f>
        <v>0</v>
      </c>
      <c r="EO332" s="137"/>
      <c r="EP332" s="108"/>
      <c r="EQ332" s="109"/>
      <c r="ER332" s="98" t="s">
        <v>35</v>
      </c>
      <c r="ES332" s="99"/>
      <c r="ET332" s="114">
        <f t="shared" si="36"/>
        <v>0</v>
      </c>
      <c r="EU332" s="115"/>
      <c r="EW332" s="73"/>
      <c r="EX332" s="25"/>
      <c r="EY332" s="26">
        <f>SUM(EY326:EY331)</f>
        <v>23006</v>
      </c>
    </row>
    <row r="333" spans="1:155" ht="17.100000000000001" customHeight="1" thickBot="1" x14ac:dyDescent="0.25">
      <c r="A333" s="138"/>
      <c r="B333" s="118" t="s">
        <v>36</v>
      </c>
      <c r="C333" s="119"/>
      <c r="D333" s="119"/>
      <c r="E333" s="120"/>
      <c r="F333" s="114">
        <f t="shared" si="24"/>
        <v>0</v>
      </c>
      <c r="G333" s="115"/>
      <c r="I333" s="111" t="s">
        <v>37</v>
      </c>
      <c r="J333" s="124"/>
      <c r="K333" s="121">
        <f>K21+K47+K73+K99+K125+K151+K177+K203+K229+K255+K281+K307</f>
        <v>816</v>
      </c>
      <c r="M333" s="138"/>
      <c r="N333" s="118" t="s">
        <v>36</v>
      </c>
      <c r="O333" s="119"/>
      <c r="P333" s="119"/>
      <c r="Q333" s="120"/>
      <c r="R333" s="114">
        <f t="shared" si="25"/>
        <v>0</v>
      </c>
      <c r="S333" s="115"/>
      <c r="U333" s="111" t="s">
        <v>37</v>
      </c>
      <c r="V333" s="124"/>
      <c r="W333" s="121">
        <f>W21+W47+W73+W99+W125+W151+W177+W203+W229+W255+W281+W307</f>
        <v>1174</v>
      </c>
      <c r="X333" s="87"/>
      <c r="Y333" s="138"/>
      <c r="Z333" s="118" t="s">
        <v>36</v>
      </c>
      <c r="AA333" s="119"/>
      <c r="AB333" s="119"/>
      <c r="AC333" s="120"/>
      <c r="AD333" s="114">
        <f t="shared" si="26"/>
        <v>0</v>
      </c>
      <c r="AE333" s="115"/>
      <c r="AG333" s="111" t="s">
        <v>37</v>
      </c>
      <c r="AH333" s="124"/>
      <c r="AI333" s="121">
        <f>AI21+AI47+AI73+AI99+AI125+AI151+AI177+AI203+AI229+AI255+AI281+AI307</f>
        <v>349</v>
      </c>
      <c r="AJ333" s="87"/>
      <c r="AK333" s="138"/>
      <c r="AL333" s="118" t="s">
        <v>36</v>
      </c>
      <c r="AM333" s="119"/>
      <c r="AN333" s="119"/>
      <c r="AO333" s="120"/>
      <c r="AP333" s="114">
        <f t="shared" si="27"/>
        <v>0</v>
      </c>
      <c r="AQ333" s="115"/>
      <c r="AS333" s="111" t="s">
        <v>37</v>
      </c>
      <c r="AT333" s="124"/>
      <c r="AU333" s="121">
        <f>AU21+AU47+AU73+AU99+AU125+AU151+AU177+AU203+AU229+AU255+AU281+AU307</f>
        <v>344</v>
      </c>
      <c r="AW333" s="138"/>
      <c r="AX333" s="118" t="s">
        <v>36</v>
      </c>
      <c r="AY333" s="119"/>
      <c r="AZ333" s="119"/>
      <c r="BA333" s="120"/>
      <c r="BB333" s="114">
        <f t="shared" si="28"/>
        <v>0</v>
      </c>
      <c r="BC333" s="115"/>
      <c r="BE333" s="111" t="s">
        <v>37</v>
      </c>
      <c r="BF333" s="124"/>
      <c r="BG333" s="121">
        <f>BG21+BG47+BG73+BG99+BG125+BG151+BG177+BG203+BG229+BG255+BG281+BG307</f>
        <v>1349</v>
      </c>
      <c r="BI333" s="138"/>
      <c r="BJ333" s="118" t="s">
        <v>36</v>
      </c>
      <c r="BK333" s="119"/>
      <c r="BL333" s="119"/>
      <c r="BM333" s="120"/>
      <c r="BN333" s="114">
        <f t="shared" si="29"/>
        <v>0</v>
      </c>
      <c r="BO333" s="115"/>
      <c r="BQ333" s="111" t="s">
        <v>37</v>
      </c>
      <c r="BR333" s="124"/>
      <c r="BS333" s="121">
        <f>BS21+BS47+BS73+BS99+BS125+BS151+BS177+BS203+BS229+BS255+BS281+BS307</f>
        <v>1086</v>
      </c>
      <c r="BU333" s="138"/>
      <c r="BV333" s="118" t="s">
        <v>36</v>
      </c>
      <c r="BW333" s="119"/>
      <c r="BX333" s="119"/>
      <c r="BY333" s="120"/>
      <c r="BZ333" s="114">
        <f t="shared" si="30"/>
        <v>0</v>
      </c>
      <c r="CA333" s="115"/>
      <c r="CC333" s="111" t="s">
        <v>37</v>
      </c>
      <c r="CD333" s="124"/>
      <c r="CE333" s="121">
        <f>CE21+CE47+CE73+CE99+CE125+CE151+CE177+CE203+CE229+CE255+CE281+CE307</f>
        <v>521</v>
      </c>
      <c r="CG333" s="138"/>
      <c r="CH333" s="118" t="s">
        <v>36</v>
      </c>
      <c r="CI333" s="119"/>
      <c r="CJ333" s="119"/>
      <c r="CK333" s="120"/>
      <c r="CL333" s="114">
        <f t="shared" si="31"/>
        <v>0</v>
      </c>
      <c r="CM333" s="115"/>
      <c r="CO333" s="111" t="s">
        <v>37</v>
      </c>
      <c r="CP333" s="124"/>
      <c r="CQ333" s="121">
        <f>CQ21+CQ47+CQ73+CQ99+CQ125+CQ151+CQ177+CQ203+CQ229+CQ255+CQ281+CQ307</f>
        <v>677</v>
      </c>
      <c r="CS333" s="138"/>
      <c r="CT333" s="118" t="s">
        <v>36</v>
      </c>
      <c r="CU333" s="119"/>
      <c r="CV333" s="119"/>
      <c r="CW333" s="120"/>
      <c r="CX333" s="114">
        <f t="shared" si="32"/>
        <v>0</v>
      </c>
      <c r="CY333" s="115"/>
      <c r="DA333" s="111" t="s">
        <v>37</v>
      </c>
      <c r="DB333" s="124"/>
      <c r="DC333" s="121">
        <f>DC21+DC47+DC73+DC99+DC125+DC151+DC177+DC203+DC229+DC255+DC281+DC307</f>
        <v>0</v>
      </c>
      <c r="DD333" s="2"/>
      <c r="DE333" s="138"/>
      <c r="DF333" s="118" t="s">
        <v>36</v>
      </c>
      <c r="DG333" s="119"/>
      <c r="DH333" s="119"/>
      <c r="DI333" s="120"/>
      <c r="DJ333" s="114">
        <f t="shared" si="33"/>
        <v>0</v>
      </c>
      <c r="DK333" s="115"/>
      <c r="DM333" s="111" t="s">
        <v>37</v>
      </c>
      <c r="DN333" s="124"/>
      <c r="DO333" s="121">
        <f>DO21+DO47+DO73+DO99+DO125+DO151+DO177+DO203+DO229+DO255+DO281+DO307</f>
        <v>525</v>
      </c>
      <c r="DP333" s="2"/>
      <c r="DQ333" s="138"/>
      <c r="DR333" s="118" t="s">
        <v>36</v>
      </c>
      <c r="DS333" s="119"/>
      <c r="DT333" s="119"/>
      <c r="DU333" s="120"/>
      <c r="DV333" s="114">
        <f t="shared" si="34"/>
        <v>0</v>
      </c>
      <c r="DW333" s="115"/>
      <c r="DY333" s="111" t="s">
        <v>37</v>
      </c>
      <c r="DZ333" s="124"/>
      <c r="EA333" s="121">
        <f>EA21+EA47+EA73+EA99+EA125+EA151+EA177+EA203+EA229+EA255+EA281+EA307</f>
        <v>0</v>
      </c>
      <c r="EC333" s="138"/>
      <c r="ED333" s="118" t="s">
        <v>36</v>
      </c>
      <c r="EE333" s="119"/>
      <c r="EF333" s="119"/>
      <c r="EG333" s="120"/>
      <c r="EH333" s="114">
        <f t="shared" si="35"/>
        <v>0</v>
      </c>
      <c r="EI333" s="115"/>
      <c r="EK333" s="111" t="s">
        <v>37</v>
      </c>
      <c r="EL333" s="124"/>
      <c r="EM333" s="121">
        <f>EM21+EM47+EM73+EM99+EM125+EM151+EM177+EM203+EM229+EM255+EM281+EM307</f>
        <v>0</v>
      </c>
      <c r="EO333" s="138"/>
      <c r="EP333" s="118" t="s">
        <v>36</v>
      </c>
      <c r="EQ333" s="119"/>
      <c r="ER333" s="119"/>
      <c r="ES333" s="120"/>
      <c r="ET333" s="114">
        <f t="shared" si="36"/>
        <v>0</v>
      </c>
      <c r="EU333" s="115"/>
      <c r="EW333" s="111" t="s">
        <v>37</v>
      </c>
      <c r="EX333" s="124"/>
      <c r="EY333" s="121">
        <f>EY21+EY47+EY73+EY99+EY125+EY151+EY177+EY203+EY229+EY255+EY281+EY307</f>
        <v>6841</v>
      </c>
    </row>
    <row r="334" spans="1:155" ht="17.100000000000001" customHeight="1" thickBot="1" x14ac:dyDescent="0.25">
      <c r="A334" s="129" t="s">
        <v>38</v>
      </c>
      <c r="B334" s="130"/>
      <c r="C334" s="131"/>
      <c r="D334" s="114" t="s">
        <v>39</v>
      </c>
      <c r="E334" s="117"/>
      <c r="F334" s="114">
        <f t="shared" si="24"/>
        <v>2391</v>
      </c>
      <c r="G334" s="115"/>
      <c r="I334" s="113"/>
      <c r="J334" s="112"/>
      <c r="K334" s="122"/>
      <c r="M334" s="129" t="s">
        <v>38</v>
      </c>
      <c r="N334" s="130"/>
      <c r="O334" s="131"/>
      <c r="P334" s="114" t="s">
        <v>39</v>
      </c>
      <c r="Q334" s="117"/>
      <c r="R334" s="114">
        <f t="shared" si="25"/>
        <v>2870</v>
      </c>
      <c r="S334" s="115"/>
      <c r="U334" s="113"/>
      <c r="V334" s="112"/>
      <c r="W334" s="122"/>
      <c r="X334" s="87"/>
      <c r="Y334" s="129" t="s">
        <v>38</v>
      </c>
      <c r="Z334" s="130"/>
      <c r="AA334" s="131"/>
      <c r="AB334" s="114" t="s">
        <v>39</v>
      </c>
      <c r="AC334" s="117"/>
      <c r="AD334" s="114">
        <f t="shared" si="26"/>
        <v>2604</v>
      </c>
      <c r="AE334" s="115"/>
      <c r="AG334" s="113"/>
      <c r="AH334" s="112"/>
      <c r="AI334" s="122"/>
      <c r="AJ334" s="87"/>
      <c r="AK334" s="129" t="s">
        <v>38</v>
      </c>
      <c r="AL334" s="130"/>
      <c r="AM334" s="131"/>
      <c r="AN334" s="114" t="s">
        <v>39</v>
      </c>
      <c r="AO334" s="117"/>
      <c r="AP334" s="114">
        <f t="shared" si="27"/>
        <v>2718</v>
      </c>
      <c r="AQ334" s="115"/>
      <c r="AS334" s="113"/>
      <c r="AT334" s="112"/>
      <c r="AU334" s="122"/>
      <c r="AW334" s="129" t="s">
        <v>38</v>
      </c>
      <c r="AX334" s="130"/>
      <c r="AY334" s="131"/>
      <c r="AZ334" s="114" t="s">
        <v>39</v>
      </c>
      <c r="BA334" s="117"/>
      <c r="BB334" s="114">
        <f t="shared" si="28"/>
        <v>2675</v>
      </c>
      <c r="BC334" s="115"/>
      <c r="BE334" s="113"/>
      <c r="BF334" s="112"/>
      <c r="BG334" s="122"/>
      <c r="BI334" s="129" t="s">
        <v>38</v>
      </c>
      <c r="BJ334" s="130"/>
      <c r="BK334" s="131"/>
      <c r="BL334" s="114" t="s">
        <v>39</v>
      </c>
      <c r="BM334" s="117"/>
      <c r="BN334" s="114">
        <f t="shared" si="29"/>
        <v>1544</v>
      </c>
      <c r="BO334" s="115"/>
      <c r="BQ334" s="113"/>
      <c r="BR334" s="112"/>
      <c r="BS334" s="122"/>
      <c r="BU334" s="129" t="s">
        <v>38</v>
      </c>
      <c r="BV334" s="130"/>
      <c r="BW334" s="131"/>
      <c r="BX334" s="114" t="s">
        <v>39</v>
      </c>
      <c r="BY334" s="117"/>
      <c r="BZ334" s="114">
        <f t="shared" si="30"/>
        <v>2516</v>
      </c>
      <c r="CA334" s="115"/>
      <c r="CC334" s="113"/>
      <c r="CD334" s="112"/>
      <c r="CE334" s="122"/>
      <c r="CG334" s="129" t="s">
        <v>38</v>
      </c>
      <c r="CH334" s="130"/>
      <c r="CI334" s="131"/>
      <c r="CJ334" s="114" t="s">
        <v>39</v>
      </c>
      <c r="CK334" s="117"/>
      <c r="CL334" s="114">
        <f t="shared" si="31"/>
        <v>216</v>
      </c>
      <c r="CM334" s="115"/>
      <c r="CO334" s="113"/>
      <c r="CP334" s="112"/>
      <c r="CQ334" s="122"/>
      <c r="CS334" s="129" t="s">
        <v>38</v>
      </c>
      <c r="CT334" s="130"/>
      <c r="CU334" s="131"/>
      <c r="CV334" s="114" t="s">
        <v>39</v>
      </c>
      <c r="CW334" s="117"/>
      <c r="CX334" s="114">
        <f t="shared" si="32"/>
        <v>0</v>
      </c>
      <c r="CY334" s="115"/>
      <c r="DA334" s="113"/>
      <c r="DB334" s="112"/>
      <c r="DC334" s="122"/>
      <c r="DD334" s="2"/>
      <c r="DE334" s="129" t="s">
        <v>38</v>
      </c>
      <c r="DF334" s="130"/>
      <c r="DG334" s="131"/>
      <c r="DH334" s="114" t="s">
        <v>39</v>
      </c>
      <c r="DI334" s="117"/>
      <c r="DJ334" s="114">
        <f t="shared" si="33"/>
        <v>2310</v>
      </c>
      <c r="DK334" s="115"/>
      <c r="DM334" s="113"/>
      <c r="DN334" s="112"/>
      <c r="DO334" s="122"/>
      <c r="DP334" s="2"/>
      <c r="DQ334" s="129" t="s">
        <v>38</v>
      </c>
      <c r="DR334" s="130"/>
      <c r="DS334" s="131"/>
      <c r="DT334" s="114" t="s">
        <v>39</v>
      </c>
      <c r="DU334" s="117"/>
      <c r="DV334" s="114">
        <f t="shared" si="34"/>
        <v>0</v>
      </c>
      <c r="DW334" s="115"/>
      <c r="DY334" s="113"/>
      <c r="DZ334" s="112"/>
      <c r="EA334" s="122"/>
      <c r="EC334" s="129" t="s">
        <v>38</v>
      </c>
      <c r="ED334" s="130"/>
      <c r="EE334" s="131"/>
      <c r="EF334" s="114" t="s">
        <v>39</v>
      </c>
      <c r="EG334" s="117"/>
      <c r="EH334" s="114">
        <f t="shared" si="35"/>
        <v>0</v>
      </c>
      <c r="EI334" s="115"/>
      <c r="EK334" s="113"/>
      <c r="EL334" s="112"/>
      <c r="EM334" s="122"/>
      <c r="EO334" s="129" t="s">
        <v>38</v>
      </c>
      <c r="EP334" s="130"/>
      <c r="EQ334" s="131"/>
      <c r="ER334" s="114" t="s">
        <v>39</v>
      </c>
      <c r="ES334" s="117"/>
      <c r="ET334" s="114">
        <f t="shared" si="36"/>
        <v>19844</v>
      </c>
      <c r="EU334" s="115"/>
      <c r="EW334" s="113"/>
      <c r="EX334" s="112"/>
      <c r="EY334" s="122"/>
    </row>
    <row r="335" spans="1:155" ht="17.100000000000001" customHeight="1" thickBot="1" x14ac:dyDescent="0.25">
      <c r="A335" s="106"/>
      <c r="B335" s="132"/>
      <c r="C335" s="133"/>
      <c r="D335" s="147" t="s">
        <v>40</v>
      </c>
      <c r="E335" s="101"/>
      <c r="F335" s="114">
        <f t="shared" si="24"/>
        <v>0</v>
      </c>
      <c r="G335" s="115"/>
      <c r="I335" s="125"/>
      <c r="J335" s="126"/>
      <c r="K335" s="123"/>
      <c r="M335" s="106"/>
      <c r="N335" s="132"/>
      <c r="O335" s="133"/>
      <c r="P335" s="147" t="s">
        <v>40</v>
      </c>
      <c r="Q335" s="101"/>
      <c r="R335" s="114">
        <f t="shared" si="25"/>
        <v>2</v>
      </c>
      <c r="S335" s="115"/>
      <c r="U335" s="125"/>
      <c r="V335" s="126"/>
      <c r="W335" s="123"/>
      <c r="X335" s="87"/>
      <c r="Y335" s="106"/>
      <c r="Z335" s="132"/>
      <c r="AA335" s="133"/>
      <c r="AB335" s="147" t="s">
        <v>40</v>
      </c>
      <c r="AC335" s="101"/>
      <c r="AD335" s="114">
        <f t="shared" si="26"/>
        <v>0</v>
      </c>
      <c r="AE335" s="115"/>
      <c r="AG335" s="125"/>
      <c r="AH335" s="126"/>
      <c r="AI335" s="123"/>
      <c r="AJ335" s="87"/>
      <c r="AK335" s="106"/>
      <c r="AL335" s="132"/>
      <c r="AM335" s="133"/>
      <c r="AN335" s="147" t="s">
        <v>40</v>
      </c>
      <c r="AO335" s="101"/>
      <c r="AP335" s="114">
        <f t="shared" si="27"/>
        <v>0</v>
      </c>
      <c r="AQ335" s="115"/>
      <c r="AS335" s="125"/>
      <c r="AT335" s="126"/>
      <c r="AU335" s="123"/>
      <c r="AW335" s="106"/>
      <c r="AX335" s="132"/>
      <c r="AY335" s="133"/>
      <c r="AZ335" s="147" t="s">
        <v>40</v>
      </c>
      <c r="BA335" s="101"/>
      <c r="BB335" s="114">
        <f t="shared" si="28"/>
        <v>12</v>
      </c>
      <c r="BC335" s="115"/>
      <c r="BE335" s="125"/>
      <c r="BF335" s="126"/>
      <c r="BG335" s="123"/>
      <c r="BI335" s="106"/>
      <c r="BJ335" s="132"/>
      <c r="BK335" s="133"/>
      <c r="BL335" s="147" t="s">
        <v>40</v>
      </c>
      <c r="BM335" s="101"/>
      <c r="BN335" s="114">
        <f t="shared" si="29"/>
        <v>0</v>
      </c>
      <c r="BO335" s="115"/>
      <c r="BQ335" s="125"/>
      <c r="BR335" s="126"/>
      <c r="BS335" s="123"/>
      <c r="BU335" s="106"/>
      <c r="BV335" s="132"/>
      <c r="BW335" s="133"/>
      <c r="BX335" s="147" t="s">
        <v>40</v>
      </c>
      <c r="BY335" s="101"/>
      <c r="BZ335" s="114">
        <f t="shared" si="30"/>
        <v>0</v>
      </c>
      <c r="CA335" s="115"/>
      <c r="CC335" s="125"/>
      <c r="CD335" s="126"/>
      <c r="CE335" s="123"/>
      <c r="CG335" s="106"/>
      <c r="CH335" s="132"/>
      <c r="CI335" s="133"/>
      <c r="CJ335" s="147" t="s">
        <v>40</v>
      </c>
      <c r="CK335" s="101"/>
      <c r="CL335" s="114">
        <f t="shared" si="31"/>
        <v>0</v>
      </c>
      <c r="CM335" s="115"/>
      <c r="CO335" s="125"/>
      <c r="CP335" s="126"/>
      <c r="CQ335" s="123"/>
      <c r="CS335" s="106"/>
      <c r="CT335" s="132"/>
      <c r="CU335" s="133"/>
      <c r="CV335" s="147" t="s">
        <v>40</v>
      </c>
      <c r="CW335" s="101"/>
      <c r="CX335" s="114">
        <f t="shared" si="32"/>
        <v>0</v>
      </c>
      <c r="CY335" s="115"/>
      <c r="DA335" s="125"/>
      <c r="DB335" s="126"/>
      <c r="DC335" s="123"/>
      <c r="DD335" s="2"/>
      <c r="DE335" s="106"/>
      <c r="DF335" s="132"/>
      <c r="DG335" s="133"/>
      <c r="DH335" s="147" t="s">
        <v>40</v>
      </c>
      <c r="DI335" s="101"/>
      <c r="DJ335" s="114">
        <f t="shared" si="33"/>
        <v>10</v>
      </c>
      <c r="DK335" s="115"/>
      <c r="DM335" s="125"/>
      <c r="DN335" s="126"/>
      <c r="DO335" s="123"/>
      <c r="DP335" s="2"/>
      <c r="DQ335" s="106"/>
      <c r="DR335" s="132"/>
      <c r="DS335" s="133"/>
      <c r="DT335" s="147" t="s">
        <v>40</v>
      </c>
      <c r="DU335" s="101"/>
      <c r="DV335" s="114">
        <f t="shared" si="34"/>
        <v>0</v>
      </c>
      <c r="DW335" s="115"/>
      <c r="DY335" s="125"/>
      <c r="DZ335" s="126"/>
      <c r="EA335" s="123"/>
      <c r="EC335" s="106"/>
      <c r="ED335" s="132"/>
      <c r="EE335" s="133"/>
      <c r="EF335" s="147" t="s">
        <v>40</v>
      </c>
      <c r="EG335" s="101"/>
      <c r="EH335" s="114">
        <f t="shared" si="35"/>
        <v>0</v>
      </c>
      <c r="EI335" s="115"/>
      <c r="EK335" s="125"/>
      <c r="EL335" s="126"/>
      <c r="EM335" s="123"/>
      <c r="EO335" s="106"/>
      <c r="EP335" s="132"/>
      <c r="EQ335" s="133"/>
      <c r="ER335" s="147" t="s">
        <v>40</v>
      </c>
      <c r="ES335" s="101"/>
      <c r="ET335" s="114">
        <f t="shared" si="36"/>
        <v>24</v>
      </c>
      <c r="EU335" s="115"/>
      <c r="EW335" s="125"/>
      <c r="EX335" s="126"/>
      <c r="EY335" s="123"/>
    </row>
    <row r="336" spans="1:155" ht="17.100000000000001" customHeight="1" thickBot="1" x14ac:dyDescent="0.25">
      <c r="A336" s="106"/>
      <c r="B336" s="132"/>
      <c r="C336" s="133"/>
      <c r="D336" s="147" t="s">
        <v>41</v>
      </c>
      <c r="E336" s="101"/>
      <c r="F336" s="114">
        <f t="shared" si="24"/>
        <v>0</v>
      </c>
      <c r="G336" s="115"/>
      <c r="I336" s="111" t="s">
        <v>20</v>
      </c>
      <c r="J336" s="124"/>
      <c r="K336" s="121">
        <f>K24+K50+K76+K102+K128+K154+K180+K206+K232+K258+K284+K310</f>
        <v>1863</v>
      </c>
      <c r="M336" s="106"/>
      <c r="N336" s="132"/>
      <c r="O336" s="133"/>
      <c r="P336" s="147" t="s">
        <v>41</v>
      </c>
      <c r="Q336" s="101"/>
      <c r="R336" s="114">
        <f t="shared" si="25"/>
        <v>4</v>
      </c>
      <c r="S336" s="115"/>
      <c r="U336" s="111" t="s">
        <v>20</v>
      </c>
      <c r="V336" s="124"/>
      <c r="W336" s="121">
        <f>W24+W50+W76+W102+W128+W154+W180+W206+W232+W258+W284+W310</f>
        <v>684</v>
      </c>
      <c r="X336" s="87"/>
      <c r="Y336" s="106"/>
      <c r="Z336" s="132"/>
      <c r="AA336" s="133"/>
      <c r="AB336" s="147" t="s">
        <v>41</v>
      </c>
      <c r="AC336" s="101"/>
      <c r="AD336" s="114">
        <f t="shared" si="26"/>
        <v>118</v>
      </c>
      <c r="AE336" s="115"/>
      <c r="AG336" s="111" t="s">
        <v>20</v>
      </c>
      <c r="AH336" s="124"/>
      <c r="AI336" s="121">
        <f>AI24+AI50+AI76+AI102+AI128+AI154+AI180+AI206+AI232+AI258+AI284+AI310</f>
        <v>443</v>
      </c>
      <c r="AJ336" s="87"/>
      <c r="AK336" s="106"/>
      <c r="AL336" s="132"/>
      <c r="AM336" s="133"/>
      <c r="AN336" s="147" t="s">
        <v>41</v>
      </c>
      <c r="AO336" s="101"/>
      <c r="AP336" s="114">
        <f t="shared" si="27"/>
        <v>3</v>
      </c>
      <c r="AQ336" s="115"/>
      <c r="AS336" s="111" t="s">
        <v>20</v>
      </c>
      <c r="AT336" s="124"/>
      <c r="AU336" s="121">
        <f>AU24+AU50+AU76+AU102+AU128+AU154+AU180+AU206+AU232+AU258+AU284+AU310</f>
        <v>553</v>
      </c>
      <c r="AW336" s="106"/>
      <c r="AX336" s="132"/>
      <c r="AY336" s="133"/>
      <c r="AZ336" s="147" t="s">
        <v>41</v>
      </c>
      <c r="BA336" s="101"/>
      <c r="BB336" s="114">
        <f t="shared" si="28"/>
        <v>113</v>
      </c>
      <c r="BC336" s="115"/>
      <c r="BE336" s="111" t="s">
        <v>20</v>
      </c>
      <c r="BF336" s="124"/>
      <c r="BG336" s="121">
        <f>BG24+BG50+BG76+BG102+BG128+BG154+BG180+BG206+BG232+BG258+BG284+BG310</f>
        <v>748</v>
      </c>
      <c r="BI336" s="106"/>
      <c r="BJ336" s="132"/>
      <c r="BK336" s="133"/>
      <c r="BL336" s="147" t="s">
        <v>41</v>
      </c>
      <c r="BM336" s="101"/>
      <c r="BN336" s="114">
        <f t="shared" si="29"/>
        <v>0</v>
      </c>
      <c r="BO336" s="115"/>
      <c r="BQ336" s="111" t="s">
        <v>20</v>
      </c>
      <c r="BR336" s="124"/>
      <c r="BS336" s="121">
        <f>BS24+BS50+BS76+BS102+BS128+BS154+BS180+BS206+BS232+BS258+BS284+BS310</f>
        <v>1029</v>
      </c>
      <c r="BU336" s="106"/>
      <c r="BV336" s="132"/>
      <c r="BW336" s="133"/>
      <c r="BX336" s="147" t="s">
        <v>41</v>
      </c>
      <c r="BY336" s="101"/>
      <c r="BZ336" s="114">
        <f t="shared" si="30"/>
        <v>11</v>
      </c>
      <c r="CA336" s="115"/>
      <c r="CC336" s="111" t="s">
        <v>20</v>
      </c>
      <c r="CD336" s="124"/>
      <c r="CE336" s="121">
        <f>CE24+CE50+CE76+CE102+CE128+CE154+CE180+CE206+CE232+CE258+CE284+CE310</f>
        <v>866</v>
      </c>
      <c r="CG336" s="106"/>
      <c r="CH336" s="132"/>
      <c r="CI336" s="133"/>
      <c r="CJ336" s="147" t="s">
        <v>41</v>
      </c>
      <c r="CK336" s="101"/>
      <c r="CL336" s="114">
        <f t="shared" si="31"/>
        <v>0</v>
      </c>
      <c r="CM336" s="115"/>
      <c r="CO336" s="111" t="s">
        <v>20</v>
      </c>
      <c r="CP336" s="124"/>
      <c r="CQ336" s="121">
        <f>CQ24+CQ50+CQ76+CQ102+CQ128+CQ154+CQ180+CQ206+CQ232+CQ258+CQ284+CQ310</f>
        <v>467</v>
      </c>
      <c r="CS336" s="106"/>
      <c r="CT336" s="132"/>
      <c r="CU336" s="133"/>
      <c r="CV336" s="147" t="s">
        <v>41</v>
      </c>
      <c r="CW336" s="101"/>
      <c r="CX336" s="114">
        <f t="shared" si="32"/>
        <v>0</v>
      </c>
      <c r="CY336" s="115"/>
      <c r="DA336" s="111" t="s">
        <v>20</v>
      </c>
      <c r="DB336" s="124"/>
      <c r="DC336" s="121">
        <f>DC24+DC50+DC76+DC102+DC128+DC154+DC180+DC206+DC232+DC258+DC284+DC310</f>
        <v>0</v>
      </c>
      <c r="DD336" s="2"/>
      <c r="DE336" s="106"/>
      <c r="DF336" s="132"/>
      <c r="DG336" s="133"/>
      <c r="DH336" s="147" t="s">
        <v>41</v>
      </c>
      <c r="DI336" s="101"/>
      <c r="DJ336" s="114">
        <f t="shared" si="33"/>
        <v>5</v>
      </c>
      <c r="DK336" s="115"/>
      <c r="DM336" s="111" t="s">
        <v>20</v>
      </c>
      <c r="DN336" s="124"/>
      <c r="DO336" s="121">
        <f>DO24+DO50+DO76+DO102+DO128+DO154+DO180+DO206+DO232+DO258+DO284+DO310</f>
        <v>291</v>
      </c>
      <c r="DP336" s="2"/>
      <c r="DQ336" s="106"/>
      <c r="DR336" s="132"/>
      <c r="DS336" s="133"/>
      <c r="DT336" s="147" t="s">
        <v>41</v>
      </c>
      <c r="DU336" s="101"/>
      <c r="DV336" s="114">
        <f t="shared" si="34"/>
        <v>0</v>
      </c>
      <c r="DW336" s="115"/>
      <c r="DY336" s="111" t="s">
        <v>20</v>
      </c>
      <c r="DZ336" s="124"/>
      <c r="EA336" s="121">
        <f>EA24+EA50+EA76+EA102+EA128+EA154+EA180+EA206+EA232+EA258+EA284+EA310</f>
        <v>0</v>
      </c>
      <c r="EC336" s="106"/>
      <c r="ED336" s="132"/>
      <c r="EE336" s="133"/>
      <c r="EF336" s="147" t="s">
        <v>41</v>
      </c>
      <c r="EG336" s="101"/>
      <c r="EH336" s="114">
        <f t="shared" si="35"/>
        <v>0</v>
      </c>
      <c r="EI336" s="115"/>
      <c r="EK336" s="111" t="s">
        <v>20</v>
      </c>
      <c r="EL336" s="124"/>
      <c r="EM336" s="121">
        <f>EM24+EM50+EM76+EM102+EM128+EM154+EM180+EM206+EM232+EM258+EM284+EM310</f>
        <v>0</v>
      </c>
      <c r="EO336" s="106"/>
      <c r="EP336" s="132"/>
      <c r="EQ336" s="133"/>
      <c r="ER336" s="147" t="s">
        <v>41</v>
      </c>
      <c r="ES336" s="101"/>
      <c r="ET336" s="114">
        <f t="shared" si="36"/>
        <v>254</v>
      </c>
      <c r="EU336" s="115"/>
      <c r="EW336" s="111" t="s">
        <v>20</v>
      </c>
      <c r="EX336" s="124"/>
      <c r="EY336" s="121">
        <f>EY24+EY50+EY76+EY102+EY128+EY154+EY180+EY206+EY232+EY258+EY284+EY310</f>
        <v>6944</v>
      </c>
    </row>
    <row r="337" spans="1:155" ht="17.100000000000001" customHeight="1" thickBot="1" x14ac:dyDescent="0.25">
      <c r="A337" s="108"/>
      <c r="B337" s="134"/>
      <c r="C337" s="135"/>
      <c r="D337" s="152" t="s">
        <v>42</v>
      </c>
      <c r="E337" s="153"/>
      <c r="F337" s="114">
        <f t="shared" si="24"/>
        <v>65</v>
      </c>
      <c r="G337" s="115"/>
      <c r="I337" s="113"/>
      <c r="J337" s="112"/>
      <c r="K337" s="122"/>
      <c r="M337" s="108"/>
      <c r="N337" s="134"/>
      <c r="O337" s="135"/>
      <c r="P337" s="152" t="s">
        <v>42</v>
      </c>
      <c r="Q337" s="153"/>
      <c r="R337" s="114">
        <f t="shared" si="25"/>
        <v>105</v>
      </c>
      <c r="S337" s="115"/>
      <c r="U337" s="113"/>
      <c r="V337" s="112"/>
      <c r="W337" s="122"/>
      <c r="X337" s="87"/>
      <c r="Y337" s="108"/>
      <c r="Z337" s="134"/>
      <c r="AA337" s="135"/>
      <c r="AB337" s="152" t="s">
        <v>42</v>
      </c>
      <c r="AC337" s="153"/>
      <c r="AD337" s="114">
        <f t="shared" si="26"/>
        <v>116</v>
      </c>
      <c r="AE337" s="115"/>
      <c r="AG337" s="113"/>
      <c r="AH337" s="112"/>
      <c r="AI337" s="122"/>
      <c r="AJ337" s="87"/>
      <c r="AK337" s="108"/>
      <c r="AL337" s="134"/>
      <c r="AM337" s="135"/>
      <c r="AN337" s="152" t="s">
        <v>42</v>
      </c>
      <c r="AO337" s="153"/>
      <c r="AP337" s="114">
        <f t="shared" si="27"/>
        <v>108</v>
      </c>
      <c r="AQ337" s="115"/>
      <c r="AS337" s="113"/>
      <c r="AT337" s="112"/>
      <c r="AU337" s="122"/>
      <c r="AW337" s="108"/>
      <c r="AX337" s="134"/>
      <c r="AY337" s="135"/>
      <c r="AZ337" s="152" t="s">
        <v>42</v>
      </c>
      <c r="BA337" s="153"/>
      <c r="BB337" s="114">
        <f t="shared" si="28"/>
        <v>97</v>
      </c>
      <c r="BC337" s="115"/>
      <c r="BE337" s="113"/>
      <c r="BF337" s="112"/>
      <c r="BG337" s="122"/>
      <c r="BI337" s="108"/>
      <c r="BJ337" s="134"/>
      <c r="BK337" s="135"/>
      <c r="BL337" s="152" t="s">
        <v>42</v>
      </c>
      <c r="BM337" s="153"/>
      <c r="BN337" s="114">
        <f t="shared" si="29"/>
        <v>36</v>
      </c>
      <c r="BO337" s="115"/>
      <c r="BQ337" s="113"/>
      <c r="BR337" s="112"/>
      <c r="BS337" s="122"/>
      <c r="BU337" s="108"/>
      <c r="BV337" s="134"/>
      <c r="BW337" s="135"/>
      <c r="BX337" s="152" t="s">
        <v>42</v>
      </c>
      <c r="BY337" s="153"/>
      <c r="BZ337" s="114">
        <f t="shared" si="30"/>
        <v>105</v>
      </c>
      <c r="CA337" s="115"/>
      <c r="CC337" s="113"/>
      <c r="CD337" s="112"/>
      <c r="CE337" s="122"/>
      <c r="CG337" s="108"/>
      <c r="CH337" s="134"/>
      <c r="CI337" s="135"/>
      <c r="CJ337" s="152" t="s">
        <v>42</v>
      </c>
      <c r="CK337" s="153"/>
      <c r="CL337" s="114">
        <f t="shared" si="31"/>
        <v>9</v>
      </c>
      <c r="CM337" s="115"/>
      <c r="CO337" s="113"/>
      <c r="CP337" s="112"/>
      <c r="CQ337" s="122"/>
      <c r="CS337" s="108"/>
      <c r="CT337" s="134"/>
      <c r="CU337" s="135"/>
      <c r="CV337" s="152" t="s">
        <v>42</v>
      </c>
      <c r="CW337" s="153"/>
      <c r="CX337" s="114">
        <f t="shared" si="32"/>
        <v>0</v>
      </c>
      <c r="CY337" s="115"/>
      <c r="DA337" s="113"/>
      <c r="DB337" s="112"/>
      <c r="DC337" s="122"/>
      <c r="DD337" s="2"/>
      <c r="DE337" s="108"/>
      <c r="DF337" s="134"/>
      <c r="DG337" s="135"/>
      <c r="DH337" s="152" t="s">
        <v>42</v>
      </c>
      <c r="DI337" s="153"/>
      <c r="DJ337" s="114">
        <f t="shared" si="33"/>
        <v>38</v>
      </c>
      <c r="DK337" s="115"/>
      <c r="DM337" s="113"/>
      <c r="DN337" s="112"/>
      <c r="DO337" s="122"/>
      <c r="DP337" s="2"/>
      <c r="DQ337" s="108"/>
      <c r="DR337" s="134"/>
      <c r="DS337" s="135"/>
      <c r="DT337" s="152" t="s">
        <v>42</v>
      </c>
      <c r="DU337" s="153"/>
      <c r="DV337" s="114">
        <f t="shared" si="34"/>
        <v>0</v>
      </c>
      <c r="DW337" s="115"/>
      <c r="DY337" s="113"/>
      <c r="DZ337" s="112"/>
      <c r="EA337" s="122"/>
      <c r="EC337" s="108"/>
      <c r="ED337" s="134"/>
      <c r="EE337" s="135"/>
      <c r="EF337" s="152" t="s">
        <v>42</v>
      </c>
      <c r="EG337" s="153"/>
      <c r="EH337" s="114">
        <f t="shared" si="35"/>
        <v>0</v>
      </c>
      <c r="EI337" s="115"/>
      <c r="EK337" s="113"/>
      <c r="EL337" s="112"/>
      <c r="EM337" s="122"/>
      <c r="EO337" s="108"/>
      <c r="EP337" s="134"/>
      <c r="EQ337" s="135"/>
      <c r="ER337" s="152" t="s">
        <v>42</v>
      </c>
      <c r="ES337" s="153"/>
      <c r="ET337" s="114">
        <f t="shared" si="36"/>
        <v>679</v>
      </c>
      <c r="EU337" s="115"/>
      <c r="EW337" s="113"/>
      <c r="EX337" s="112"/>
      <c r="EY337" s="122"/>
    </row>
    <row r="338" spans="1:155" ht="17.100000000000001" customHeight="1" thickBot="1" x14ac:dyDescent="0.25">
      <c r="A338" s="113" t="s">
        <v>43</v>
      </c>
      <c r="B338" s="61">
        <f>1</f>
        <v>1</v>
      </c>
      <c r="C338" s="62">
        <v>2</v>
      </c>
      <c r="D338" s="62">
        <v>3</v>
      </c>
      <c r="E338" s="62">
        <v>4</v>
      </c>
      <c r="F338" s="11">
        <v>5</v>
      </c>
      <c r="G338" s="12">
        <v>6</v>
      </c>
      <c r="H338" s="52"/>
      <c r="I338" s="113"/>
      <c r="J338" s="112"/>
      <c r="K338" s="123"/>
      <c r="M338" s="113" t="s">
        <v>43</v>
      </c>
      <c r="N338" s="61">
        <f>1</f>
        <v>1</v>
      </c>
      <c r="O338" s="62">
        <v>2</v>
      </c>
      <c r="P338" s="62">
        <v>3</v>
      </c>
      <c r="Q338" s="62">
        <v>4</v>
      </c>
      <c r="R338" s="11">
        <v>5</v>
      </c>
      <c r="S338" s="12">
        <v>6</v>
      </c>
      <c r="T338" s="52"/>
      <c r="U338" s="113"/>
      <c r="V338" s="112"/>
      <c r="W338" s="123"/>
      <c r="X338" s="87"/>
      <c r="Y338" s="113" t="s">
        <v>43</v>
      </c>
      <c r="Z338" s="61">
        <f>1</f>
        <v>1</v>
      </c>
      <c r="AA338" s="62">
        <v>2</v>
      </c>
      <c r="AB338" s="62">
        <v>3</v>
      </c>
      <c r="AC338" s="62">
        <v>4</v>
      </c>
      <c r="AD338" s="11">
        <v>5</v>
      </c>
      <c r="AE338" s="12">
        <v>6</v>
      </c>
      <c r="AF338" s="52"/>
      <c r="AG338" s="113"/>
      <c r="AH338" s="112"/>
      <c r="AI338" s="123"/>
      <c r="AJ338" s="87"/>
      <c r="AK338" s="113" t="s">
        <v>43</v>
      </c>
      <c r="AL338" s="61">
        <f>1</f>
        <v>1</v>
      </c>
      <c r="AM338" s="62">
        <v>2</v>
      </c>
      <c r="AN338" s="62">
        <v>3</v>
      </c>
      <c r="AO338" s="62">
        <v>4</v>
      </c>
      <c r="AP338" s="11">
        <v>5</v>
      </c>
      <c r="AQ338" s="12">
        <v>6</v>
      </c>
      <c r="AR338" s="52"/>
      <c r="AS338" s="113"/>
      <c r="AT338" s="112"/>
      <c r="AU338" s="123"/>
      <c r="AW338" s="113" t="s">
        <v>43</v>
      </c>
      <c r="AX338" s="61">
        <f>1</f>
        <v>1</v>
      </c>
      <c r="AY338" s="62">
        <v>2</v>
      </c>
      <c r="AZ338" s="62">
        <v>3</v>
      </c>
      <c r="BA338" s="62">
        <v>4</v>
      </c>
      <c r="BB338" s="11">
        <v>5</v>
      </c>
      <c r="BC338" s="12">
        <v>6</v>
      </c>
      <c r="BD338" s="52"/>
      <c r="BE338" s="113"/>
      <c r="BF338" s="112"/>
      <c r="BG338" s="123"/>
      <c r="BI338" s="113" t="s">
        <v>43</v>
      </c>
      <c r="BJ338" s="61">
        <f>1</f>
        <v>1</v>
      </c>
      <c r="BK338" s="62">
        <v>2</v>
      </c>
      <c r="BL338" s="62">
        <v>3</v>
      </c>
      <c r="BM338" s="62">
        <v>4</v>
      </c>
      <c r="BN338" s="11">
        <v>5</v>
      </c>
      <c r="BO338" s="12">
        <v>6</v>
      </c>
      <c r="BP338" s="52"/>
      <c r="BQ338" s="113"/>
      <c r="BR338" s="112"/>
      <c r="BS338" s="123"/>
      <c r="BU338" s="113" t="s">
        <v>43</v>
      </c>
      <c r="BV338" s="61">
        <f>1</f>
        <v>1</v>
      </c>
      <c r="BW338" s="62">
        <v>2</v>
      </c>
      <c r="BX338" s="62">
        <v>3</v>
      </c>
      <c r="BY338" s="62">
        <v>4</v>
      </c>
      <c r="BZ338" s="11">
        <v>5</v>
      </c>
      <c r="CA338" s="12">
        <v>6</v>
      </c>
      <c r="CB338" s="52"/>
      <c r="CC338" s="113"/>
      <c r="CD338" s="112"/>
      <c r="CE338" s="123"/>
      <c r="CG338" s="113" t="s">
        <v>43</v>
      </c>
      <c r="CH338" s="61">
        <f>1</f>
        <v>1</v>
      </c>
      <c r="CI338" s="62">
        <v>2</v>
      </c>
      <c r="CJ338" s="62">
        <v>3</v>
      </c>
      <c r="CK338" s="62">
        <v>4</v>
      </c>
      <c r="CL338" s="11">
        <v>5</v>
      </c>
      <c r="CM338" s="12">
        <v>6</v>
      </c>
      <c r="CN338" s="52"/>
      <c r="CO338" s="113"/>
      <c r="CP338" s="112"/>
      <c r="CQ338" s="123"/>
      <c r="CS338" s="113" t="s">
        <v>43</v>
      </c>
      <c r="CT338" s="61">
        <f>1</f>
        <v>1</v>
      </c>
      <c r="CU338" s="62">
        <v>2</v>
      </c>
      <c r="CV338" s="62">
        <v>3</v>
      </c>
      <c r="CW338" s="62">
        <v>4</v>
      </c>
      <c r="CX338" s="11">
        <v>5</v>
      </c>
      <c r="CY338" s="12">
        <v>6</v>
      </c>
      <c r="CZ338" s="52"/>
      <c r="DA338" s="113"/>
      <c r="DB338" s="112"/>
      <c r="DC338" s="123"/>
      <c r="DD338" s="2"/>
      <c r="DE338" s="113" t="s">
        <v>43</v>
      </c>
      <c r="DF338" s="61">
        <f>1</f>
        <v>1</v>
      </c>
      <c r="DG338" s="62">
        <v>2</v>
      </c>
      <c r="DH338" s="62">
        <v>3</v>
      </c>
      <c r="DI338" s="62">
        <v>4</v>
      </c>
      <c r="DJ338" s="11">
        <v>5</v>
      </c>
      <c r="DK338" s="12">
        <v>6</v>
      </c>
      <c r="DL338" s="52"/>
      <c r="DM338" s="113"/>
      <c r="DN338" s="112"/>
      <c r="DO338" s="123"/>
      <c r="DP338" s="2"/>
      <c r="DQ338" s="113" t="s">
        <v>43</v>
      </c>
      <c r="DR338" s="61">
        <f>1</f>
        <v>1</v>
      </c>
      <c r="DS338" s="62">
        <v>2</v>
      </c>
      <c r="DT338" s="62">
        <v>3</v>
      </c>
      <c r="DU338" s="62">
        <v>4</v>
      </c>
      <c r="DV338" s="11">
        <v>5</v>
      </c>
      <c r="DW338" s="12">
        <v>6</v>
      </c>
      <c r="DX338" s="52"/>
      <c r="DY338" s="113"/>
      <c r="DZ338" s="112"/>
      <c r="EA338" s="123"/>
      <c r="EC338" s="113" t="s">
        <v>43</v>
      </c>
      <c r="ED338" s="61">
        <f>1</f>
        <v>1</v>
      </c>
      <c r="EE338" s="62">
        <v>2</v>
      </c>
      <c r="EF338" s="62">
        <v>3</v>
      </c>
      <c r="EG338" s="62">
        <v>4</v>
      </c>
      <c r="EH338" s="11">
        <v>5</v>
      </c>
      <c r="EI338" s="12">
        <v>6</v>
      </c>
      <c r="EJ338" s="52"/>
      <c r="EK338" s="113"/>
      <c r="EL338" s="112"/>
      <c r="EM338" s="123"/>
      <c r="EO338" s="113" t="s">
        <v>43</v>
      </c>
      <c r="EP338" s="61">
        <f>1</f>
        <v>1</v>
      </c>
      <c r="EQ338" s="62">
        <v>2</v>
      </c>
      <c r="ER338" s="62">
        <v>3</v>
      </c>
      <c r="ES338" s="62">
        <v>4</v>
      </c>
      <c r="ET338" s="11">
        <v>5</v>
      </c>
      <c r="EU338" s="12">
        <v>6</v>
      </c>
      <c r="EV338" s="52"/>
      <c r="EW338" s="113"/>
      <c r="EX338" s="112"/>
      <c r="EY338" s="123"/>
    </row>
    <row r="339" spans="1:155" ht="17.100000000000001" customHeight="1" thickBot="1" x14ac:dyDescent="0.25">
      <c r="A339" s="125"/>
      <c r="B339" s="10">
        <f t="shared" ref="B339:G339" si="37">B27+B53+B79+B105+B131+B157+B183+B209+B235+B261+B287++B313</f>
        <v>70</v>
      </c>
      <c r="C339" s="10">
        <f t="shared" si="37"/>
        <v>101</v>
      </c>
      <c r="D339" s="10">
        <f t="shared" si="37"/>
        <v>42</v>
      </c>
      <c r="E339" s="10">
        <f t="shared" si="37"/>
        <v>3</v>
      </c>
      <c r="F339" s="10">
        <f t="shared" si="37"/>
        <v>0</v>
      </c>
      <c r="G339" s="10">
        <f t="shared" si="37"/>
        <v>0</v>
      </c>
      <c r="H339" s="63" t="e">
        <f>H27+H53+H79+H105+H131+H157+H183+H209+H235+H261+#REF!+#REF!+#REF!+#REF!+#REF!+#REF!+#REF!+#REF!+#REF!+#REF!+#REF!+#REF!+#REF!+#REF!+#REF!+#REF!+#REF!+#REF!+#REF!+#REF!+#REF!+#REF!+#REF!+#REF!+#REF!+#REF!+#REF!+#REF!+#REF!+#REF!+#REF!+#REF!</f>
        <v>#REF!</v>
      </c>
      <c r="I339" s="22"/>
      <c r="J339" s="23"/>
      <c r="K339" s="24">
        <f>SUM(K333:K338)</f>
        <v>2679</v>
      </c>
      <c r="M339" s="125"/>
      <c r="N339" s="10">
        <f t="shared" ref="N339:S339" si="38">N27+N53+N79+N105+N131+N157+N183+N209+N235+N261+N287++N313</f>
        <v>91</v>
      </c>
      <c r="O339" s="10">
        <f t="shared" si="38"/>
        <v>89</v>
      </c>
      <c r="P339" s="10">
        <f t="shared" si="38"/>
        <v>88</v>
      </c>
      <c r="Q339" s="10">
        <f t="shared" si="38"/>
        <v>0</v>
      </c>
      <c r="R339" s="10">
        <f t="shared" si="38"/>
        <v>0</v>
      </c>
      <c r="S339" s="10">
        <f t="shared" si="38"/>
        <v>0</v>
      </c>
      <c r="T339" s="63" t="e">
        <f>T27+T53+T79+T105+T131+T157+T183+T209+T235+T261+#REF!+#REF!+#REF!+#REF!+#REF!+#REF!+#REF!+#REF!+#REF!+#REF!+#REF!+#REF!+#REF!+#REF!+#REF!+#REF!+#REF!+#REF!+#REF!+#REF!+#REF!+#REF!+#REF!+#REF!+#REF!+#REF!+#REF!+#REF!+#REF!+#REF!+#REF!+#REF!</f>
        <v>#REF!</v>
      </c>
      <c r="U339" s="22"/>
      <c r="V339" s="23"/>
      <c r="W339" s="24">
        <f>SUM(W333:W338)</f>
        <v>1858</v>
      </c>
      <c r="X339" s="87"/>
      <c r="Y339" s="125"/>
      <c r="Z339" s="10" t="e">
        <f t="shared" ref="Z339:AE339" si="39">Z27+Z53+Z79+Z105+Z131+Z157+Z183+Z209+Z235+Z261+Z287++Z313</f>
        <v>#VALUE!</v>
      </c>
      <c r="AA339" s="10" t="e">
        <f t="shared" si="39"/>
        <v>#VALUE!</v>
      </c>
      <c r="AB339" s="10" t="e">
        <f t="shared" si="39"/>
        <v>#VALUE!</v>
      </c>
      <c r="AC339" s="10">
        <f t="shared" si="39"/>
        <v>0</v>
      </c>
      <c r="AD339" s="10">
        <f t="shared" si="39"/>
        <v>0</v>
      </c>
      <c r="AE339" s="10">
        <f t="shared" si="39"/>
        <v>0</v>
      </c>
      <c r="AF339" s="63" t="e">
        <f>AF27+AF53+AF79+AF105+AF131+AF157+AF183+AF209+AF235+AF261+#REF!+#REF!+#REF!+#REF!+#REF!+#REF!+#REF!+#REF!+#REF!+#REF!+#REF!+#REF!+#REF!+#REF!+#REF!+#REF!+#REF!+#REF!+#REF!+#REF!+#REF!+#REF!+#REF!+#REF!+#REF!+#REF!+#REF!+#REF!+#REF!+#REF!+#REF!+#REF!</f>
        <v>#REF!</v>
      </c>
      <c r="AG339" s="22"/>
      <c r="AH339" s="23"/>
      <c r="AI339" s="24">
        <f>SUM(AI333:AI338)</f>
        <v>792</v>
      </c>
      <c r="AJ339" s="87"/>
      <c r="AK339" s="125"/>
      <c r="AL339" s="10">
        <f t="shared" ref="AL339:AQ339" si="40">AL27+AL53+AL79+AL105+AL131+AL157+AL183+AL209+AL235+AL261+AL287++AL313</f>
        <v>135</v>
      </c>
      <c r="AM339" s="10">
        <f t="shared" si="40"/>
        <v>201</v>
      </c>
      <c r="AN339" s="10">
        <f t="shared" si="40"/>
        <v>95</v>
      </c>
      <c r="AO339" s="10">
        <f t="shared" si="40"/>
        <v>0</v>
      </c>
      <c r="AP339" s="10">
        <f t="shared" si="40"/>
        <v>0</v>
      </c>
      <c r="AQ339" s="10">
        <f t="shared" si="40"/>
        <v>0</v>
      </c>
      <c r="AR339" s="63" t="e">
        <f>AR27+AR53+AR79+AR105+AR131+AR157+AR183+AR209+AR235+AR261+#REF!+#REF!+#REF!+#REF!+#REF!+#REF!+#REF!+#REF!+#REF!+#REF!+#REF!+#REF!+#REF!+#REF!+#REF!+#REF!+#REF!+#REF!+#REF!+#REF!+#REF!+#REF!+#REF!+#REF!+#REF!+#REF!+#REF!+#REF!+#REF!+#REF!+#REF!+#REF!</f>
        <v>#REF!</v>
      </c>
      <c r="AS339" s="22"/>
      <c r="AT339" s="23"/>
      <c r="AU339" s="24">
        <f>SUM(AU333:AU338)</f>
        <v>897</v>
      </c>
      <c r="AW339" s="125"/>
      <c r="AX339" s="10">
        <f t="shared" ref="AX339:BC339" si="41">AX27+AX53+AX79+AX105+AX131+AX157+AX183+AX209+AX235+AX261+AX287++AX313</f>
        <v>170</v>
      </c>
      <c r="AY339" s="10">
        <f t="shared" si="41"/>
        <v>177</v>
      </c>
      <c r="AZ339" s="10">
        <f t="shared" si="41"/>
        <v>72</v>
      </c>
      <c r="BA339" s="10">
        <f t="shared" si="41"/>
        <v>0</v>
      </c>
      <c r="BB339" s="10">
        <f t="shared" si="41"/>
        <v>0</v>
      </c>
      <c r="BC339" s="10">
        <f t="shared" si="41"/>
        <v>0</v>
      </c>
      <c r="BD339" s="63" t="e">
        <f>BD27+BD53+BD79+BD105+BD131+BD157+BD183+BD209+BD235+BD261+#REF!+#REF!+#REF!+#REF!+#REF!+#REF!+#REF!+#REF!+#REF!+#REF!+#REF!+#REF!+#REF!+#REF!+#REF!+#REF!+#REF!+#REF!+#REF!+#REF!+#REF!+#REF!+#REF!+#REF!+#REF!+#REF!+#REF!+#REF!+#REF!+#REF!+#REF!+#REF!</f>
        <v>#REF!</v>
      </c>
      <c r="BE339" s="22"/>
      <c r="BF339" s="23"/>
      <c r="BG339" s="24">
        <f>SUM(BG333:BG338)</f>
        <v>2097</v>
      </c>
      <c r="BI339" s="125"/>
      <c r="BJ339" s="10">
        <f t="shared" ref="BJ339:BO339" si="42">BJ27+BJ53+BJ79+BJ105+BJ131+BJ157+BJ183+BJ209+BJ235+BJ261+BJ287++BJ313</f>
        <v>107</v>
      </c>
      <c r="BK339" s="10">
        <f t="shared" si="42"/>
        <v>94</v>
      </c>
      <c r="BL339" s="10">
        <f t="shared" si="42"/>
        <v>47</v>
      </c>
      <c r="BM339" s="10">
        <f t="shared" si="42"/>
        <v>0</v>
      </c>
      <c r="BN339" s="10">
        <f t="shared" si="42"/>
        <v>0</v>
      </c>
      <c r="BO339" s="10">
        <f t="shared" si="42"/>
        <v>0</v>
      </c>
      <c r="BP339" s="63" t="e">
        <f>BP27+BP53+BP79+BP105+BP131+BP157+BP183+BP209+BP235+BP261+#REF!+#REF!+#REF!+#REF!+#REF!+#REF!+#REF!+#REF!+#REF!+#REF!+#REF!+#REF!+#REF!+#REF!+#REF!+#REF!+#REF!+#REF!+#REF!+#REF!+#REF!+#REF!+#REF!+#REF!+#REF!+#REF!+#REF!+#REF!+#REF!+#REF!+#REF!+#REF!</f>
        <v>#REF!</v>
      </c>
      <c r="BQ339" s="22"/>
      <c r="BR339" s="23"/>
      <c r="BS339" s="24">
        <f>SUM(BS333:BS338)</f>
        <v>2115</v>
      </c>
      <c r="BU339" s="125"/>
      <c r="BV339" s="10">
        <f t="shared" ref="BV339:CA339" si="43">BV27+BV53+BV79+BV105+BV131+BV157+BV183+BV209+BV235+BV261+BV287++BV313</f>
        <v>102</v>
      </c>
      <c r="BW339" s="10">
        <f t="shared" si="43"/>
        <v>147</v>
      </c>
      <c r="BX339" s="10">
        <f t="shared" si="43"/>
        <v>62</v>
      </c>
      <c r="BY339" s="10">
        <f t="shared" si="43"/>
        <v>0</v>
      </c>
      <c r="BZ339" s="10">
        <f t="shared" si="43"/>
        <v>0</v>
      </c>
      <c r="CA339" s="10">
        <f t="shared" si="43"/>
        <v>0</v>
      </c>
      <c r="CB339" s="63" t="e">
        <f>CB27+CB53+CB79+CB105+CB131+CB157+CB183+CB209+CB235+CB261+#REF!+#REF!+#REF!+#REF!+#REF!+#REF!+#REF!+#REF!+#REF!+#REF!+#REF!+#REF!+#REF!+#REF!+#REF!+#REF!+#REF!+#REF!+#REF!+#REF!+#REF!+#REF!+#REF!+#REF!+#REF!+#REF!+#REF!+#REF!+#REF!+#REF!+#REF!+#REF!</f>
        <v>#REF!</v>
      </c>
      <c r="CC339" s="22"/>
      <c r="CD339" s="23"/>
      <c r="CE339" s="24">
        <f>SUM(CE333:CE338)</f>
        <v>1387</v>
      </c>
      <c r="CG339" s="125"/>
      <c r="CH339" s="10">
        <f t="shared" ref="CH339:CM339" si="44">CH27+CH53+CH79+CH105+CH131+CH157+CH183+CH209+CH235+CH261+CH287++CH313</f>
        <v>23</v>
      </c>
      <c r="CI339" s="10">
        <f t="shared" si="44"/>
        <v>29</v>
      </c>
      <c r="CJ339" s="10">
        <f t="shared" si="44"/>
        <v>18</v>
      </c>
      <c r="CK339" s="10">
        <f t="shared" si="44"/>
        <v>0</v>
      </c>
      <c r="CL339" s="10">
        <f t="shared" si="44"/>
        <v>0</v>
      </c>
      <c r="CM339" s="10">
        <f t="shared" si="44"/>
        <v>0</v>
      </c>
      <c r="CN339" s="63" t="e">
        <f>CN27+CN53+CN79+CN105+CN131+CN157+CN183+CN209+CN235+CN261+#REF!+#REF!+#REF!+#REF!+#REF!+#REF!+#REF!+#REF!+#REF!+#REF!+#REF!+#REF!+#REF!+#REF!+#REF!+#REF!+#REF!+#REF!+#REF!+#REF!+#REF!+#REF!+#REF!+#REF!+#REF!+#REF!+#REF!+#REF!+#REF!+#REF!+#REF!+#REF!</f>
        <v>#REF!</v>
      </c>
      <c r="CO339" s="22"/>
      <c r="CP339" s="23"/>
      <c r="CQ339" s="24">
        <f>SUM(CQ333:CQ338)</f>
        <v>1144</v>
      </c>
      <c r="CS339" s="125"/>
      <c r="CT339" s="10">
        <f t="shared" ref="CT339:CY339" si="45">CT27+CT53+CT79+CT105+CT131+CT157+CT183+CT209+CT235+CT261+CT287++CT313</f>
        <v>0</v>
      </c>
      <c r="CU339" s="10">
        <f t="shared" si="45"/>
        <v>0</v>
      </c>
      <c r="CV339" s="10">
        <f t="shared" si="45"/>
        <v>0</v>
      </c>
      <c r="CW339" s="10">
        <f t="shared" si="45"/>
        <v>0</v>
      </c>
      <c r="CX339" s="10">
        <f t="shared" si="45"/>
        <v>0</v>
      </c>
      <c r="CY339" s="10">
        <f t="shared" si="45"/>
        <v>0</v>
      </c>
      <c r="CZ339" s="63" t="e">
        <f>CZ27+CZ53+CZ79+CZ105+CZ131+CZ157+CZ183+CZ209+CZ235+CZ261+#REF!+#REF!+#REF!+#REF!+#REF!+#REF!+#REF!+#REF!+#REF!+#REF!+#REF!+#REF!+#REF!+#REF!+#REF!+#REF!+#REF!+#REF!+#REF!+#REF!+#REF!+#REF!+#REF!+#REF!+#REF!+#REF!+#REF!+#REF!+#REF!+#REF!+#REF!+#REF!</f>
        <v>#REF!</v>
      </c>
      <c r="DA339" s="22"/>
      <c r="DB339" s="23"/>
      <c r="DC339" s="24">
        <f>SUM(DC333:DC338)</f>
        <v>0</v>
      </c>
      <c r="DD339" s="2"/>
      <c r="DE339" s="125"/>
      <c r="DF339" s="10">
        <f t="shared" ref="DF339:DK339" si="46">DF27+DF53+DF79+DF105+DF131+DF157+DF183+DF209+DF235+DF261+DF287++DF313</f>
        <v>75</v>
      </c>
      <c r="DG339" s="10">
        <f t="shared" si="46"/>
        <v>127</v>
      </c>
      <c r="DH339" s="10">
        <f t="shared" si="46"/>
        <v>72</v>
      </c>
      <c r="DI339" s="10">
        <f t="shared" si="46"/>
        <v>0</v>
      </c>
      <c r="DJ339" s="10">
        <f t="shared" si="46"/>
        <v>0</v>
      </c>
      <c r="DK339" s="10">
        <f t="shared" si="46"/>
        <v>0</v>
      </c>
      <c r="DL339" s="63" t="e">
        <f>DL27+DL53+DL79+DL105+DL131+DL157+DL183+DL209+DL235+DL261+#REF!+#REF!+#REF!+#REF!+#REF!+#REF!+#REF!+#REF!+#REF!+#REF!+#REF!+#REF!+#REF!+#REF!+#REF!+#REF!+#REF!+#REF!+#REF!+#REF!+#REF!+#REF!+#REF!+#REF!+#REF!+#REF!+#REF!+#REF!+#REF!+#REF!+#REF!+#REF!</f>
        <v>#REF!</v>
      </c>
      <c r="DM339" s="22"/>
      <c r="DN339" s="23"/>
      <c r="DO339" s="24">
        <f>SUM(DO333:DO338)</f>
        <v>816</v>
      </c>
      <c r="DP339" s="2"/>
      <c r="DQ339" s="125"/>
      <c r="DR339" s="10">
        <f t="shared" ref="DR339:DW339" si="47">DR27+DR53+DR79+DR105+DR131+DR157+DR183+DR209+DR235+DR261+DR287++DR313</f>
        <v>0</v>
      </c>
      <c r="DS339" s="10">
        <f t="shared" si="47"/>
        <v>0</v>
      </c>
      <c r="DT339" s="10">
        <f t="shared" si="47"/>
        <v>0</v>
      </c>
      <c r="DU339" s="10">
        <f t="shared" si="47"/>
        <v>0</v>
      </c>
      <c r="DV339" s="10">
        <f t="shared" si="47"/>
        <v>0</v>
      </c>
      <c r="DW339" s="10">
        <f t="shared" si="47"/>
        <v>0</v>
      </c>
      <c r="DX339" s="63" t="e">
        <f>DX27+DX53+DX79+DX105+DX131+DX157+DX183+DX209+DX235+DX261+#REF!+#REF!+#REF!+#REF!+#REF!+#REF!+#REF!+#REF!+#REF!+#REF!+#REF!+#REF!+#REF!+#REF!+#REF!+#REF!+#REF!+#REF!+#REF!+#REF!+#REF!+#REF!+#REF!+#REF!+#REF!+#REF!+#REF!+#REF!+#REF!+#REF!+#REF!+#REF!</f>
        <v>#REF!</v>
      </c>
      <c r="DY339" s="22"/>
      <c r="DZ339" s="23"/>
      <c r="EA339" s="24">
        <f>SUM(EA333:EA338)</f>
        <v>0</v>
      </c>
      <c r="EC339" s="125"/>
      <c r="ED339" s="10">
        <f t="shared" ref="ED339:EI339" si="48">ED27+ED53+ED79+ED105+ED131+ED157+ED183+ED209+ED235+ED261+ED287++ED313</f>
        <v>0</v>
      </c>
      <c r="EE339" s="10">
        <f t="shared" si="48"/>
        <v>0</v>
      </c>
      <c r="EF339" s="10">
        <f t="shared" si="48"/>
        <v>0</v>
      </c>
      <c r="EG339" s="10">
        <f t="shared" si="48"/>
        <v>0</v>
      </c>
      <c r="EH339" s="10">
        <f t="shared" si="48"/>
        <v>0</v>
      </c>
      <c r="EI339" s="10">
        <f t="shared" si="48"/>
        <v>0</v>
      </c>
      <c r="EJ339" s="63" t="e">
        <f>EJ27+EJ53+EJ79+EJ105+EJ131+EJ157+EJ183+EJ209+EJ235+EJ261+#REF!+#REF!+#REF!+#REF!+#REF!+#REF!+#REF!+#REF!+#REF!+#REF!+#REF!+#REF!+#REF!+#REF!+#REF!+#REF!+#REF!+#REF!+#REF!+#REF!+#REF!+#REF!+#REF!+#REF!+#REF!+#REF!+#REF!+#REF!+#REF!+#REF!+#REF!+#REF!</f>
        <v>#REF!</v>
      </c>
      <c r="EK339" s="22"/>
      <c r="EL339" s="23"/>
      <c r="EM339" s="24">
        <f>SUM(EM333:EM338)</f>
        <v>0</v>
      </c>
      <c r="EO339" s="125"/>
      <c r="EP339" s="10" t="e">
        <f t="shared" ref="EP339:EU339" si="49">EP27+EP53+EP79+EP105+EP131+EP157+EP183+EP209+EP235+EP261+EP287++EP313</f>
        <v>#VALUE!</v>
      </c>
      <c r="EQ339" s="10" t="e">
        <f t="shared" si="49"/>
        <v>#VALUE!</v>
      </c>
      <c r="ER339" s="10" t="e">
        <f t="shared" si="49"/>
        <v>#VALUE!</v>
      </c>
      <c r="ES339" s="10">
        <f t="shared" si="49"/>
        <v>3</v>
      </c>
      <c r="ET339" s="10">
        <f t="shared" si="49"/>
        <v>0</v>
      </c>
      <c r="EU339" s="10">
        <f t="shared" si="49"/>
        <v>0</v>
      </c>
      <c r="EV339" s="63" t="e">
        <f>EV27+EV53+EV79+EV105+EV131+EV157+EV183+EV209+EV235+EV261+#REF!+#REF!+#REF!+#REF!+#REF!+#REF!+#REF!+#REF!+#REF!+#REF!+#REF!+#REF!+#REF!+#REF!+#REF!+#REF!+#REF!+#REF!+#REF!+#REF!+#REF!+#REF!+#REF!+#REF!+#REF!+#REF!+#REF!+#REF!+#REF!+#REF!+#REF!+#REF!</f>
        <v>#REF!</v>
      </c>
      <c r="EW339" s="22"/>
      <c r="EX339" s="23"/>
      <c r="EY339" s="24">
        <f>SUM(EY333:EY338)</f>
        <v>13785</v>
      </c>
    </row>
  </sheetData>
  <mergeCells count="13013">
    <mergeCell ref="EP16:EQ18"/>
    <mergeCell ref="EH16:EI16"/>
    <mergeCell ref="EF16:EG16"/>
    <mergeCell ref="ED16:EE18"/>
    <mergeCell ref="ET15:EU15"/>
    <mergeCell ref="ER15:ES15"/>
    <mergeCell ref="EH15:EI15"/>
    <mergeCell ref="EF15:EG15"/>
    <mergeCell ref="EY14:EY16"/>
    <mergeCell ref="EW14:EX16"/>
    <mergeCell ref="ET14:EU14"/>
    <mergeCell ref="ER14:ES14"/>
    <mergeCell ref="EM14:EM16"/>
    <mergeCell ref="EK14:EL16"/>
    <mergeCell ref="EH14:EI14"/>
    <mergeCell ref="EF14:EG14"/>
    <mergeCell ref="ET13:EU13"/>
    <mergeCell ref="ET10:EU10"/>
    <mergeCell ref="ER10:ES10"/>
    <mergeCell ref="EP10:EQ11"/>
    <mergeCell ref="EH10:EI10"/>
    <mergeCell ref="EF10:EG10"/>
    <mergeCell ref="ED10:EE11"/>
    <mergeCell ref="EY9:EY10"/>
    <mergeCell ref="EX9:EX10"/>
    <mergeCell ref="ET9:EU9"/>
    <mergeCell ref="ER9:ES9"/>
    <mergeCell ref="EM9:EM10"/>
    <mergeCell ref="EL9:EL10"/>
    <mergeCell ref="EH9:EI9"/>
    <mergeCell ref="EF9:EG9"/>
    <mergeCell ref="ET8:EU8"/>
    <mergeCell ref="ER8:ES8"/>
    <mergeCell ref="EH8:EI8"/>
    <mergeCell ref="EF8:EG8"/>
    <mergeCell ref="EY7:EY8"/>
    <mergeCell ref="EX7:EX8"/>
    <mergeCell ref="EW7:EW10"/>
    <mergeCell ref="ET7:EU7"/>
    <mergeCell ref="ER7:ES7"/>
    <mergeCell ref="EP7:EQ9"/>
    <mergeCell ref="EH12:EI12"/>
    <mergeCell ref="EF12:EG12"/>
    <mergeCell ref="ED12:EE15"/>
    <mergeCell ref="EY11:EY13"/>
    <mergeCell ref="EW11:EX13"/>
    <mergeCell ref="ET11:EU11"/>
    <mergeCell ref="ER11:ES11"/>
    <mergeCell ref="EM11:EM13"/>
    <mergeCell ref="EK11:EL13"/>
    <mergeCell ref="EH11:EI11"/>
    <mergeCell ref="EF11:EG11"/>
    <mergeCell ref="ER13:ES13"/>
    <mergeCell ref="EH13:EI13"/>
    <mergeCell ref="EF13:EG13"/>
    <mergeCell ref="ET12:EU12"/>
    <mergeCell ref="ER12:ES12"/>
    <mergeCell ref="EP12:EQ15"/>
    <mergeCell ref="ET6:EU6"/>
    <mergeCell ref="ET4:EU4"/>
    <mergeCell ref="ER4:ES4"/>
    <mergeCell ref="EO4:EQ6"/>
    <mergeCell ref="EH4:EI4"/>
    <mergeCell ref="EF4:EG4"/>
    <mergeCell ref="EC4:EE6"/>
    <mergeCell ref="EY3:EY4"/>
    <mergeCell ref="EX3:EX4"/>
    <mergeCell ref="EW3:EW6"/>
    <mergeCell ref="ET3:EU3"/>
    <mergeCell ref="EO3:ES3"/>
    <mergeCell ref="EM3:EM4"/>
    <mergeCell ref="EL3:EL4"/>
    <mergeCell ref="EK3:EK6"/>
    <mergeCell ref="EH3:EI3"/>
    <mergeCell ref="EC3:EG3"/>
    <mergeCell ref="EV2:EW2"/>
    <mergeCell ref="EQ2:ES2"/>
    <mergeCell ref="EJ2:EK2"/>
    <mergeCell ref="EE2:EG2"/>
    <mergeCell ref="EV1:EW1"/>
    <mergeCell ref="EJ1:EK1"/>
    <mergeCell ref="ER19:ES19"/>
    <mergeCell ref="EP19:EQ20"/>
    <mergeCell ref="ET18:EU18"/>
    <mergeCell ref="ER18:ES18"/>
    <mergeCell ref="EH18:EI18"/>
    <mergeCell ref="EF18:EG18"/>
    <mergeCell ref="EY17:EY19"/>
    <mergeCell ref="EW17:EX19"/>
    <mergeCell ref="ET17:EU17"/>
    <mergeCell ref="ER17:ES17"/>
    <mergeCell ref="EM17:EM19"/>
    <mergeCell ref="EK17:EL19"/>
    <mergeCell ref="EH17:EI17"/>
    <mergeCell ref="EF17:EG17"/>
    <mergeCell ref="EO7:EO21"/>
    <mergeCell ref="EM7:EM8"/>
    <mergeCell ref="EL7:EL8"/>
    <mergeCell ref="EK7:EK10"/>
    <mergeCell ref="EH7:EI7"/>
    <mergeCell ref="EF7:EG7"/>
    <mergeCell ref="ED7:EE9"/>
    <mergeCell ref="EC7:EC21"/>
    <mergeCell ref="EF19:EG19"/>
    <mergeCell ref="EH19:EI19"/>
    <mergeCell ref="EF20:EG20"/>
    <mergeCell ref="EH20:EI20"/>
    <mergeCell ref="ED19:EE20"/>
    <mergeCell ref="ET19:EU19"/>
    <mergeCell ref="ER6:ES6"/>
    <mergeCell ref="EH6:EI6"/>
    <mergeCell ref="EF6:EG6"/>
    <mergeCell ref="EY5:EY6"/>
    <mergeCell ref="EX5:EX6"/>
    <mergeCell ref="ET5:EU5"/>
    <mergeCell ref="ER5:ES5"/>
    <mergeCell ref="EM5:EM6"/>
    <mergeCell ref="EL5:EL6"/>
    <mergeCell ref="EH5:EI5"/>
    <mergeCell ref="EF5:EG5"/>
    <mergeCell ref="ET16:EU16"/>
    <mergeCell ref="ER16:ES16"/>
    <mergeCell ref="EC30:EE32"/>
    <mergeCell ref="EY29:EY30"/>
    <mergeCell ref="EX29:EX30"/>
    <mergeCell ref="EW29:EW32"/>
    <mergeCell ref="ET29:EU29"/>
    <mergeCell ref="EO29:ES29"/>
    <mergeCell ref="EM29:EM30"/>
    <mergeCell ref="EL29:EL30"/>
    <mergeCell ref="EK29:EK32"/>
    <mergeCell ref="EH29:EI29"/>
    <mergeCell ref="EC29:EG29"/>
    <mergeCell ref="EV28:EW28"/>
    <mergeCell ref="EQ28:ES28"/>
    <mergeCell ref="EJ28:EK28"/>
    <mergeCell ref="EE28:EG28"/>
    <mergeCell ref="EO26:EO27"/>
    <mergeCell ref="EC26:EC27"/>
    <mergeCell ref="ET25:EU25"/>
    <mergeCell ref="ER25:ES25"/>
    <mergeCell ref="EH25:EI25"/>
    <mergeCell ref="EF25:EG25"/>
    <mergeCell ref="EY24:EY26"/>
    <mergeCell ref="EW24:EX26"/>
    <mergeCell ref="ET24:EU24"/>
    <mergeCell ref="ER24:ES24"/>
    <mergeCell ref="EM24:EM26"/>
    <mergeCell ref="EK24:EL26"/>
    <mergeCell ref="EH24:EI24"/>
    <mergeCell ref="EF24:EG24"/>
    <mergeCell ref="EO22:EQ25"/>
    <mergeCell ref="EH22:EI22"/>
    <mergeCell ref="EF22:EG22"/>
    <mergeCell ref="EC22:EE25"/>
    <mergeCell ref="EY21:EY23"/>
    <mergeCell ref="EW21:EX23"/>
    <mergeCell ref="ET21:EU21"/>
    <mergeCell ref="EP21:ES21"/>
    <mergeCell ref="EM21:EM23"/>
    <mergeCell ref="EK21:EL23"/>
    <mergeCell ref="EH21:EI21"/>
    <mergeCell ref="ED21:EG21"/>
    <mergeCell ref="ET20:EU20"/>
    <mergeCell ref="ET23:EU23"/>
    <mergeCell ref="ER23:ES23"/>
    <mergeCell ref="EH23:EI23"/>
    <mergeCell ref="EF23:EG23"/>
    <mergeCell ref="ET22:EU22"/>
    <mergeCell ref="ER22:ES22"/>
    <mergeCell ref="ER20:ES20"/>
    <mergeCell ref="ET32:EU32"/>
    <mergeCell ref="ER32:ES32"/>
    <mergeCell ref="EH32:EI32"/>
    <mergeCell ref="EF32:EG32"/>
    <mergeCell ref="EY31:EY32"/>
    <mergeCell ref="EX31:EX32"/>
    <mergeCell ref="ET31:EU31"/>
    <mergeCell ref="ER31:ES31"/>
    <mergeCell ref="EM31:EM32"/>
    <mergeCell ref="EL31:EL32"/>
    <mergeCell ref="EH31:EI31"/>
    <mergeCell ref="EF31:EG31"/>
    <mergeCell ref="EW40:EX42"/>
    <mergeCell ref="EY40:EY42"/>
    <mergeCell ref="ER41:ES41"/>
    <mergeCell ref="ET41:EU41"/>
    <mergeCell ref="ER42:ES42"/>
    <mergeCell ref="ET42:EU42"/>
    <mergeCell ref="ER34:ES34"/>
    <mergeCell ref="ET34:EU34"/>
    <mergeCell ref="ER35:ES35"/>
    <mergeCell ref="ET43:EU43"/>
    <mergeCell ref="EH39:EI39"/>
    <mergeCell ref="EY37:EY39"/>
    <mergeCell ref="EW37:EX39"/>
    <mergeCell ref="EH37:EI37"/>
    <mergeCell ref="EF37:EG37"/>
    <mergeCell ref="EH41:EI41"/>
    <mergeCell ref="EH42:EI42"/>
    <mergeCell ref="ET30:EU30"/>
    <mergeCell ref="ER30:ES30"/>
    <mergeCell ref="EO30:EQ32"/>
    <mergeCell ref="EH30:EI30"/>
    <mergeCell ref="EF30:EG30"/>
    <mergeCell ref="EF38:EG38"/>
    <mergeCell ref="EF39:EG39"/>
    <mergeCell ref="EH38:EI38"/>
    <mergeCell ref="EF40:EG40"/>
    <mergeCell ref="EH40:EI40"/>
    <mergeCell ref="EF41:EG41"/>
    <mergeCell ref="ET36:EU36"/>
    <mergeCell ref="ER36:ES36"/>
    <mergeCell ref="EP36:EQ37"/>
    <mergeCell ref="EH36:EI36"/>
    <mergeCell ref="EK37:EL39"/>
    <mergeCell ref="ET40:EU40"/>
    <mergeCell ref="EM37:EM39"/>
    <mergeCell ref="ER37:ES37"/>
    <mergeCell ref="EF43:EG43"/>
    <mergeCell ref="EF42:EG42"/>
    <mergeCell ref="ED42:EE44"/>
    <mergeCell ref="ET37:EU37"/>
    <mergeCell ref="ED36:EE37"/>
    <mergeCell ref="EF36:EG36"/>
    <mergeCell ref="ET45:EU45"/>
    <mergeCell ref="ED45:EE46"/>
    <mergeCell ref="EK50:EL52"/>
    <mergeCell ref="EW47:EX49"/>
    <mergeCell ref="EY47:EY49"/>
    <mergeCell ref="EW50:EX52"/>
    <mergeCell ref="EY50:EY52"/>
    <mergeCell ref="EW43:EX45"/>
    <mergeCell ref="EY43:EY45"/>
    <mergeCell ref="EO48:EQ51"/>
    <mergeCell ref="ER48:ES48"/>
    <mergeCell ref="EH49:EI49"/>
    <mergeCell ref="ER49:ES49"/>
    <mergeCell ref="EM50:EM52"/>
    <mergeCell ref="ET47:EU47"/>
    <mergeCell ref="ER51:ES51"/>
    <mergeCell ref="ET51:EU51"/>
    <mergeCell ref="ET44:EU44"/>
    <mergeCell ref="EH43:EI43"/>
    <mergeCell ref="EK43:EL45"/>
    <mergeCell ref="EM43:EM45"/>
    <mergeCell ref="ER43:ES43"/>
    <mergeCell ref="EH44:EI44"/>
    <mergeCell ref="ER44:ES44"/>
    <mergeCell ref="EP45:EQ46"/>
    <mergeCell ref="ER45:ES45"/>
    <mergeCell ref="ER46:ES46"/>
    <mergeCell ref="EP42:EQ44"/>
    <mergeCell ref="EH50:EI50"/>
    <mergeCell ref="EH51:EI51"/>
    <mergeCell ref="ET49:EU49"/>
    <mergeCell ref="EF49:EG49"/>
    <mergeCell ref="ET48:EU48"/>
    <mergeCell ref="EH48:EI48"/>
    <mergeCell ref="EF48:EG48"/>
    <mergeCell ref="EC48:EE51"/>
    <mergeCell ref="EO52:EO53"/>
    <mergeCell ref="EC52:EC53"/>
    <mergeCell ref="EF51:EG51"/>
    <mergeCell ref="ET50:EU50"/>
    <mergeCell ref="ER50:ES50"/>
    <mergeCell ref="EF50:EG50"/>
    <mergeCell ref="ET46:EU46"/>
    <mergeCell ref="EH46:EI46"/>
    <mergeCell ref="EF46:EG46"/>
    <mergeCell ref="EY57:EY58"/>
    <mergeCell ref="EX57:EX58"/>
    <mergeCell ref="ET57:EU57"/>
    <mergeCell ref="EM57:EM58"/>
    <mergeCell ref="EL57:EL58"/>
    <mergeCell ref="EH57:EI57"/>
    <mergeCell ref="ET71:EU71"/>
    <mergeCell ref="ED71:EE72"/>
    <mergeCell ref="EH70:EI70"/>
    <mergeCell ref="EF70:EG70"/>
    <mergeCell ref="ER69:ES69"/>
    <mergeCell ref="EM69:EM71"/>
    <mergeCell ref="EK69:EL71"/>
    <mergeCell ref="ER66:ES66"/>
    <mergeCell ref="EM66:EM68"/>
    <mergeCell ref="EK66:EL68"/>
    <mergeCell ref="EH66:EI66"/>
    <mergeCell ref="EF66:EG66"/>
    <mergeCell ref="ET65:EU65"/>
    <mergeCell ref="ER65:ES65"/>
    <mergeCell ref="EH65:EI65"/>
    <mergeCell ref="ET64:EU64"/>
    <mergeCell ref="ER64:ES64"/>
    <mergeCell ref="EP64:EQ67"/>
    <mergeCell ref="EC33:EC47"/>
    <mergeCell ref="EF45:EG45"/>
    <mergeCell ref="EF33:EG33"/>
    <mergeCell ref="EF34:EG34"/>
    <mergeCell ref="EF35:EG35"/>
    <mergeCell ref="EY35:EY36"/>
    <mergeCell ref="EX35:EX36"/>
    <mergeCell ref="ET35:EU35"/>
    <mergeCell ref="EM35:EM36"/>
    <mergeCell ref="EL35:EL36"/>
    <mergeCell ref="EH35:EI35"/>
    <mergeCell ref="EH34:EI34"/>
    <mergeCell ref="EY33:EY34"/>
    <mergeCell ref="EX33:EX34"/>
    <mergeCell ref="EW33:EW36"/>
    <mergeCell ref="ET33:EU33"/>
    <mergeCell ref="ER33:ES33"/>
    <mergeCell ref="EP33:EQ35"/>
    <mergeCell ref="EO33:EO47"/>
    <mergeCell ref="EM33:EM34"/>
    <mergeCell ref="EL33:EL34"/>
    <mergeCell ref="EK33:EK36"/>
    <mergeCell ref="EH33:EI33"/>
    <mergeCell ref="ED33:EE35"/>
    <mergeCell ref="EH45:EI45"/>
    <mergeCell ref="EF44:EG44"/>
    <mergeCell ref="EP38:EQ41"/>
    <mergeCell ref="ER38:ES38"/>
    <mergeCell ref="ET38:EU38"/>
    <mergeCell ref="ER39:ES39"/>
    <mergeCell ref="ET39:EU39"/>
    <mergeCell ref="EK40:EL42"/>
    <mergeCell ref="EM40:EM42"/>
    <mergeCell ref="ER40:ES40"/>
    <mergeCell ref="EP47:ES47"/>
    <mergeCell ref="EM47:EM49"/>
    <mergeCell ref="EK47:EL49"/>
    <mergeCell ref="EH47:EI47"/>
    <mergeCell ref="ED47:EG47"/>
    <mergeCell ref="ED38:EE41"/>
    <mergeCell ref="ET89:EU89"/>
    <mergeCell ref="ET85:EU85"/>
    <mergeCell ref="ET83:EU83"/>
    <mergeCell ref="ET82:EU82"/>
    <mergeCell ref="EM89:EM91"/>
    <mergeCell ref="ER89:ES89"/>
    <mergeCell ref="EF88:EG88"/>
    <mergeCell ref="EX87:EX88"/>
    <mergeCell ref="EY63:EY65"/>
    <mergeCell ref="EW63:EX65"/>
    <mergeCell ref="ET63:EU63"/>
    <mergeCell ref="ER63:ES63"/>
    <mergeCell ref="EM63:EM65"/>
    <mergeCell ref="EH63:EI63"/>
    <mergeCell ref="EF59:EG59"/>
    <mergeCell ref="ED59:EE61"/>
    <mergeCell ref="EC59:EC73"/>
    <mergeCell ref="ER70:ES70"/>
    <mergeCell ref="EP71:EQ72"/>
    <mergeCell ref="ER71:ES71"/>
    <mergeCell ref="ER72:ES72"/>
    <mergeCell ref="EP68:EQ70"/>
    <mergeCell ref="ET69:EU69"/>
    <mergeCell ref="EF61:EG61"/>
    <mergeCell ref="EW69:EX71"/>
    <mergeCell ref="ER61:ES61"/>
    <mergeCell ref="EM61:EM62"/>
    <mergeCell ref="EF63:EG63"/>
    <mergeCell ref="EX61:EX62"/>
    <mergeCell ref="EY61:EY62"/>
    <mergeCell ref="EY73:EY75"/>
    <mergeCell ref="EY69:EY71"/>
    <mergeCell ref="ET66:EU66"/>
    <mergeCell ref="EW66:EX68"/>
    <mergeCell ref="EY66:EY68"/>
    <mergeCell ref="ET61:EU61"/>
    <mergeCell ref="EP62:EQ63"/>
    <mergeCell ref="ER62:ES62"/>
    <mergeCell ref="ET62:EU62"/>
    <mergeCell ref="EH59:EI59"/>
    <mergeCell ref="EW59:EW62"/>
    <mergeCell ref="EX59:EX60"/>
    <mergeCell ref="EY59:EY60"/>
    <mergeCell ref="ET73:EU73"/>
    <mergeCell ref="EP73:ES73"/>
    <mergeCell ref="EF62:EG62"/>
    <mergeCell ref="EH62:EI62"/>
    <mergeCell ref="ED64:EE67"/>
    <mergeCell ref="EF71:EG71"/>
    <mergeCell ref="EH71:EI71"/>
    <mergeCell ref="EF72:EG72"/>
    <mergeCell ref="EY87:EY88"/>
    <mergeCell ref="ET59:EU59"/>
    <mergeCell ref="EH61:EI61"/>
    <mergeCell ref="ET74:EU74"/>
    <mergeCell ref="EW89:EX91"/>
    <mergeCell ref="EY89:EY91"/>
    <mergeCell ref="ER59:ES59"/>
    <mergeCell ref="EP59:EQ61"/>
    <mergeCell ref="EK59:EK62"/>
    <mergeCell ref="EH60:EI60"/>
    <mergeCell ref="ET72:EU72"/>
    <mergeCell ref="ET60:EU60"/>
    <mergeCell ref="EL61:EL62"/>
    <mergeCell ref="EY55:EY56"/>
    <mergeCell ref="EX55:EX56"/>
    <mergeCell ref="ET55:EU55"/>
    <mergeCell ref="EJ54:EK54"/>
    <mergeCell ref="EE54:EG54"/>
    <mergeCell ref="EH69:EI69"/>
    <mergeCell ref="EF69:EG69"/>
    <mergeCell ref="ET68:EU68"/>
    <mergeCell ref="ER68:ES68"/>
    <mergeCell ref="EF68:EG68"/>
    <mergeCell ref="ED68:EE70"/>
    <mergeCell ref="ET67:EU67"/>
    <mergeCell ref="ER67:ES67"/>
    <mergeCell ref="EF67:EG67"/>
    <mergeCell ref="EY95:EY97"/>
    <mergeCell ref="EY99:EY101"/>
    <mergeCell ref="EH113:EI113"/>
    <mergeCell ref="EH83:EI83"/>
    <mergeCell ref="EF83:EG83"/>
    <mergeCell ref="ET81:EU81"/>
    <mergeCell ref="ET56:EU56"/>
    <mergeCell ref="ED111:EE113"/>
    <mergeCell ref="ED114:EE115"/>
    <mergeCell ref="EF95:EG95"/>
    <mergeCell ref="EY76:EY78"/>
    <mergeCell ref="ER77:ES77"/>
    <mergeCell ref="ET77:EU77"/>
    <mergeCell ref="EH76:EI76"/>
    <mergeCell ref="EK76:EL78"/>
    <mergeCell ref="EH77:EI77"/>
    <mergeCell ref="ER58:ES58"/>
    <mergeCell ref="ET58:EU58"/>
    <mergeCell ref="ER76:ES76"/>
    <mergeCell ref="ET76:EU76"/>
    <mergeCell ref="EF77:EG77"/>
    <mergeCell ref="ET70:EU70"/>
    <mergeCell ref="ED62:EE63"/>
    <mergeCell ref="EF82:EG82"/>
    <mergeCell ref="EC82:EE84"/>
    <mergeCell ref="EJ106:EK106"/>
    <mergeCell ref="EP99:ES99"/>
    <mergeCell ref="EH100:EI100"/>
    <mergeCell ref="EO100:EQ103"/>
    <mergeCell ref="ER100:ES100"/>
    <mergeCell ref="EH101:EI101"/>
    <mergeCell ref="EH74:EI74"/>
    <mergeCell ref="EF74:EG74"/>
    <mergeCell ref="EC74:EE77"/>
    <mergeCell ref="EM73:EM75"/>
    <mergeCell ref="EK73:EL75"/>
    <mergeCell ref="EH73:EI73"/>
    <mergeCell ref="ED73:EG73"/>
    <mergeCell ref="EY102:EY104"/>
    <mergeCell ref="EY85:EY86"/>
    <mergeCell ref="EY81:EY82"/>
    <mergeCell ref="EX83:EX84"/>
    <mergeCell ref="EL111:EL112"/>
    <mergeCell ref="EY83:EY84"/>
    <mergeCell ref="EX85:EX86"/>
    <mergeCell ref="EW81:EW84"/>
    <mergeCell ref="ER83:ES83"/>
    <mergeCell ref="EK107:EK110"/>
    <mergeCell ref="EL107:EL108"/>
    <mergeCell ref="EM107:EM108"/>
    <mergeCell ref="EF120:EG120"/>
    <mergeCell ref="EF123:EG123"/>
    <mergeCell ref="EH121:EI121"/>
    <mergeCell ref="EF121:EG121"/>
    <mergeCell ref="EX113:EX114"/>
    <mergeCell ref="EY113:EY114"/>
    <mergeCell ref="EY115:EY117"/>
    <mergeCell ref="EY107:EY108"/>
    <mergeCell ref="ET109:EU109"/>
    <mergeCell ref="EX109:EX110"/>
    <mergeCell ref="EY109:EY110"/>
    <mergeCell ref="ET108:EU108"/>
    <mergeCell ref="EV106:EW106"/>
    <mergeCell ref="EW133:EW136"/>
    <mergeCell ref="ER135:ES135"/>
    <mergeCell ref="EK133:EK136"/>
    <mergeCell ref="EL133:EL134"/>
    <mergeCell ref="EM133:EM134"/>
    <mergeCell ref="EO133:ES133"/>
    <mergeCell ref="EO134:EQ136"/>
    <mergeCell ref="ER134:ES134"/>
    <mergeCell ref="EO111:EO125"/>
    <mergeCell ref="EP111:EQ113"/>
    <mergeCell ref="ER111:ES111"/>
    <mergeCell ref="ET111:EU111"/>
    <mergeCell ref="ER112:ES112"/>
    <mergeCell ref="ET112:EU112"/>
    <mergeCell ref="ER113:ES113"/>
    <mergeCell ref="EW115:EX117"/>
    <mergeCell ref="ET121:EU121"/>
    <mergeCell ref="EH119:EI119"/>
    <mergeCell ref="EH120:EI120"/>
    <mergeCell ref="ED116:EE119"/>
    <mergeCell ref="ER119:ES119"/>
    <mergeCell ref="ET119:EU119"/>
    <mergeCell ref="EM115:EM117"/>
    <mergeCell ref="ER115:ES115"/>
    <mergeCell ref="ET115:EU115"/>
    <mergeCell ref="EP116:EQ119"/>
    <mergeCell ref="ER114:ES114"/>
    <mergeCell ref="ET114:EU114"/>
    <mergeCell ref="EH111:EI111"/>
    <mergeCell ref="EK111:EK114"/>
    <mergeCell ref="EH112:EI112"/>
    <mergeCell ref="EM113:EM114"/>
    <mergeCell ref="EL113:EL114"/>
    <mergeCell ref="EW111:EW114"/>
    <mergeCell ref="EX111:EX112"/>
    <mergeCell ref="EH114:EI114"/>
    <mergeCell ref="EH115:EI115"/>
    <mergeCell ref="ET136:EU136"/>
    <mergeCell ref="ER136:ES136"/>
    <mergeCell ref="EH136:EI136"/>
    <mergeCell ref="EF136:EG136"/>
    <mergeCell ref="EM135:EM136"/>
    <mergeCell ref="EL135:EL136"/>
    <mergeCell ref="EH135:EI135"/>
    <mergeCell ref="EF135:EG135"/>
    <mergeCell ref="EH134:EI134"/>
    <mergeCell ref="EF134:EG134"/>
    <mergeCell ref="EY128:EY130"/>
    <mergeCell ref="ET128:EU128"/>
    <mergeCell ref="EV132:EW132"/>
    <mergeCell ref="EY133:EY134"/>
    <mergeCell ref="EW147:EX149"/>
    <mergeCell ref="EY147:EY149"/>
    <mergeCell ref="EF144:EG144"/>
    <mergeCell ref="EF145:EG145"/>
    <mergeCell ref="EW144:EX146"/>
    <mergeCell ref="EY144:EY146"/>
    <mergeCell ref="ER145:ES145"/>
    <mergeCell ref="ET145:EU145"/>
    <mergeCell ref="EM141:EM143"/>
    <mergeCell ref="ER141:ES141"/>
    <mergeCell ref="ET141:EU141"/>
    <mergeCell ref="ER139:ES139"/>
    <mergeCell ref="EW141:EX143"/>
    <mergeCell ref="EY141:EY143"/>
    <mergeCell ref="EP142:EQ145"/>
    <mergeCell ref="ER142:ES142"/>
    <mergeCell ref="ET142:EU142"/>
    <mergeCell ref="EH143:EI143"/>
    <mergeCell ref="ER143:ES143"/>
    <mergeCell ref="ET143:EU143"/>
    <mergeCell ref="EK144:EL146"/>
    <mergeCell ref="EM144:EM146"/>
    <mergeCell ref="ER144:ES144"/>
    <mergeCell ref="EK141:EL143"/>
    <mergeCell ref="EF141:EG141"/>
    <mergeCell ref="EH145:EI145"/>
    <mergeCell ref="EH146:EI146"/>
    <mergeCell ref="ET148:EU148"/>
    <mergeCell ref="EF149:EG149"/>
    <mergeCell ref="EH149:EI149"/>
    <mergeCell ref="EW173:EX175"/>
    <mergeCell ref="EY173:EY175"/>
    <mergeCell ref="ED172:EE174"/>
    <mergeCell ref="EF172:EG172"/>
    <mergeCell ref="EO163:EO177"/>
    <mergeCell ref="EP163:EQ165"/>
    <mergeCell ref="ER163:ES163"/>
    <mergeCell ref="ET163:EU163"/>
    <mergeCell ref="ET153:EU153"/>
    <mergeCell ref="ER153:ES153"/>
    <mergeCell ref="EH153:EI153"/>
    <mergeCell ref="EF153:EG153"/>
    <mergeCell ref="ET152:EU152"/>
    <mergeCell ref="ER152:ES152"/>
    <mergeCell ref="EO152:EQ155"/>
    <mergeCell ref="EH152:EI152"/>
    <mergeCell ref="EF152:EG152"/>
    <mergeCell ref="EC152:EE155"/>
    <mergeCell ref="EY151:EY153"/>
    <mergeCell ref="EW151:EX153"/>
    <mergeCell ref="ET151:EU151"/>
    <mergeCell ref="EP151:ES151"/>
    <mergeCell ref="EM151:EM153"/>
    <mergeCell ref="EK151:EL153"/>
    <mergeCell ref="EH151:EI151"/>
    <mergeCell ref="ED151:EG151"/>
    <mergeCell ref="ER150:ES150"/>
    <mergeCell ref="ER149:ES149"/>
    <mergeCell ref="EH144:EI144"/>
    <mergeCell ref="EF143:EG143"/>
    <mergeCell ref="EH142:EI142"/>
    <mergeCell ref="EF142:EG142"/>
    <mergeCell ref="EM139:EM140"/>
    <mergeCell ref="EL139:EL140"/>
    <mergeCell ref="ET154:EU154"/>
    <mergeCell ref="EQ158:ES158"/>
    <mergeCell ref="EC160:EE162"/>
    <mergeCell ref="EF160:EG160"/>
    <mergeCell ref="EH160:EI160"/>
    <mergeCell ref="EO156:EO157"/>
    <mergeCell ref="EF154:EG154"/>
    <mergeCell ref="ET162:EU162"/>
    <mergeCell ref="EH159:EI159"/>
    <mergeCell ref="ER171:ES171"/>
    <mergeCell ref="ET170:EU170"/>
    <mergeCell ref="EW170:EX172"/>
    <mergeCell ref="EH162:EI162"/>
    <mergeCell ref="ER162:ES162"/>
    <mergeCell ref="ER161:ES161"/>
    <mergeCell ref="EM161:EM162"/>
    <mergeCell ref="EL161:EL162"/>
    <mergeCell ref="ER160:ES160"/>
    <mergeCell ref="EO160:EQ162"/>
    <mergeCell ref="ER164:ES164"/>
    <mergeCell ref="ET164:EU164"/>
    <mergeCell ref="ER165:ES165"/>
    <mergeCell ref="EW167:EX169"/>
    <mergeCell ref="EY167:EY169"/>
    <mergeCell ref="EP168:EQ171"/>
    <mergeCell ref="ER168:ES168"/>
    <mergeCell ref="ET168:EU168"/>
    <mergeCell ref="EH169:EI169"/>
    <mergeCell ref="EK170:EL172"/>
    <mergeCell ref="EM170:EM172"/>
    <mergeCell ref="ER170:ES170"/>
    <mergeCell ref="EK167:EL169"/>
    <mergeCell ref="ED166:EE167"/>
    <mergeCell ref="EF167:EG167"/>
    <mergeCell ref="EH171:EI171"/>
    <mergeCell ref="EH172:EI172"/>
    <mergeCell ref="EF171:EG171"/>
    <mergeCell ref="EH170:EI170"/>
    <mergeCell ref="EF170:EG170"/>
    <mergeCell ref="EF169:EG169"/>
    <mergeCell ref="EH168:EI168"/>
    <mergeCell ref="EF168:EG168"/>
    <mergeCell ref="EF166:EG166"/>
    <mergeCell ref="EM165:EM166"/>
    <mergeCell ref="EL165:EL166"/>
    <mergeCell ref="EF165:EG165"/>
    <mergeCell ref="EF164:EG164"/>
    <mergeCell ref="EM163:EM164"/>
    <mergeCell ref="EL163:EL164"/>
    <mergeCell ref="EF163:EG163"/>
    <mergeCell ref="ED163:EE165"/>
    <mergeCell ref="EY170:EY172"/>
    <mergeCell ref="EX165:EX166"/>
    <mergeCell ref="EY165:EY166"/>
    <mergeCell ref="EH161:EI161"/>
    <mergeCell ref="EC156:EC157"/>
    <mergeCell ref="EY154:EY156"/>
    <mergeCell ref="EW154:EX156"/>
    <mergeCell ref="EM154:EM156"/>
    <mergeCell ref="EK154:EL156"/>
    <mergeCell ref="EH154:EI154"/>
    <mergeCell ref="EF155:EG155"/>
    <mergeCell ref="EY159:EY160"/>
    <mergeCell ref="EY161:EY162"/>
    <mergeCell ref="ET176:EU176"/>
    <mergeCell ref="EX159:EX160"/>
    <mergeCell ref="EW159:EW162"/>
    <mergeCell ref="EO159:ES159"/>
    <mergeCell ref="EM159:EM160"/>
    <mergeCell ref="EL159:EL160"/>
    <mergeCell ref="EK159:EK162"/>
    <mergeCell ref="EJ158:EK158"/>
    <mergeCell ref="EE158:EG158"/>
    <mergeCell ref="ER173:ES173"/>
    <mergeCell ref="EM173:EM175"/>
    <mergeCell ref="EK173:EL175"/>
    <mergeCell ref="EC159:EG159"/>
    <mergeCell ref="ED175:EE176"/>
    <mergeCell ref="EF162:EG162"/>
    <mergeCell ref="EF161:EG161"/>
    <mergeCell ref="ET171:EU171"/>
    <mergeCell ref="EF174:EG174"/>
    <mergeCell ref="EM167:EM169"/>
    <mergeCell ref="ER167:ES167"/>
    <mergeCell ref="ET167:EU167"/>
    <mergeCell ref="ED168:EE171"/>
    <mergeCell ref="ET165:EU165"/>
    <mergeCell ref="EP166:EQ167"/>
    <mergeCell ref="ER166:ES166"/>
    <mergeCell ref="ET166:EU166"/>
    <mergeCell ref="EH163:EI163"/>
    <mergeCell ref="EK163:EK166"/>
    <mergeCell ref="EH164:EI164"/>
    <mergeCell ref="ET161:EU161"/>
    <mergeCell ref="EX161:EX162"/>
    <mergeCell ref="ET160:EU160"/>
    <mergeCell ref="EV158:EW158"/>
    <mergeCell ref="ET159:EU159"/>
    <mergeCell ref="ET169:EU169"/>
    <mergeCell ref="EH166:EI166"/>
    <mergeCell ref="ER174:ES174"/>
    <mergeCell ref="EP172:EQ174"/>
    <mergeCell ref="EH167:EI167"/>
    <mergeCell ref="ER154:ES154"/>
    <mergeCell ref="EQ184:ES184"/>
    <mergeCell ref="EJ184:EK184"/>
    <mergeCell ref="ET181:EU181"/>
    <mergeCell ref="ER181:ES181"/>
    <mergeCell ref="EH181:EI181"/>
    <mergeCell ref="EF181:EG181"/>
    <mergeCell ref="ER172:ES172"/>
    <mergeCell ref="ET172:EU172"/>
    <mergeCell ref="EH165:EI165"/>
    <mergeCell ref="EW163:EW166"/>
    <mergeCell ref="EX163:EX164"/>
    <mergeCell ref="EY163:EY164"/>
    <mergeCell ref="EW196:EX198"/>
    <mergeCell ref="EW193:EX195"/>
    <mergeCell ref="EK189:EK192"/>
    <mergeCell ref="EH190:EI190"/>
    <mergeCell ref="EH191:EI191"/>
    <mergeCell ref="EW189:EW192"/>
    <mergeCell ref="EX189:EX190"/>
    <mergeCell ref="EY180:EY182"/>
    <mergeCell ref="EW180:EX182"/>
    <mergeCell ref="ET180:EU180"/>
    <mergeCell ref="ER180:ES180"/>
    <mergeCell ref="EM180:EM182"/>
    <mergeCell ref="EK180:EL182"/>
    <mergeCell ref="EH180:EI180"/>
    <mergeCell ref="EY196:EY198"/>
    <mergeCell ref="EY193:EY195"/>
    <mergeCell ref="EY189:EY190"/>
    <mergeCell ref="EY185:EY186"/>
    <mergeCell ref="ET187:EU187"/>
    <mergeCell ref="EX187:EX188"/>
    <mergeCell ref="EY187:EY188"/>
    <mergeCell ref="ET186:EU186"/>
    <mergeCell ref="EV184:EW184"/>
    <mergeCell ref="ET185:EU185"/>
    <mergeCell ref="ET190:EU190"/>
    <mergeCell ref="ER190:ES190"/>
    <mergeCell ref="ET196:EU196"/>
    <mergeCell ref="EF195:EG195"/>
    <mergeCell ref="EH194:EI194"/>
    <mergeCell ref="EF194:EG194"/>
    <mergeCell ref="EF192:EG192"/>
    <mergeCell ref="EF196:EG196"/>
    <mergeCell ref="ET197:EU197"/>
    <mergeCell ref="EF188:EG188"/>
    <mergeCell ref="ER187:ES187"/>
    <mergeCell ref="EO186:EQ188"/>
    <mergeCell ref="EH186:EI186"/>
    <mergeCell ref="EF186:EG186"/>
    <mergeCell ref="ET198:EU198"/>
    <mergeCell ref="ER198:ES198"/>
    <mergeCell ref="ER197:ES197"/>
    <mergeCell ref="EF189:EG189"/>
    <mergeCell ref="EF190:EG190"/>
    <mergeCell ref="EF191:EG191"/>
    <mergeCell ref="EH176:EI176"/>
    <mergeCell ref="EH174:EI174"/>
    <mergeCell ref="EH173:EI173"/>
    <mergeCell ref="EF173:EG173"/>
    <mergeCell ref="ET173:EU173"/>
    <mergeCell ref="ET175:EU175"/>
    <mergeCell ref="ET174:EU174"/>
    <mergeCell ref="EY177:EY179"/>
    <mergeCell ref="EW177:EX179"/>
    <mergeCell ref="ET193:EU193"/>
    <mergeCell ref="EP194:EQ197"/>
    <mergeCell ref="ET194:EU194"/>
    <mergeCell ref="EH195:EI195"/>
    <mergeCell ref="ET189:EU189"/>
    <mergeCell ref="EX185:EX186"/>
    <mergeCell ref="EW185:EW188"/>
    <mergeCell ref="EO185:ES185"/>
    <mergeCell ref="EF207:EG207"/>
    <mergeCell ref="EC185:EG185"/>
    <mergeCell ref="EF193:EG193"/>
    <mergeCell ref="EH201:EI201"/>
    <mergeCell ref="EH202:EI202"/>
    <mergeCell ref="ED203:EG203"/>
    <mergeCell ref="EC204:EE207"/>
    <mergeCell ref="EF197:EG197"/>
    <mergeCell ref="EM193:EM195"/>
    <mergeCell ref="ED198:EE200"/>
    <mergeCell ref="EF198:EG198"/>
    <mergeCell ref="EF204:EG204"/>
    <mergeCell ref="EH196:EI196"/>
    <mergeCell ref="EH197:EI197"/>
    <mergeCell ref="EH198:EI198"/>
    <mergeCell ref="EC189:EC203"/>
    <mergeCell ref="ED189:EE191"/>
    <mergeCell ref="EK199:EL201"/>
    <mergeCell ref="EF199:EG199"/>
    <mergeCell ref="EF200:EG200"/>
    <mergeCell ref="ED192:EE193"/>
    <mergeCell ref="ED201:EE202"/>
    <mergeCell ref="EH192:EI192"/>
    <mergeCell ref="EH193:EI193"/>
    <mergeCell ref="EF205:EG205"/>
    <mergeCell ref="EX191:EX192"/>
    <mergeCell ref="EF206:EG206"/>
    <mergeCell ref="ER195:ES195"/>
    <mergeCell ref="ED194:EE197"/>
    <mergeCell ref="EC186:EE188"/>
    <mergeCell ref="EW206:EX208"/>
    <mergeCell ref="ET202:EU202"/>
    <mergeCell ref="EH199:EI199"/>
    <mergeCell ref="EM199:EM201"/>
    <mergeCell ref="EC208:EC209"/>
    <mergeCell ref="EK196:EL198"/>
    <mergeCell ref="EM196:EM198"/>
    <mergeCell ref="EF201:EG201"/>
    <mergeCell ref="EF202:EG202"/>
    <mergeCell ref="ET191:EU191"/>
    <mergeCell ref="EP192:EQ193"/>
    <mergeCell ref="ER192:ES192"/>
    <mergeCell ref="ET192:EU192"/>
    <mergeCell ref="EH189:EI189"/>
    <mergeCell ref="EF187:EG187"/>
    <mergeCell ref="EE184:EG184"/>
    <mergeCell ref="EC182:EC183"/>
    <mergeCell ref="EF180:EG180"/>
    <mergeCell ref="EF179:EG179"/>
    <mergeCell ref="ET178:EU178"/>
    <mergeCell ref="ER178:ES178"/>
    <mergeCell ref="EO178:EQ181"/>
    <mergeCell ref="ET177:EU177"/>
    <mergeCell ref="EP177:ES177"/>
    <mergeCell ref="ET219:EU219"/>
    <mergeCell ref="EO234:EO235"/>
    <mergeCell ref="EY191:EY192"/>
    <mergeCell ref="EO182:EO183"/>
    <mergeCell ref="ER186:ES186"/>
    <mergeCell ref="ET179:EU179"/>
    <mergeCell ref="EL189:EL190"/>
    <mergeCell ref="EM189:EM190"/>
    <mergeCell ref="EL191:EL192"/>
    <mergeCell ref="EM191:EM192"/>
    <mergeCell ref="EK185:EK188"/>
    <mergeCell ref="ET205:EU205"/>
    <mergeCell ref="ER205:ES205"/>
    <mergeCell ref="EH205:EI205"/>
    <mergeCell ref="EM177:EM179"/>
    <mergeCell ref="EK177:EL179"/>
    <mergeCell ref="EM185:EM186"/>
    <mergeCell ref="EL185:EL186"/>
    <mergeCell ref="ER193:ES193"/>
    <mergeCell ref="EL187:EL188"/>
    <mergeCell ref="EM187:EM188"/>
    <mergeCell ref="EH185:EI185"/>
    <mergeCell ref="ET195:EU195"/>
    <mergeCell ref="ER196:ES196"/>
    <mergeCell ref="EK193:EL195"/>
    <mergeCell ref="EY206:EY208"/>
    <mergeCell ref="EY215:EY216"/>
    <mergeCell ref="EY199:EY201"/>
    <mergeCell ref="EY217:EY218"/>
    <mergeCell ref="EY211:EY212"/>
    <mergeCell ref="EY213:EY214"/>
    <mergeCell ref="ET212:EU212"/>
    <mergeCell ref="EW211:EW214"/>
    <mergeCell ref="ET200:EU200"/>
    <mergeCell ref="ET207:EU207"/>
    <mergeCell ref="ER207:ES207"/>
    <mergeCell ref="EH207:EI207"/>
    <mergeCell ref="ET206:EU206"/>
    <mergeCell ref="ER206:ES206"/>
    <mergeCell ref="EM206:EM208"/>
    <mergeCell ref="ER179:ES179"/>
    <mergeCell ref="EH179:EI179"/>
    <mergeCell ref="ET204:EU204"/>
    <mergeCell ref="ER204:ES204"/>
    <mergeCell ref="EO204:EQ207"/>
    <mergeCell ref="EH204:EI204"/>
    <mergeCell ref="EY203:EY205"/>
    <mergeCell ref="EW203:EX205"/>
    <mergeCell ref="ET203:EU203"/>
    <mergeCell ref="EP203:ES203"/>
    <mergeCell ref="EM203:EM205"/>
    <mergeCell ref="EK203:EL205"/>
    <mergeCell ref="EH203:EI203"/>
    <mergeCell ref="ER202:ES202"/>
    <mergeCell ref="ER201:ES201"/>
    <mergeCell ref="EP201:EQ202"/>
    <mergeCell ref="EH200:EI200"/>
    <mergeCell ref="ET199:EU199"/>
    <mergeCell ref="ER199:ES199"/>
    <mergeCell ref="EH187:EI187"/>
    <mergeCell ref="ET188:EU188"/>
    <mergeCell ref="ER188:ES188"/>
    <mergeCell ref="EH188:EI188"/>
    <mergeCell ref="ER194:ES194"/>
    <mergeCell ref="EJ210:EK210"/>
    <mergeCell ref="EV210:EW210"/>
    <mergeCell ref="ET214:EU214"/>
    <mergeCell ref="ER216:ES216"/>
    <mergeCell ref="ET216:EU216"/>
    <mergeCell ref="ER217:ES217"/>
    <mergeCell ref="EW219:EX221"/>
    <mergeCell ref="EP220:EQ223"/>
    <mergeCell ref="EX217:EX218"/>
    <mergeCell ref="EQ210:ES210"/>
    <mergeCell ref="ER212:ES212"/>
    <mergeCell ref="EO208:EO209"/>
    <mergeCell ref="ER221:ES221"/>
    <mergeCell ref="ET221:EU221"/>
    <mergeCell ref="EK222:EL224"/>
    <mergeCell ref="EM222:EM224"/>
    <mergeCell ref="ER222:ES222"/>
    <mergeCell ref="EP218:EQ219"/>
    <mergeCell ref="ER213:ES213"/>
    <mergeCell ref="EK211:EK214"/>
    <mergeCell ref="EL211:EL212"/>
    <mergeCell ref="ER214:ES214"/>
    <mergeCell ref="EM211:EM212"/>
    <mergeCell ref="ET226:EU226"/>
    <mergeCell ref="EH226:EI226"/>
    <mergeCell ref="EV236:EW236"/>
    <mergeCell ref="EH244:EI244"/>
    <mergeCell ref="EY237:EY238"/>
    <mergeCell ref="ET239:EU239"/>
    <mergeCell ref="EX239:EX240"/>
    <mergeCell ref="EY239:EY240"/>
    <mergeCell ref="ET238:EU238"/>
    <mergeCell ref="ET231:EU231"/>
    <mergeCell ref="ET230:EU230"/>
    <mergeCell ref="ET227:EU227"/>
    <mergeCell ref="EM229:EM231"/>
    <mergeCell ref="EH225:EI225"/>
    <mergeCell ref="EK225:EL227"/>
    <mergeCell ref="ER239:ES239"/>
    <mergeCell ref="ER238:ES238"/>
    <mergeCell ref="EO238:EQ240"/>
    <mergeCell ref="EP241:EQ243"/>
    <mergeCell ref="EO230:EQ233"/>
    <mergeCell ref="ER230:ES230"/>
    <mergeCell ref="EH231:EI231"/>
    <mergeCell ref="ER231:ES231"/>
    <mergeCell ref="EM232:EM234"/>
    <mergeCell ref="EW229:EX231"/>
    <mergeCell ref="EO215:EO229"/>
    <mergeCell ref="EP215:EQ217"/>
    <mergeCell ref="ER215:ES215"/>
    <mergeCell ref="ET215:EU215"/>
    <mergeCell ref="EY219:EY221"/>
    <mergeCell ref="ET220:EU220"/>
    <mergeCell ref="EH221:EI221"/>
    <mergeCell ref="EY232:EY234"/>
    <mergeCell ref="ER233:ES233"/>
    <mergeCell ref="ET233:EU233"/>
    <mergeCell ref="EH232:EI232"/>
    <mergeCell ref="EK232:EL234"/>
    <mergeCell ref="EL239:EL240"/>
    <mergeCell ref="EM239:EM240"/>
    <mergeCell ref="EL241:EL242"/>
    <mergeCell ref="ER219:ES219"/>
    <mergeCell ref="ET249:EU249"/>
    <mergeCell ref="ET252:EU252"/>
    <mergeCell ref="EO260:EO261"/>
    <mergeCell ref="EH245:EI245"/>
    <mergeCell ref="EF251:EG251"/>
    <mergeCell ref="EH239:EI239"/>
    <mergeCell ref="ER254:ES254"/>
    <mergeCell ref="ER253:ES253"/>
    <mergeCell ref="EF226:EG226"/>
    <mergeCell ref="EF222:EG222"/>
    <mergeCell ref="ET228:EU228"/>
    <mergeCell ref="ET222:EU222"/>
    <mergeCell ref="EW222:EX224"/>
    <mergeCell ref="ED224:EE226"/>
    <mergeCell ref="EF224:EG224"/>
    <mergeCell ref="EO212:EQ214"/>
    <mergeCell ref="EO211:ES211"/>
    <mergeCell ref="EF214:EG214"/>
    <mergeCell ref="ER200:ES200"/>
    <mergeCell ref="EO189:EO203"/>
    <mergeCell ref="EP189:EQ191"/>
    <mergeCell ref="ER189:ES189"/>
    <mergeCell ref="ER191:ES191"/>
    <mergeCell ref="EH220:EI220"/>
    <mergeCell ref="EF223:EG223"/>
    <mergeCell ref="EF218:EG218"/>
    <mergeCell ref="EH248:EI248"/>
    <mergeCell ref="EF246:EG246"/>
    <mergeCell ref="EF247:EG247"/>
    <mergeCell ref="EK206:EL208"/>
    <mergeCell ref="EH206:EI206"/>
    <mergeCell ref="EM225:EM227"/>
    <mergeCell ref="ER220:ES220"/>
    <mergeCell ref="EM219:EM221"/>
    <mergeCell ref="EP229:ES229"/>
    <mergeCell ref="ET229:EU229"/>
    <mergeCell ref="ET225:EU225"/>
    <mergeCell ref="EK219:EL221"/>
    <mergeCell ref="ET217:EU217"/>
    <mergeCell ref="ER218:ES218"/>
    <mergeCell ref="ET218:EU218"/>
    <mergeCell ref="EK215:EK218"/>
    <mergeCell ref="EH216:EI216"/>
    <mergeCell ref="EH217:EI217"/>
    <mergeCell ref="EW215:EW218"/>
    <mergeCell ref="EX215:EX216"/>
    <mergeCell ref="EW199:EX201"/>
    <mergeCell ref="EH215:EI215"/>
    <mergeCell ref="ER224:ES224"/>
    <mergeCell ref="ET224:EU224"/>
    <mergeCell ref="ER225:ES225"/>
    <mergeCell ref="ER223:ES223"/>
    <mergeCell ref="ET223:EU223"/>
    <mergeCell ref="EF230:EG230"/>
    <mergeCell ref="ET213:EU213"/>
    <mergeCell ref="EX213:EX214"/>
    <mergeCell ref="EP198:EQ200"/>
    <mergeCell ref="ET201:EU201"/>
    <mergeCell ref="EH213:EI213"/>
    <mergeCell ref="ET211:EU211"/>
    <mergeCell ref="EX211:EX212"/>
    <mergeCell ref="EQ236:ES236"/>
    <mergeCell ref="EJ236:EK236"/>
    <mergeCell ref="EW241:EW244"/>
    <mergeCell ref="ER257:ES257"/>
    <mergeCell ref="EX263:EX264"/>
    <mergeCell ref="ET256:EU256"/>
    <mergeCell ref="ER256:ES256"/>
    <mergeCell ref="EO256:EQ259"/>
    <mergeCell ref="EH256:EI256"/>
    <mergeCell ref="EY255:EY257"/>
    <mergeCell ref="EW255:EX257"/>
    <mergeCell ref="ET255:EU255"/>
    <mergeCell ref="EP255:ES255"/>
    <mergeCell ref="EM255:EM257"/>
    <mergeCell ref="EK255:EL257"/>
    <mergeCell ref="EH255:EI255"/>
    <mergeCell ref="ED255:EG255"/>
    <mergeCell ref="ER258:ES258"/>
    <mergeCell ref="ET258:EU258"/>
    <mergeCell ref="EF259:EG259"/>
    <mergeCell ref="EQ262:ES262"/>
    <mergeCell ref="EC241:EC255"/>
    <mergeCell ref="ED241:EE243"/>
    <mergeCell ref="EF241:EG241"/>
    <mergeCell ref="EF242:EG242"/>
    <mergeCell ref="EF243:EG243"/>
    <mergeCell ref="ET243:EU243"/>
    <mergeCell ref="EP244:EQ245"/>
    <mergeCell ref="ER244:ES244"/>
    <mergeCell ref="ET244:EU244"/>
    <mergeCell ref="EY241:EY242"/>
    <mergeCell ref="EX243:EX244"/>
    <mergeCell ref="EY243:EY244"/>
    <mergeCell ref="ET242:EU242"/>
    <mergeCell ref="ER242:ES242"/>
    <mergeCell ref="EW251:EX253"/>
    <mergeCell ref="EY245:EY247"/>
    <mergeCell ref="EH247:EI247"/>
    <mergeCell ref="ER247:ES247"/>
    <mergeCell ref="ET247:EU247"/>
    <mergeCell ref="EX241:EX242"/>
    <mergeCell ref="EF249:EG249"/>
    <mergeCell ref="ET248:EU248"/>
    <mergeCell ref="EF244:EG244"/>
    <mergeCell ref="EM245:EM247"/>
    <mergeCell ref="ER245:ES245"/>
    <mergeCell ref="ED244:EE245"/>
    <mergeCell ref="EF245:EG245"/>
    <mergeCell ref="EF248:EG248"/>
    <mergeCell ref="ED250:EE252"/>
    <mergeCell ref="EF250:EG250"/>
    <mergeCell ref="ER246:ES246"/>
    <mergeCell ref="ET246:EU246"/>
    <mergeCell ref="ET241:EU241"/>
    <mergeCell ref="EH252:EI252"/>
    <mergeCell ref="ET251:EU251"/>
    <mergeCell ref="EO241:EO255"/>
    <mergeCell ref="ET245:EU245"/>
    <mergeCell ref="ER251:ES251"/>
    <mergeCell ref="ER241:ES241"/>
    <mergeCell ref="ER252:ES252"/>
    <mergeCell ref="EP253:EQ254"/>
    <mergeCell ref="ER243:ES243"/>
    <mergeCell ref="ED253:EE254"/>
    <mergeCell ref="ET253:EU253"/>
    <mergeCell ref="EP246:EQ249"/>
    <mergeCell ref="ER249:ES249"/>
    <mergeCell ref="ER271:ES271"/>
    <mergeCell ref="ER277:ES277"/>
    <mergeCell ref="ET290:EU290"/>
    <mergeCell ref="ET285:EU285"/>
    <mergeCell ref="ER285:ES285"/>
    <mergeCell ref="EO286:EO287"/>
    <mergeCell ref="EM289:EM290"/>
    <mergeCell ref="EO289:ES289"/>
    <mergeCell ref="EO290:EQ292"/>
    <mergeCell ref="ER290:ES290"/>
    <mergeCell ref="EY251:EY253"/>
    <mergeCell ref="EY248:EY250"/>
    <mergeCell ref="EW248:EX250"/>
    <mergeCell ref="EW245:EX247"/>
    <mergeCell ref="EH241:EI241"/>
    <mergeCell ref="EY263:EY264"/>
    <mergeCell ref="ET265:EU265"/>
    <mergeCell ref="EX265:EX266"/>
    <mergeCell ref="EY265:EY266"/>
    <mergeCell ref="ET264:EU264"/>
    <mergeCell ref="EY284:EY286"/>
    <mergeCell ref="EM284:EM286"/>
    <mergeCell ref="EK284:EL286"/>
    <mergeCell ref="EH284:EI284"/>
    <mergeCell ref="ET283:EU283"/>
    <mergeCell ref="ER283:ES283"/>
    <mergeCell ref="EH283:EI283"/>
    <mergeCell ref="ET282:EU282"/>
    <mergeCell ref="ER282:ES282"/>
    <mergeCell ref="EO282:EQ285"/>
    <mergeCell ref="EH282:EI282"/>
    <mergeCell ref="EY281:EY283"/>
    <mergeCell ref="EW281:EX283"/>
    <mergeCell ref="ET281:EU281"/>
    <mergeCell ref="EP281:ES281"/>
    <mergeCell ref="EM281:EM283"/>
    <mergeCell ref="EK281:EL283"/>
    <mergeCell ref="EH281:EI281"/>
    <mergeCell ref="ET254:EU254"/>
    <mergeCell ref="EM251:EM253"/>
    <mergeCell ref="EK251:EL253"/>
    <mergeCell ref="EH251:EI251"/>
    <mergeCell ref="EP250:EQ252"/>
    <mergeCell ref="ET250:EU250"/>
    <mergeCell ref="ER250:ES250"/>
    <mergeCell ref="EH250:EI250"/>
    <mergeCell ref="EK248:EL250"/>
    <mergeCell ref="EM248:EM250"/>
    <mergeCell ref="ER248:ES248"/>
    <mergeCell ref="EV262:EW262"/>
    <mergeCell ref="EJ262:EK262"/>
    <mergeCell ref="EW284:EX286"/>
    <mergeCell ref="EX289:EX290"/>
    <mergeCell ref="ET275:EU275"/>
    <mergeCell ref="EM271:EM273"/>
    <mergeCell ref="ET259:EU259"/>
    <mergeCell ref="ER259:ES259"/>
    <mergeCell ref="EH259:EI259"/>
    <mergeCell ref="EY258:EY260"/>
    <mergeCell ref="EW258:EX260"/>
    <mergeCell ref="EM258:EM260"/>
    <mergeCell ref="EK258:EL260"/>
    <mergeCell ref="EH258:EI258"/>
    <mergeCell ref="ET257:EU257"/>
    <mergeCell ref="EY297:EY299"/>
    <mergeCell ref="EH297:EI297"/>
    <mergeCell ref="EX291:EX292"/>
    <mergeCell ref="ET291:EU291"/>
    <mergeCell ref="EQ288:ES288"/>
    <mergeCell ref="EW277:EX279"/>
    <mergeCell ref="EY277:EY279"/>
    <mergeCell ref="ET277:EU277"/>
    <mergeCell ref="ET280:EU280"/>
    <mergeCell ref="ET271:EU271"/>
    <mergeCell ref="ET267:EU267"/>
    <mergeCell ref="ET268:EU268"/>
    <mergeCell ref="EW271:EX273"/>
    <mergeCell ref="EY271:EY273"/>
    <mergeCell ref="ET272:EU272"/>
    <mergeCell ref="ET273:EU273"/>
    <mergeCell ref="ET269:EU269"/>
    <mergeCell ref="EP270:EQ271"/>
    <mergeCell ref="ER270:ES270"/>
    <mergeCell ref="ET270:EU270"/>
    <mergeCell ref="EH267:EI267"/>
    <mergeCell ref="EK267:EK270"/>
    <mergeCell ref="EH268:EI268"/>
    <mergeCell ref="EH269:EI269"/>
    <mergeCell ref="EW267:EW270"/>
    <mergeCell ref="EX267:EX268"/>
    <mergeCell ref="EY267:EY268"/>
    <mergeCell ref="EX269:EX270"/>
    <mergeCell ref="EY269:EY270"/>
    <mergeCell ref="EP267:EQ269"/>
    <mergeCell ref="ER267:ES267"/>
    <mergeCell ref="ER268:ES268"/>
    <mergeCell ref="ER273:ES273"/>
    <mergeCell ref="ER274:ES274"/>
    <mergeCell ref="ET274:EU274"/>
    <mergeCell ref="ET279:EU279"/>
    <mergeCell ref="EV288:EW288"/>
    <mergeCell ref="ER284:ES284"/>
    <mergeCell ref="EH280:EI280"/>
    <mergeCell ref="EK274:EL276"/>
    <mergeCell ref="EH272:EI272"/>
    <mergeCell ref="EH273:EI273"/>
    <mergeCell ref="EH274:EI274"/>
    <mergeCell ref="ER275:ES275"/>
    <mergeCell ref="ET278:EU278"/>
    <mergeCell ref="EP272:EQ275"/>
    <mergeCell ref="ER269:ES269"/>
    <mergeCell ref="ER272:ES272"/>
    <mergeCell ref="ET276:EU276"/>
    <mergeCell ref="EW274:EX276"/>
    <mergeCell ref="EY274:EY276"/>
    <mergeCell ref="EO267:EO281"/>
    <mergeCell ref="EH278:EI278"/>
    <mergeCell ref="ER276:ES276"/>
    <mergeCell ref="EH270:EI270"/>
    <mergeCell ref="EH271:EI271"/>
    <mergeCell ref="EH275:EI275"/>
    <mergeCell ref="EH276:EI276"/>
    <mergeCell ref="EK271:EL273"/>
    <mergeCell ref="ER278:ES278"/>
    <mergeCell ref="EP279:EQ280"/>
    <mergeCell ref="ER279:ES279"/>
    <mergeCell ref="ER280:ES280"/>
    <mergeCell ref="EP276:EQ278"/>
    <mergeCell ref="ER295:ES295"/>
    <mergeCell ref="EH296:EI296"/>
    <mergeCell ref="EH304:EI304"/>
    <mergeCell ref="EF302:EG302"/>
    <mergeCell ref="EY303:EY305"/>
    <mergeCell ref="EW303:EX305"/>
    <mergeCell ref="ET303:EU303"/>
    <mergeCell ref="ER303:ES303"/>
    <mergeCell ref="EM303:EM305"/>
    <mergeCell ref="EK303:EL305"/>
    <mergeCell ref="EH303:EI303"/>
    <mergeCell ref="ET302:EU302"/>
    <mergeCell ref="ER302:ES302"/>
    <mergeCell ref="EP302:EQ304"/>
    <mergeCell ref="ET300:EU300"/>
    <mergeCell ref="EF299:EG299"/>
    <mergeCell ref="EH298:EI298"/>
    <mergeCell ref="EF298:EG298"/>
    <mergeCell ref="ED298:EE301"/>
    <mergeCell ref="EF296:EG296"/>
    <mergeCell ref="EM293:EM294"/>
    <mergeCell ref="EL293:EL294"/>
    <mergeCell ref="ET292:EU292"/>
    <mergeCell ref="EF292:EG292"/>
    <mergeCell ref="EM291:EM292"/>
    <mergeCell ref="EL291:EL292"/>
    <mergeCell ref="EH291:EI291"/>
    <mergeCell ref="EF291:EG291"/>
    <mergeCell ref="EH290:EI290"/>
    <mergeCell ref="EF290:EG290"/>
    <mergeCell ref="EC290:EE292"/>
    <mergeCell ref="EW300:EX302"/>
    <mergeCell ref="EY300:EY302"/>
    <mergeCell ref="ER301:ES301"/>
    <mergeCell ref="ET301:EU301"/>
    <mergeCell ref="EM297:EM299"/>
    <mergeCell ref="ER297:ES297"/>
    <mergeCell ref="EM300:EM302"/>
    <mergeCell ref="ER300:ES300"/>
    <mergeCell ref="EK297:EL299"/>
    <mergeCell ref="ED296:EE297"/>
    <mergeCell ref="EF297:EG297"/>
    <mergeCell ref="EH301:EI301"/>
    <mergeCell ref="EH302:EI302"/>
    <mergeCell ref="EY293:EY294"/>
    <mergeCell ref="EY295:EY296"/>
    <mergeCell ref="EY289:EY290"/>
    <mergeCell ref="EY291:EY292"/>
    <mergeCell ref="EH292:EI292"/>
    <mergeCell ref="ER292:ES292"/>
    <mergeCell ref="ET289:EU289"/>
    <mergeCell ref="EH289:EI289"/>
    <mergeCell ref="EC289:EG289"/>
    <mergeCell ref="EP298:EQ301"/>
    <mergeCell ref="ER298:ES298"/>
    <mergeCell ref="ET298:EU298"/>
    <mergeCell ref="EH299:EI299"/>
    <mergeCell ref="ER299:ES299"/>
    <mergeCell ref="ET299:EU299"/>
    <mergeCell ref="EK300:EL302"/>
    <mergeCell ref="EW289:EW292"/>
    <mergeCell ref="ER291:ES291"/>
    <mergeCell ref="ET297:EU297"/>
    <mergeCell ref="ER304:ES304"/>
    <mergeCell ref="EM317:EM318"/>
    <mergeCell ref="ET328:EU328"/>
    <mergeCell ref="EM329:EM331"/>
    <mergeCell ref="EK326:EL328"/>
    <mergeCell ref="EK323:EL325"/>
    <mergeCell ref="EF326:EG326"/>
    <mergeCell ref="EH326:EI326"/>
    <mergeCell ref="EM326:EM328"/>
    <mergeCell ref="EH322:EI322"/>
    <mergeCell ref="EF322:EG322"/>
    <mergeCell ref="ED319:EE321"/>
    <mergeCell ref="EL321:EL322"/>
    <mergeCell ref="EK329:EL331"/>
    <mergeCell ref="EH329:EI329"/>
    <mergeCell ref="EF329:EG329"/>
    <mergeCell ref="ED328:EE330"/>
    <mergeCell ref="EW293:EW296"/>
    <mergeCell ref="EX293:EX294"/>
    <mergeCell ref="EX295:EX296"/>
    <mergeCell ref="EL295:EL296"/>
    <mergeCell ref="ET305:EU305"/>
    <mergeCell ref="ER305:ES305"/>
    <mergeCell ref="EP305:EQ306"/>
    <mergeCell ref="EH305:EI305"/>
    <mergeCell ref="EF305:EG305"/>
    <mergeCell ref="ET311:EU311"/>
    <mergeCell ref="EK310:EL312"/>
    <mergeCell ref="EH311:EI311"/>
    <mergeCell ref="EW310:EX312"/>
    <mergeCell ref="ER311:ES311"/>
    <mergeCell ref="EH310:EI310"/>
    <mergeCell ref="EF301:EG301"/>
    <mergeCell ref="ER310:ES310"/>
    <mergeCell ref="ET310:EU310"/>
    <mergeCell ref="EF311:EG311"/>
    <mergeCell ref="EM295:EM296"/>
    <mergeCell ref="ET308:EU308"/>
    <mergeCell ref="EH306:EI306"/>
    <mergeCell ref="EF306:EG306"/>
    <mergeCell ref="ET309:EU309"/>
    <mergeCell ref="EW297:EX299"/>
    <mergeCell ref="ET293:EU293"/>
    <mergeCell ref="ET294:EU294"/>
    <mergeCell ref="ET304:EU304"/>
    <mergeCell ref="EF300:EG300"/>
    <mergeCell ref="ET306:EU306"/>
    <mergeCell ref="ET295:EU295"/>
    <mergeCell ref="EP296:EQ297"/>
    <mergeCell ref="ER296:ES296"/>
    <mergeCell ref="ET296:EU296"/>
    <mergeCell ref="EH293:EI293"/>
    <mergeCell ref="EK293:EK296"/>
    <mergeCell ref="EH294:EI294"/>
    <mergeCell ref="EH295:EI295"/>
    <mergeCell ref="EO293:EO307"/>
    <mergeCell ref="EP293:EQ295"/>
    <mergeCell ref="ER309:ES309"/>
    <mergeCell ref="EH309:EI309"/>
    <mergeCell ref="EF309:EG309"/>
    <mergeCell ref="ER308:ES308"/>
    <mergeCell ref="EO308:EQ311"/>
    <mergeCell ref="EH308:EI308"/>
    <mergeCell ref="ER293:ES293"/>
    <mergeCell ref="ER294:ES294"/>
    <mergeCell ref="EF330:EG330"/>
    <mergeCell ref="ET319:EU319"/>
    <mergeCell ref="ET337:EU337"/>
    <mergeCell ref="EP328:EQ330"/>
    <mergeCell ref="ER336:ES336"/>
    <mergeCell ref="ER337:ES337"/>
    <mergeCell ref="ER328:ES328"/>
    <mergeCell ref="ET336:EU336"/>
    <mergeCell ref="EW333:EX335"/>
    <mergeCell ref="EX319:EX320"/>
    <mergeCell ref="EY319:EY320"/>
    <mergeCell ref="EX321:EX322"/>
    <mergeCell ref="EY321:EY322"/>
    <mergeCell ref="EY329:EY331"/>
    <mergeCell ref="ET320:EU320"/>
    <mergeCell ref="ET322:EU322"/>
    <mergeCell ref="EY307:EY309"/>
    <mergeCell ref="EY310:EY312"/>
    <mergeCell ref="EC312:EC313"/>
    <mergeCell ref="EF310:EG310"/>
    <mergeCell ref="EW307:EX309"/>
    <mergeCell ref="ET307:EU307"/>
    <mergeCell ref="EP307:ES307"/>
    <mergeCell ref="EM307:EM309"/>
    <mergeCell ref="EK307:EL309"/>
    <mergeCell ref="EH307:EI307"/>
    <mergeCell ref="ED307:EG307"/>
    <mergeCell ref="ER324:ES324"/>
    <mergeCell ref="EY315:EY316"/>
    <mergeCell ref="ET315:EU315"/>
    <mergeCell ref="EH315:EI315"/>
    <mergeCell ref="EC315:EG315"/>
    <mergeCell ref="EX317:EX318"/>
    <mergeCell ref="EY317:EY318"/>
    <mergeCell ref="ET316:EU316"/>
    <mergeCell ref="EM315:EM316"/>
    <mergeCell ref="EO315:ES315"/>
    <mergeCell ref="EO316:EQ318"/>
    <mergeCell ref="ER316:ES316"/>
    <mergeCell ref="EF318:EG318"/>
    <mergeCell ref="EH318:EI318"/>
    <mergeCell ref="ER318:ES318"/>
    <mergeCell ref="ET318:EU318"/>
    <mergeCell ref="EV314:EW314"/>
    <mergeCell ref="EJ314:EK314"/>
    <mergeCell ref="ER331:ES331"/>
    <mergeCell ref="ER327:ES327"/>
    <mergeCell ref="ET326:EU326"/>
    <mergeCell ref="EL319:EL320"/>
    <mergeCell ref="ET321:EU321"/>
    <mergeCell ref="ER323:ES323"/>
    <mergeCell ref="ET327:EU327"/>
    <mergeCell ref="EW329:EX331"/>
    <mergeCell ref="EF327:EG327"/>
    <mergeCell ref="EH327:EI327"/>
    <mergeCell ref="EH328:EI328"/>
    <mergeCell ref="ED324:EE327"/>
    <mergeCell ref="ET317:EU317"/>
    <mergeCell ref="EF317:EG317"/>
    <mergeCell ref="EH316:EI316"/>
    <mergeCell ref="EF316:EG316"/>
    <mergeCell ref="EC316:EE318"/>
    <mergeCell ref="EX315:EX316"/>
    <mergeCell ref="EW315:EW318"/>
    <mergeCell ref="ET324:EU324"/>
    <mergeCell ref="DV328:DW328"/>
    <mergeCell ref="ER332:ES332"/>
    <mergeCell ref="EO338:EO339"/>
    <mergeCell ref="DJ328:DK328"/>
    <mergeCell ref="DT326:DU326"/>
    <mergeCell ref="DM333:DN335"/>
    <mergeCell ref="DM319:DM322"/>
    <mergeCell ref="DB321:DB322"/>
    <mergeCell ref="DH326:DI326"/>
    <mergeCell ref="DT323:DU323"/>
    <mergeCell ref="DH332:DI332"/>
    <mergeCell ref="CV326:CW326"/>
    <mergeCell ref="DT332:DU332"/>
    <mergeCell ref="EF335:EG335"/>
    <mergeCell ref="DV337:DW337"/>
    <mergeCell ref="EY333:EY335"/>
    <mergeCell ref="EH317:EI317"/>
    <mergeCell ref="ER317:ES317"/>
    <mergeCell ref="EK315:EK318"/>
    <mergeCell ref="EL315:EL316"/>
    <mergeCell ref="EH334:EI334"/>
    <mergeCell ref="EC334:EE337"/>
    <mergeCell ref="EP333:ES333"/>
    <mergeCell ref="ET332:EU332"/>
    <mergeCell ref="EO334:EQ337"/>
    <mergeCell ref="ER334:ES334"/>
    <mergeCell ref="EH335:EI335"/>
    <mergeCell ref="ER335:ES335"/>
    <mergeCell ref="EM336:EM338"/>
    <mergeCell ref="EP331:EQ332"/>
    <mergeCell ref="ET331:EU331"/>
    <mergeCell ref="EF337:EG337"/>
    <mergeCell ref="EW319:EW322"/>
    <mergeCell ref="EW323:EX325"/>
    <mergeCell ref="EF336:EG336"/>
    <mergeCell ref="EH336:EI336"/>
    <mergeCell ref="ET325:EU325"/>
    <mergeCell ref="EW336:EX338"/>
    <mergeCell ref="EC319:EC333"/>
    <mergeCell ref="ER322:ES322"/>
    <mergeCell ref="EP322:EQ323"/>
    <mergeCell ref="EW326:EX328"/>
    <mergeCell ref="ER325:ES325"/>
    <mergeCell ref="EH325:EI325"/>
    <mergeCell ref="ER326:ES326"/>
    <mergeCell ref="EL317:EL318"/>
    <mergeCell ref="EY326:EY328"/>
    <mergeCell ref="EO319:EO333"/>
    <mergeCell ref="EP319:EQ321"/>
    <mergeCell ref="ER319:ES319"/>
    <mergeCell ref="EY323:EY325"/>
    <mergeCell ref="EC338:EC339"/>
    <mergeCell ref="ET333:EU333"/>
    <mergeCell ref="EP324:EQ327"/>
    <mergeCell ref="EH331:EI331"/>
    <mergeCell ref="EH337:EI337"/>
    <mergeCell ref="EY336:EY338"/>
    <mergeCell ref="EM319:EM320"/>
    <mergeCell ref="EM333:EM335"/>
    <mergeCell ref="EK333:EL335"/>
    <mergeCell ref="ET334:EU334"/>
    <mergeCell ref="ET323:EU323"/>
    <mergeCell ref="EM323:EM325"/>
    <mergeCell ref="DM326:DN328"/>
    <mergeCell ref="DO326:DO328"/>
    <mergeCell ref="DV332:DW332"/>
    <mergeCell ref="DT320:DU320"/>
    <mergeCell ref="DO329:DO331"/>
    <mergeCell ref="CL326:CM326"/>
    <mergeCell ref="CJ321:CK321"/>
    <mergeCell ref="CJ326:CK326"/>
    <mergeCell ref="CV332:CW332"/>
    <mergeCell ref="CV321:CW321"/>
    <mergeCell ref="DH329:DI329"/>
    <mergeCell ref="DV323:DW323"/>
    <mergeCell ref="DH336:DI336"/>
    <mergeCell ref="CQ336:CQ338"/>
    <mergeCell ref="CJ337:CK337"/>
    <mergeCell ref="CT333:CW333"/>
    <mergeCell ref="DJ336:DK336"/>
    <mergeCell ref="CJ336:CK336"/>
    <mergeCell ref="DT328:DU328"/>
    <mergeCell ref="ET335:EU335"/>
    <mergeCell ref="ER320:ES320"/>
    <mergeCell ref="EH332:EI332"/>
    <mergeCell ref="ER321:ES321"/>
    <mergeCell ref="EM321:EM322"/>
    <mergeCell ref="DF319:DG321"/>
    <mergeCell ref="DH319:DI319"/>
    <mergeCell ref="DT319:DU319"/>
    <mergeCell ref="CV322:CW322"/>
    <mergeCell ref="DJ332:DK332"/>
    <mergeCell ref="CX327:CY327"/>
    <mergeCell ref="DO321:DO322"/>
    <mergeCell ref="DA336:DB338"/>
    <mergeCell ref="DT336:DU336"/>
    <mergeCell ref="CS338:CS339"/>
    <mergeCell ref="CL335:CM335"/>
    <mergeCell ref="DA333:DB335"/>
    <mergeCell ref="DR319:DS321"/>
    <mergeCell ref="CX334:CY334"/>
    <mergeCell ref="CX335:CY335"/>
    <mergeCell ref="CX320:CY320"/>
    <mergeCell ref="DT337:DU337"/>
    <mergeCell ref="DY329:DZ331"/>
    <mergeCell ref="DE334:DG337"/>
    <mergeCell ref="DN321:DN322"/>
    <mergeCell ref="DJ330:DK330"/>
    <mergeCell ref="EF331:EG331"/>
    <mergeCell ref="ED331:EE332"/>
    <mergeCell ref="ET330:EU330"/>
    <mergeCell ref="ER330:ES330"/>
    <mergeCell ref="EH330:EI330"/>
    <mergeCell ref="ET329:EU329"/>
    <mergeCell ref="ER329:ES329"/>
    <mergeCell ref="DF322:DG323"/>
    <mergeCell ref="DT331:DU331"/>
    <mergeCell ref="CV337:CW337"/>
    <mergeCell ref="DO336:DO338"/>
    <mergeCell ref="DT325:DU325"/>
    <mergeCell ref="DJ323:DK323"/>
    <mergeCell ref="DJ329:DK329"/>
    <mergeCell ref="DA323:DB325"/>
    <mergeCell ref="DC323:DC325"/>
    <mergeCell ref="CX326:CY326"/>
    <mergeCell ref="DM329:DN331"/>
    <mergeCell ref="DJ327:DK327"/>
    <mergeCell ref="AB330:AC330"/>
    <mergeCell ref="W333:W335"/>
    <mergeCell ref="Z324:AA327"/>
    <mergeCell ref="U333:V335"/>
    <mergeCell ref="AD336:AE336"/>
    <mergeCell ref="AN321:AO321"/>
    <mergeCell ref="R326:S326"/>
    <mergeCell ref="U326:V328"/>
    <mergeCell ref="AD323:AE323"/>
    <mergeCell ref="Z333:AC333"/>
    <mergeCell ref="AI326:AI328"/>
    <mergeCell ref="AN325:AO325"/>
    <mergeCell ref="R332:S332"/>
    <mergeCell ref="AB323:AC323"/>
    <mergeCell ref="AI319:AI320"/>
    <mergeCell ref="U329:V331"/>
    <mergeCell ref="Z331:AA332"/>
    <mergeCell ref="U323:V325"/>
    <mergeCell ref="AI329:AI331"/>
    <mergeCell ref="AB331:AC331"/>
    <mergeCell ref="CJ320:CK320"/>
    <mergeCell ref="CV323:CW323"/>
    <mergeCell ref="DA319:DA322"/>
    <mergeCell ref="CX321:CY321"/>
    <mergeCell ref="CX319:CY319"/>
    <mergeCell ref="CX322:CY322"/>
    <mergeCell ref="DH322:DI322"/>
    <mergeCell ref="DC336:DC338"/>
    <mergeCell ref="DH335:DI335"/>
    <mergeCell ref="CX336:CY336"/>
    <mergeCell ref="DO333:DO335"/>
    <mergeCell ref="DC333:DC335"/>
    <mergeCell ref="DJ333:DK333"/>
    <mergeCell ref="DF324:DG327"/>
    <mergeCell ref="DM323:DN325"/>
    <mergeCell ref="DJ319:DK319"/>
    <mergeCell ref="R334:S334"/>
    <mergeCell ref="V319:V320"/>
    <mergeCell ref="Y319:Y333"/>
    <mergeCell ref="W319:W320"/>
    <mergeCell ref="V321:V322"/>
    <mergeCell ref="W323:W325"/>
    <mergeCell ref="DJ337:DK337"/>
    <mergeCell ref="DE338:DE339"/>
    <mergeCell ref="BL330:BM330"/>
    <mergeCell ref="BQ319:BQ322"/>
    <mergeCell ref="DN319:DN320"/>
    <mergeCell ref="DO319:DO320"/>
    <mergeCell ref="CV335:CW335"/>
    <mergeCell ref="DJ322:DK322"/>
    <mergeCell ref="DJ320:DK320"/>
    <mergeCell ref="DH321:DI321"/>
    <mergeCell ref="CV324:CW324"/>
    <mergeCell ref="CV328:CW328"/>
    <mergeCell ref="CX328:CY328"/>
    <mergeCell ref="DH334:DI334"/>
    <mergeCell ref="CX337:CY337"/>
    <mergeCell ref="BV324:BW327"/>
    <mergeCell ref="CQ321:CQ322"/>
    <mergeCell ref="DF331:DG332"/>
    <mergeCell ref="DH327:DI327"/>
    <mergeCell ref="DJ321:DK321"/>
    <mergeCell ref="DH337:DI337"/>
    <mergeCell ref="CJ324:CK324"/>
    <mergeCell ref="AD316:AE316"/>
    <mergeCell ref="AD324:AE324"/>
    <mergeCell ref="AZ334:BA334"/>
    <mergeCell ref="F336:G336"/>
    <mergeCell ref="I336:J338"/>
    <mergeCell ref="Z328:AA330"/>
    <mergeCell ref="AK319:AK333"/>
    <mergeCell ref="AN324:AO324"/>
    <mergeCell ref="AB334:AC334"/>
    <mergeCell ref="AN328:AO328"/>
    <mergeCell ref="F333:G333"/>
    <mergeCell ref="AB325:AC325"/>
    <mergeCell ref="AD326:AE326"/>
    <mergeCell ref="AB327:AC327"/>
    <mergeCell ref="AB335:AC335"/>
    <mergeCell ref="BS326:BS328"/>
    <mergeCell ref="CJ330:CK330"/>
    <mergeCell ref="CC319:CC322"/>
    <mergeCell ref="D334:E334"/>
    <mergeCell ref="AN327:AO327"/>
    <mergeCell ref="AL333:AO333"/>
    <mergeCell ref="AP336:AQ336"/>
    <mergeCell ref="AI336:AI338"/>
    <mergeCell ref="AD319:AE319"/>
    <mergeCell ref="AD332:AE332"/>
    <mergeCell ref="R327:S327"/>
    <mergeCell ref="AW338:AW339"/>
    <mergeCell ref="AS336:AT338"/>
    <mergeCell ref="M338:M339"/>
    <mergeCell ref="AK334:AM337"/>
    <mergeCell ref="AN335:AO335"/>
    <mergeCell ref="AG336:AH338"/>
    <mergeCell ref="W336:W338"/>
    <mergeCell ref="W329:W331"/>
    <mergeCell ref="R336:S336"/>
    <mergeCell ref="U336:V338"/>
    <mergeCell ref="AN323:AO323"/>
    <mergeCell ref="AN320:AO320"/>
    <mergeCell ref="AB328:AC328"/>
    <mergeCell ref="AB319:AC319"/>
    <mergeCell ref="AN319:AO319"/>
    <mergeCell ref="AD331:AE331"/>
    <mergeCell ref="AD334:AE334"/>
    <mergeCell ref="AB332:AC332"/>
    <mergeCell ref="AN336:AO336"/>
    <mergeCell ref="AB337:AC337"/>
    <mergeCell ref="AD337:AE337"/>
    <mergeCell ref="AB326:AC326"/>
    <mergeCell ref="AB336:AC336"/>
    <mergeCell ref="AP319:AQ319"/>
    <mergeCell ref="AP321:AQ321"/>
    <mergeCell ref="Y338:Y339"/>
    <mergeCell ref="AD328:AE328"/>
    <mergeCell ref="F337:G337"/>
    <mergeCell ref="AI321:AI322"/>
    <mergeCell ref="AK338:AK339"/>
    <mergeCell ref="W326:W328"/>
    <mergeCell ref="AD333:AE333"/>
    <mergeCell ref="AD325:AE325"/>
    <mergeCell ref="AG333:AH335"/>
    <mergeCell ref="AD322:AE322"/>
    <mergeCell ref="AZ329:BA329"/>
    <mergeCell ref="BZ336:CA336"/>
    <mergeCell ref="BU338:BU339"/>
    <mergeCell ref="AN334:AO334"/>
    <mergeCell ref="AD335:AE335"/>
    <mergeCell ref="BL331:BM331"/>
    <mergeCell ref="BL328:BM328"/>
    <mergeCell ref="BL323:BM323"/>
    <mergeCell ref="BL335:BM335"/>
    <mergeCell ref="AU317:AU318"/>
    <mergeCell ref="AS329:AT331"/>
    <mergeCell ref="BL336:BM336"/>
    <mergeCell ref="BL334:BM334"/>
    <mergeCell ref="BI334:BK337"/>
    <mergeCell ref="AX331:AY332"/>
    <mergeCell ref="BJ328:BK330"/>
    <mergeCell ref="BN329:BO329"/>
    <mergeCell ref="AN326:AO326"/>
    <mergeCell ref="AU323:AU325"/>
    <mergeCell ref="BN321:BO321"/>
    <mergeCell ref="BN330:BO330"/>
    <mergeCell ref="BB331:BC331"/>
    <mergeCell ref="AP331:AQ331"/>
    <mergeCell ref="BQ329:BR331"/>
    <mergeCell ref="AZ337:BA337"/>
    <mergeCell ref="BB337:BC337"/>
    <mergeCell ref="AG319:AG322"/>
    <mergeCell ref="AZ336:BA336"/>
    <mergeCell ref="BG321:BG322"/>
    <mergeCell ref="BG336:BG338"/>
    <mergeCell ref="BE336:BF338"/>
    <mergeCell ref="AU333:AU335"/>
    <mergeCell ref="AP333:AQ333"/>
    <mergeCell ref="AP320:AQ320"/>
    <mergeCell ref="BL321:BM321"/>
    <mergeCell ref="BG319:BG320"/>
    <mergeCell ref="AX324:AY327"/>
    <mergeCell ref="BB321:BC321"/>
    <mergeCell ref="AS333:AT335"/>
    <mergeCell ref="BL337:BM337"/>
    <mergeCell ref="AU336:AU338"/>
    <mergeCell ref="BG333:BG335"/>
    <mergeCell ref="BN334:BO334"/>
    <mergeCell ref="BN331:BO331"/>
    <mergeCell ref="AZ321:BA321"/>
    <mergeCell ref="BL320:BM320"/>
    <mergeCell ref="BG317:BG318"/>
    <mergeCell ref="BI315:BM315"/>
    <mergeCell ref="BB335:BC335"/>
    <mergeCell ref="BE323:BF325"/>
    <mergeCell ref="BZ322:CA322"/>
    <mergeCell ref="BZ328:CA328"/>
    <mergeCell ref="AX333:BA333"/>
    <mergeCell ref="AZ318:BA318"/>
    <mergeCell ref="AK316:AM318"/>
    <mergeCell ref="BG315:BG316"/>
    <mergeCell ref="BS329:BS331"/>
    <mergeCell ref="BB315:BC315"/>
    <mergeCell ref="BL327:BM327"/>
    <mergeCell ref="AG315:AG318"/>
    <mergeCell ref="AP328:AQ328"/>
    <mergeCell ref="AT321:AT322"/>
    <mergeCell ref="AW334:AY337"/>
    <mergeCell ref="AN316:AO316"/>
    <mergeCell ref="AD321:AE321"/>
    <mergeCell ref="BG329:BG331"/>
    <mergeCell ref="AZ332:BA332"/>
    <mergeCell ref="AZ319:BA319"/>
    <mergeCell ref="AZ320:BA320"/>
    <mergeCell ref="AZ317:BA317"/>
    <mergeCell ref="BE315:BE318"/>
    <mergeCell ref="BB316:BC316"/>
    <mergeCell ref="BF315:BF316"/>
    <mergeCell ref="BN317:BO317"/>
    <mergeCell ref="BZ316:CA316"/>
    <mergeCell ref="BS315:BS316"/>
    <mergeCell ref="BJ331:BK332"/>
    <mergeCell ref="AT317:AT318"/>
    <mergeCell ref="AL319:AM321"/>
    <mergeCell ref="AL324:AM327"/>
    <mergeCell ref="BQ336:BR338"/>
    <mergeCell ref="BB318:BC318"/>
    <mergeCell ref="AW319:AW333"/>
    <mergeCell ref="AZ335:BA335"/>
    <mergeCell ref="AU319:AU320"/>
    <mergeCell ref="AU326:AU328"/>
    <mergeCell ref="AP325:AQ325"/>
    <mergeCell ref="AU315:AU316"/>
    <mergeCell ref="AP327:AQ327"/>
    <mergeCell ref="AI315:AI316"/>
    <mergeCell ref="AP332:AQ332"/>
    <mergeCell ref="AN332:AO332"/>
    <mergeCell ref="AN329:AO329"/>
    <mergeCell ref="AP316:AQ316"/>
    <mergeCell ref="AN331:AO331"/>
    <mergeCell ref="BI338:BI339"/>
    <mergeCell ref="AD330:AE330"/>
    <mergeCell ref="AP337:AQ337"/>
    <mergeCell ref="AP334:AQ334"/>
    <mergeCell ref="BR317:BR318"/>
    <mergeCell ref="BB324:BC324"/>
    <mergeCell ref="BB322:BC322"/>
    <mergeCell ref="AZ325:BA325"/>
    <mergeCell ref="AZ316:BA316"/>
    <mergeCell ref="AZ327:BA327"/>
    <mergeCell ref="BB328:BC328"/>
    <mergeCell ref="BN326:BO326"/>
    <mergeCell ref="AX319:AY321"/>
    <mergeCell ref="BB336:BC336"/>
    <mergeCell ref="AN337:AO337"/>
    <mergeCell ref="AP335:AQ335"/>
    <mergeCell ref="F323:G323"/>
    <mergeCell ref="I323:J325"/>
    <mergeCell ref="K323:K325"/>
    <mergeCell ref="CL316:CM316"/>
    <mergeCell ref="CV318:CW318"/>
    <mergeCell ref="CP317:CP318"/>
    <mergeCell ref="CX317:CY317"/>
    <mergeCell ref="CZ314:DA314"/>
    <mergeCell ref="K315:K316"/>
    <mergeCell ref="AB320:AC320"/>
    <mergeCell ref="P321:Q321"/>
    <mergeCell ref="R317:S317"/>
    <mergeCell ref="V317:V318"/>
    <mergeCell ref="Y315:AC315"/>
    <mergeCell ref="U315:U318"/>
    <mergeCell ref="AP315:AQ315"/>
    <mergeCell ref="AD315:AE315"/>
    <mergeCell ref="AB324:AC324"/>
    <mergeCell ref="AH321:AH322"/>
    <mergeCell ref="AN330:AO330"/>
    <mergeCell ref="BF319:BF320"/>
    <mergeCell ref="AZ330:BA330"/>
    <mergeCell ref="BE319:BE322"/>
    <mergeCell ref="AW315:BA315"/>
    <mergeCell ref="BB320:BC320"/>
    <mergeCell ref="AK315:AO315"/>
    <mergeCell ref="AN317:AO317"/>
    <mergeCell ref="AD317:AE317"/>
    <mergeCell ref="AL328:AM330"/>
    <mergeCell ref="Z319:AA321"/>
    <mergeCell ref="AH317:AH318"/>
    <mergeCell ref="AB317:AC317"/>
    <mergeCell ref="AD318:AE318"/>
    <mergeCell ref="AL322:AM323"/>
    <mergeCell ref="Y316:AA318"/>
    <mergeCell ref="CX325:CY325"/>
    <mergeCell ref="BE329:BF331"/>
    <mergeCell ref="BG323:BG325"/>
    <mergeCell ref="BL329:BM329"/>
    <mergeCell ref="CC315:CC318"/>
    <mergeCell ref="AD320:AE320"/>
    <mergeCell ref="BU319:BU333"/>
    <mergeCell ref="BB332:BC332"/>
    <mergeCell ref="BX332:BY332"/>
    <mergeCell ref="BV331:BW332"/>
    <mergeCell ref="BN332:BO332"/>
    <mergeCell ref="BX331:BY331"/>
    <mergeCell ref="AP324:AQ324"/>
    <mergeCell ref="CE329:CE331"/>
    <mergeCell ref="BX317:BY317"/>
    <mergeCell ref="BS317:BS318"/>
    <mergeCell ref="BZ317:CA317"/>
    <mergeCell ref="CB314:CC314"/>
    <mergeCell ref="AP322:AQ322"/>
    <mergeCell ref="AT319:AT320"/>
    <mergeCell ref="AL331:AM332"/>
    <mergeCell ref="AX328:AY330"/>
    <mergeCell ref="BZ321:CA321"/>
    <mergeCell ref="BX329:BY329"/>
    <mergeCell ref="DA315:DA318"/>
    <mergeCell ref="W317:W318"/>
    <mergeCell ref="V315:V316"/>
    <mergeCell ref="W321:W322"/>
    <mergeCell ref="BL325:BM325"/>
    <mergeCell ref="R322:S322"/>
    <mergeCell ref="P324:Q324"/>
    <mergeCell ref="P328:Q328"/>
    <mergeCell ref="P332:Q332"/>
    <mergeCell ref="R331:S331"/>
    <mergeCell ref="F335:G335"/>
    <mergeCell ref="A334:C337"/>
    <mergeCell ref="Z322:AA323"/>
    <mergeCell ref="AB321:AC321"/>
    <mergeCell ref="AB322:AC322"/>
    <mergeCell ref="W315:W316"/>
    <mergeCell ref="D327:E327"/>
    <mergeCell ref="D322:E322"/>
    <mergeCell ref="D329:E329"/>
    <mergeCell ref="F329:G329"/>
    <mergeCell ref="K336:K338"/>
    <mergeCell ref="P334:Q334"/>
    <mergeCell ref="F317:G317"/>
    <mergeCell ref="R321:S321"/>
    <mergeCell ref="F321:G321"/>
    <mergeCell ref="A315:E315"/>
    <mergeCell ref="F327:G327"/>
    <mergeCell ref="K319:K320"/>
    <mergeCell ref="D336:E336"/>
    <mergeCell ref="D335:E335"/>
    <mergeCell ref="R335:S335"/>
    <mergeCell ref="P337:Q337"/>
    <mergeCell ref="R337:S337"/>
    <mergeCell ref="D337:E337"/>
    <mergeCell ref="P335:Q335"/>
    <mergeCell ref="R333:S333"/>
    <mergeCell ref="P323:Q323"/>
    <mergeCell ref="P336:Q336"/>
    <mergeCell ref="D316:E316"/>
    <mergeCell ref="F325:G325"/>
    <mergeCell ref="P329:Q329"/>
    <mergeCell ref="I319:I322"/>
    <mergeCell ref="J319:J320"/>
    <mergeCell ref="K317:K318"/>
    <mergeCell ref="M334:O337"/>
    <mergeCell ref="A338:A339"/>
    <mergeCell ref="I333:J335"/>
    <mergeCell ref="N333:Q333"/>
    <mergeCell ref="A319:A333"/>
    <mergeCell ref="K333:K335"/>
    <mergeCell ref="F334:G334"/>
    <mergeCell ref="D332:E332"/>
    <mergeCell ref="F332:G332"/>
    <mergeCell ref="R329:S329"/>
    <mergeCell ref="N324:O327"/>
    <mergeCell ref="D325:E325"/>
    <mergeCell ref="I329:J331"/>
    <mergeCell ref="K329:K331"/>
    <mergeCell ref="P331:Q331"/>
    <mergeCell ref="D328:E328"/>
    <mergeCell ref="D324:E324"/>
    <mergeCell ref="D318:E318"/>
    <mergeCell ref="D326:E326"/>
    <mergeCell ref="I326:J328"/>
    <mergeCell ref="P327:Q327"/>
    <mergeCell ref="A316:C318"/>
    <mergeCell ref="F320:G320"/>
    <mergeCell ref="P320:Q320"/>
    <mergeCell ref="R320:S320"/>
    <mergeCell ref="CV303:CW303"/>
    <mergeCell ref="CV302:CW302"/>
    <mergeCell ref="CV305:CW305"/>
    <mergeCell ref="CV297:CW297"/>
    <mergeCell ref="CS293:CS307"/>
    <mergeCell ref="CL302:CM302"/>
    <mergeCell ref="CO300:CP302"/>
    <mergeCell ref="CO307:CP309"/>
    <mergeCell ref="DH301:DI301"/>
    <mergeCell ref="DJ301:DK301"/>
    <mergeCell ref="B328:C330"/>
    <mergeCell ref="F326:G326"/>
    <mergeCell ref="N328:O330"/>
    <mergeCell ref="R324:S324"/>
    <mergeCell ref="F328:G328"/>
    <mergeCell ref="D320:E320"/>
    <mergeCell ref="B324:C327"/>
    <mergeCell ref="D323:E323"/>
    <mergeCell ref="J317:J318"/>
    <mergeCell ref="F319:G319"/>
    <mergeCell ref="P317:Q317"/>
    <mergeCell ref="R316:S316"/>
    <mergeCell ref="R318:S318"/>
    <mergeCell ref="R319:S319"/>
    <mergeCell ref="M316:O318"/>
    <mergeCell ref="I315:I318"/>
    <mergeCell ref="J315:J316"/>
    <mergeCell ref="D317:E317"/>
    <mergeCell ref="P316:Q316"/>
    <mergeCell ref="D319:E319"/>
    <mergeCell ref="M319:M333"/>
    <mergeCell ref="N319:O321"/>
    <mergeCell ref="F324:G324"/>
    <mergeCell ref="D331:E331"/>
    <mergeCell ref="F331:G331"/>
    <mergeCell ref="F316:G316"/>
    <mergeCell ref="B333:E333"/>
    <mergeCell ref="P319:Q319"/>
    <mergeCell ref="J321:J322"/>
    <mergeCell ref="B322:C323"/>
    <mergeCell ref="N322:O323"/>
    <mergeCell ref="F318:G318"/>
    <mergeCell ref="H314:I314"/>
    <mergeCell ref="B319:C321"/>
    <mergeCell ref="R330:S330"/>
    <mergeCell ref="M315:Q315"/>
    <mergeCell ref="B331:C332"/>
    <mergeCell ref="K326:K328"/>
    <mergeCell ref="D330:E330"/>
    <mergeCell ref="P322:Q322"/>
    <mergeCell ref="P326:Q326"/>
    <mergeCell ref="R323:S323"/>
    <mergeCell ref="K321:K322"/>
    <mergeCell ref="N331:O332"/>
    <mergeCell ref="R325:S325"/>
    <mergeCell ref="P325:Q325"/>
    <mergeCell ref="P330:Q330"/>
    <mergeCell ref="R328:S328"/>
    <mergeCell ref="F315:G315"/>
    <mergeCell ref="P318:Q318"/>
    <mergeCell ref="R315:S315"/>
    <mergeCell ref="F330:G330"/>
    <mergeCell ref="D321:E321"/>
    <mergeCell ref="F322:G322"/>
    <mergeCell ref="CT305:CU306"/>
    <mergeCell ref="CL306:CM306"/>
    <mergeCell ref="CV309:CW309"/>
    <mergeCell ref="BX306:BY306"/>
    <mergeCell ref="CQ303:CQ305"/>
    <mergeCell ref="BX310:BY310"/>
    <mergeCell ref="BZ306:CA306"/>
    <mergeCell ref="BX311:BY311"/>
    <mergeCell ref="CO310:CP312"/>
    <mergeCell ref="BZ294:CA294"/>
    <mergeCell ref="CJ304:CK304"/>
    <mergeCell ref="CJ309:CK309"/>
    <mergeCell ref="BX303:BY303"/>
    <mergeCell ref="CQ310:CQ312"/>
    <mergeCell ref="CT298:CU301"/>
    <mergeCell ref="CX296:CY296"/>
    <mergeCell ref="DV309:DW309"/>
    <mergeCell ref="DV294:DW294"/>
    <mergeCell ref="DV310:DW310"/>
    <mergeCell ref="DE308:DG311"/>
    <mergeCell ref="DO303:DO305"/>
    <mergeCell ref="DR307:DU307"/>
    <mergeCell ref="DQ308:DS311"/>
    <mergeCell ref="DT309:DU309"/>
    <mergeCell ref="DB293:DB294"/>
    <mergeCell ref="DC297:DC299"/>
    <mergeCell ref="CJ301:CK301"/>
    <mergeCell ref="CV300:CW300"/>
    <mergeCell ref="ER306:ES306"/>
    <mergeCell ref="CQ307:CQ309"/>
    <mergeCell ref="CV295:CW295"/>
    <mergeCell ref="CS312:CS313"/>
    <mergeCell ref="CV306:CW306"/>
    <mergeCell ref="CQ295:CQ296"/>
    <mergeCell ref="CT293:CU295"/>
    <mergeCell ref="CL303:CM303"/>
    <mergeCell ref="DH311:DI311"/>
    <mergeCell ref="DJ311:DK311"/>
    <mergeCell ref="EM310:EM312"/>
    <mergeCell ref="EO312:EO313"/>
    <mergeCell ref="CX293:CY293"/>
    <mergeCell ref="CV310:CW310"/>
    <mergeCell ref="CL308:CM308"/>
    <mergeCell ref="CL299:CM299"/>
    <mergeCell ref="CG312:CG313"/>
    <mergeCell ref="CC300:CD302"/>
    <mergeCell ref="DE293:DE307"/>
    <mergeCell ref="DM293:DM296"/>
    <mergeCell ref="DJ304:DK304"/>
    <mergeCell ref="DH300:DI300"/>
    <mergeCell ref="DR302:DS304"/>
    <mergeCell ref="DE312:DE313"/>
    <mergeCell ref="DF305:DG306"/>
    <mergeCell ref="DH305:DI305"/>
    <mergeCell ref="CL311:CM311"/>
    <mergeCell ref="CV308:CW308"/>
    <mergeCell ref="CV294:CW294"/>
    <mergeCell ref="CQ300:CQ302"/>
    <mergeCell ref="CH302:CI304"/>
    <mergeCell ref="CL294:CM294"/>
    <mergeCell ref="CV296:CW296"/>
    <mergeCell ref="CD295:CD296"/>
    <mergeCell ref="CE295:CE296"/>
    <mergeCell ref="CQ297:CQ299"/>
    <mergeCell ref="CO303:CP305"/>
    <mergeCell ref="BI312:BI313"/>
    <mergeCell ref="BL306:BM306"/>
    <mergeCell ref="BL309:BM309"/>
    <mergeCell ref="BL310:BM310"/>
    <mergeCell ref="BL300:BM300"/>
    <mergeCell ref="BN311:BO311"/>
    <mergeCell ref="BS307:BS309"/>
    <mergeCell ref="BQ310:BR312"/>
    <mergeCell ref="BZ298:CA298"/>
    <mergeCell ref="BZ299:CA299"/>
    <mergeCell ref="CC307:CD309"/>
    <mergeCell ref="BX304:BY304"/>
    <mergeCell ref="CE307:CE309"/>
    <mergeCell ref="BL297:BM297"/>
    <mergeCell ref="BL293:BM293"/>
    <mergeCell ref="CL304:CM304"/>
    <mergeCell ref="CP295:CP296"/>
    <mergeCell ref="CJ298:CK298"/>
    <mergeCell ref="CL297:CM297"/>
    <mergeCell ref="CL310:CM310"/>
    <mergeCell ref="CL293:CM293"/>
    <mergeCell ref="CJ293:CK293"/>
    <mergeCell ref="CJ305:CK305"/>
    <mergeCell ref="CJ308:CK308"/>
    <mergeCell ref="CJ294:CK294"/>
    <mergeCell ref="CJ303:CK303"/>
    <mergeCell ref="BS303:BS305"/>
    <mergeCell ref="BX295:BY295"/>
    <mergeCell ref="CC303:CD305"/>
    <mergeCell ref="CG308:CI311"/>
    <mergeCell ref="CV299:CW299"/>
    <mergeCell ref="CJ295:CK295"/>
    <mergeCell ref="BX299:BY299"/>
    <mergeCell ref="CG293:CG307"/>
    <mergeCell ref="BZ300:CA300"/>
    <mergeCell ref="BX301:BY301"/>
    <mergeCell ref="CJ299:CK299"/>
    <mergeCell ref="BX305:BY305"/>
    <mergeCell ref="CT302:CU304"/>
    <mergeCell ref="CL305:CM305"/>
    <mergeCell ref="CH307:CK307"/>
    <mergeCell ref="CJ306:CK306"/>
    <mergeCell ref="CL307:CM307"/>
    <mergeCell ref="CT307:CW307"/>
    <mergeCell ref="CV293:CW293"/>
    <mergeCell ref="BU312:BU313"/>
    <mergeCell ref="CJ310:CK310"/>
    <mergeCell ref="CJ300:CK300"/>
    <mergeCell ref="BZ308:CA308"/>
    <mergeCell ref="CC297:CD299"/>
    <mergeCell ref="CV301:CW301"/>
    <mergeCell ref="CH293:CI295"/>
    <mergeCell ref="CH296:CI297"/>
    <mergeCell ref="CH298:CI301"/>
    <mergeCell ref="CT296:CU297"/>
    <mergeCell ref="CV311:CW311"/>
    <mergeCell ref="BX298:BY298"/>
    <mergeCell ref="CL309:CM309"/>
    <mergeCell ref="CS308:CU311"/>
    <mergeCell ref="BZ310:CA310"/>
    <mergeCell ref="CV298:CW298"/>
    <mergeCell ref="BU293:BU307"/>
    <mergeCell ref="CV304:CW304"/>
    <mergeCell ref="BB305:BC305"/>
    <mergeCell ref="BG307:BG309"/>
    <mergeCell ref="BN303:BO303"/>
    <mergeCell ref="BV298:BW301"/>
    <mergeCell ref="AU300:AU302"/>
    <mergeCell ref="AZ310:BA310"/>
    <mergeCell ref="BX309:BY309"/>
    <mergeCell ref="BZ301:CA301"/>
    <mergeCell ref="BU308:BW311"/>
    <mergeCell ref="BX308:BY308"/>
    <mergeCell ref="BL305:BM305"/>
    <mergeCell ref="BN310:BO310"/>
    <mergeCell ref="BL302:BM302"/>
    <mergeCell ref="BQ300:BR302"/>
    <mergeCell ref="BB303:BC303"/>
    <mergeCell ref="BB301:BC301"/>
    <mergeCell ref="BB311:BC311"/>
    <mergeCell ref="BG303:BG305"/>
    <mergeCell ref="BV302:BW304"/>
    <mergeCell ref="BB307:BC307"/>
    <mergeCell ref="BG300:BG302"/>
    <mergeCell ref="BL301:BM301"/>
    <mergeCell ref="BZ311:CA311"/>
    <mergeCell ref="BQ307:BR309"/>
    <mergeCell ref="BS297:BS299"/>
    <mergeCell ref="BX296:BY296"/>
    <mergeCell ref="CE310:CE312"/>
    <mergeCell ref="BN298:BO298"/>
    <mergeCell ref="BZ305:CA305"/>
    <mergeCell ref="CE300:CE302"/>
    <mergeCell ref="BE310:BF312"/>
    <mergeCell ref="BB295:BC295"/>
    <mergeCell ref="BB296:BC296"/>
    <mergeCell ref="BQ293:BQ296"/>
    <mergeCell ref="BF293:BF294"/>
    <mergeCell ref="BL299:BM299"/>
    <mergeCell ref="BR295:BR296"/>
    <mergeCell ref="BR293:BR294"/>
    <mergeCell ref="BV293:BW295"/>
    <mergeCell ref="BS310:BS312"/>
    <mergeCell ref="BN309:BO309"/>
    <mergeCell ref="BQ303:BR305"/>
    <mergeCell ref="BE303:BF305"/>
    <mergeCell ref="BI293:BI307"/>
    <mergeCell ref="BX294:BY294"/>
    <mergeCell ref="BJ296:BK297"/>
    <mergeCell ref="BN301:BO301"/>
    <mergeCell ref="BZ307:CA307"/>
    <mergeCell ref="R293:S293"/>
    <mergeCell ref="AH293:AH294"/>
    <mergeCell ref="AD293:AE293"/>
    <mergeCell ref="F293:G293"/>
    <mergeCell ref="J293:J294"/>
    <mergeCell ref="W295:W296"/>
    <mergeCell ref="R299:S299"/>
    <mergeCell ref="P294:Q294"/>
    <mergeCell ref="I310:J312"/>
    <mergeCell ref="F303:G303"/>
    <mergeCell ref="I303:J305"/>
    <mergeCell ref="AP294:AQ294"/>
    <mergeCell ref="AB301:AC301"/>
    <mergeCell ref="AD309:AE309"/>
    <mergeCell ref="AN298:AO298"/>
    <mergeCell ref="K300:K302"/>
    <mergeCell ref="F300:G300"/>
    <mergeCell ref="AP298:AQ298"/>
    <mergeCell ref="AW308:AY311"/>
    <mergeCell ref="AZ308:BA308"/>
    <mergeCell ref="AP304:AQ304"/>
    <mergeCell ref="AB302:AC302"/>
    <mergeCell ref="AP309:AQ309"/>
    <mergeCell ref="AS310:AT312"/>
    <mergeCell ref="AD305:AE305"/>
    <mergeCell ref="AN306:AO306"/>
    <mergeCell ref="AG310:AH312"/>
    <mergeCell ref="AP303:AQ303"/>
    <mergeCell ref="R306:S306"/>
    <mergeCell ref="AZ305:BA305"/>
    <mergeCell ref="AX302:AY304"/>
    <mergeCell ref="BN300:BO300"/>
    <mergeCell ref="Z302:AA304"/>
    <mergeCell ref="AD301:AE301"/>
    <mergeCell ref="AD307:AE307"/>
    <mergeCell ref="AN303:AO303"/>
    <mergeCell ref="AB310:AC310"/>
    <mergeCell ref="U307:V309"/>
    <mergeCell ref="W307:W309"/>
    <mergeCell ref="AG297:AH299"/>
    <mergeCell ref="P308:Q308"/>
    <mergeCell ref="R308:S308"/>
    <mergeCell ref="R304:S304"/>
    <mergeCell ref="F308:G308"/>
    <mergeCell ref="AP311:AQ311"/>
    <mergeCell ref="AI310:AI312"/>
    <mergeCell ref="AI300:AI302"/>
    <mergeCell ref="AZ309:BA309"/>
    <mergeCell ref="AB309:AC309"/>
    <mergeCell ref="AL296:AM297"/>
    <mergeCell ref="AI297:AI299"/>
    <mergeCell ref="AG300:AH302"/>
    <mergeCell ref="AL298:AM301"/>
    <mergeCell ref="AL302:AM304"/>
    <mergeCell ref="BE307:BF309"/>
    <mergeCell ref="BN308:BO308"/>
    <mergeCell ref="BJ293:BK295"/>
    <mergeCell ref="BN295:BO295"/>
    <mergeCell ref="BN294:BO294"/>
    <mergeCell ref="BN293:BO293"/>
    <mergeCell ref="BL296:BM296"/>
    <mergeCell ref="BL311:BM311"/>
    <mergeCell ref="BN304:BO304"/>
    <mergeCell ref="BN299:BO299"/>
    <mergeCell ref="D292:E292"/>
    <mergeCell ref="AL305:AM306"/>
    <mergeCell ref="AN297:AO297"/>
    <mergeCell ref="AS289:AS292"/>
    <mergeCell ref="AT295:AT296"/>
    <mergeCell ref="BL308:BM308"/>
    <mergeCell ref="J291:J292"/>
    <mergeCell ref="BN297:BO297"/>
    <mergeCell ref="BN292:BO292"/>
    <mergeCell ref="BE293:BE296"/>
    <mergeCell ref="BG297:BG299"/>
    <mergeCell ref="BG293:BG294"/>
    <mergeCell ref="BG310:BG312"/>
    <mergeCell ref="BG295:BG296"/>
    <mergeCell ref="BI308:BK311"/>
    <mergeCell ref="AD306:AE306"/>
    <mergeCell ref="D310:E310"/>
    <mergeCell ref="F298:G298"/>
    <mergeCell ref="AD304:AE304"/>
    <mergeCell ref="P302:Q302"/>
    <mergeCell ref="V295:V296"/>
    <mergeCell ref="P306:Q306"/>
    <mergeCell ref="Z293:AA295"/>
    <mergeCell ref="AB294:AC294"/>
    <mergeCell ref="BE289:BE292"/>
    <mergeCell ref="P298:Q298"/>
    <mergeCell ref="AI303:AI305"/>
    <mergeCell ref="AN304:AO304"/>
    <mergeCell ref="AS307:AT309"/>
    <mergeCell ref="F306:G306"/>
    <mergeCell ref="B307:E307"/>
    <mergeCell ref="P304:Q304"/>
    <mergeCell ref="A308:C311"/>
    <mergeCell ref="M308:O311"/>
    <mergeCell ref="AI291:AI292"/>
    <mergeCell ref="R291:S291"/>
    <mergeCell ref="V291:V292"/>
    <mergeCell ref="U293:U296"/>
    <mergeCell ref="BL298:BM298"/>
    <mergeCell ref="BL303:BM303"/>
    <mergeCell ref="BL304:BM304"/>
    <mergeCell ref="P292:Q292"/>
    <mergeCell ref="V289:V290"/>
    <mergeCell ref="BN289:BO289"/>
    <mergeCell ref="AI307:AI309"/>
    <mergeCell ref="AN311:AO311"/>
    <mergeCell ref="AN309:AO309"/>
    <mergeCell ref="AN310:AO310"/>
    <mergeCell ref="AL307:AO307"/>
    <mergeCell ref="AK312:AK313"/>
    <mergeCell ref="AP307:AQ307"/>
    <mergeCell ref="AP308:AQ308"/>
    <mergeCell ref="AP306:AQ306"/>
    <mergeCell ref="AZ306:BA306"/>
    <mergeCell ref="Y312:Y313"/>
    <mergeCell ref="BJ302:BK304"/>
    <mergeCell ref="BB310:BC310"/>
    <mergeCell ref="Z298:AA301"/>
    <mergeCell ref="AX305:AY306"/>
    <mergeCell ref="AP299:AQ299"/>
    <mergeCell ref="AZ297:BA297"/>
    <mergeCell ref="AZ299:BA299"/>
    <mergeCell ref="AN308:AO308"/>
    <mergeCell ref="AZ296:BA296"/>
    <mergeCell ref="Y308:AA311"/>
    <mergeCell ref="Z305:AA306"/>
    <mergeCell ref="K307:K309"/>
    <mergeCell ref="R309:S309"/>
    <mergeCell ref="AD298:AE298"/>
    <mergeCell ref="I300:J302"/>
    <mergeCell ref="F297:G297"/>
    <mergeCell ref="K297:K299"/>
    <mergeCell ref="P305:Q305"/>
    <mergeCell ref="D306:E306"/>
    <mergeCell ref="I307:J309"/>
    <mergeCell ref="F307:G307"/>
    <mergeCell ref="F310:G310"/>
    <mergeCell ref="U310:V312"/>
    <mergeCell ref="P309:Q309"/>
    <mergeCell ref="D302:E302"/>
    <mergeCell ref="F302:G302"/>
    <mergeCell ref="D303:E303"/>
    <mergeCell ref="D299:E299"/>
    <mergeCell ref="D311:E311"/>
    <mergeCell ref="F311:G311"/>
    <mergeCell ref="D305:E305"/>
    <mergeCell ref="F305:G305"/>
    <mergeCell ref="B298:C301"/>
    <mergeCell ref="P297:Q297"/>
    <mergeCell ref="B305:C306"/>
    <mergeCell ref="W300:W302"/>
    <mergeCell ref="P303:Q303"/>
    <mergeCell ref="R303:S303"/>
    <mergeCell ref="AB306:AC306"/>
    <mergeCell ref="N302:O304"/>
    <mergeCell ref="M293:M307"/>
    <mergeCell ref="I297:J299"/>
    <mergeCell ref="W297:W299"/>
    <mergeCell ref="R310:S310"/>
    <mergeCell ref="D293:E293"/>
    <mergeCell ref="D295:E295"/>
    <mergeCell ref="P311:Q311"/>
    <mergeCell ref="R311:S311"/>
    <mergeCell ref="Z307:AC307"/>
    <mergeCell ref="F304:G304"/>
    <mergeCell ref="U303:V305"/>
    <mergeCell ref="R302:S302"/>
    <mergeCell ref="K310:K312"/>
    <mergeCell ref="AD302:AE302"/>
    <mergeCell ref="N307:Q307"/>
    <mergeCell ref="N305:O306"/>
    <mergeCell ref="B302:C304"/>
    <mergeCell ref="D308:E308"/>
    <mergeCell ref="AB311:AC311"/>
    <mergeCell ref="M312:M313"/>
    <mergeCell ref="R300:S300"/>
    <mergeCell ref="R296:S296"/>
    <mergeCell ref="D301:E301"/>
    <mergeCell ref="P310:Q310"/>
    <mergeCell ref="D309:E309"/>
    <mergeCell ref="F309:G309"/>
    <mergeCell ref="F295:G295"/>
    <mergeCell ref="AB308:AC308"/>
    <mergeCell ref="D304:E304"/>
    <mergeCell ref="D294:E294"/>
    <mergeCell ref="AB305:AC305"/>
    <mergeCell ref="K303:K305"/>
    <mergeCell ref="I293:I296"/>
    <mergeCell ref="K293:K294"/>
    <mergeCell ref="F301:G301"/>
    <mergeCell ref="AD308:AE308"/>
    <mergeCell ref="AD310:AE310"/>
    <mergeCell ref="W310:W312"/>
    <mergeCell ref="R294:S294"/>
    <mergeCell ref="A312:A313"/>
    <mergeCell ref="D297:E297"/>
    <mergeCell ref="K295:K296"/>
    <mergeCell ref="B293:C295"/>
    <mergeCell ref="N298:O301"/>
    <mergeCell ref="P301:Q301"/>
    <mergeCell ref="A289:E289"/>
    <mergeCell ref="AB298:AC298"/>
    <mergeCell ref="AP300:AQ300"/>
    <mergeCell ref="AP297:AQ297"/>
    <mergeCell ref="R298:S298"/>
    <mergeCell ref="BL292:BM292"/>
    <mergeCell ref="BF291:BF292"/>
    <mergeCell ref="M289:Q289"/>
    <mergeCell ref="P293:Q293"/>
    <mergeCell ref="AD299:AE299"/>
    <mergeCell ref="P299:Q299"/>
    <mergeCell ref="BB290:BC290"/>
    <mergeCell ref="AZ291:BA291"/>
    <mergeCell ref="P291:Q291"/>
    <mergeCell ref="AB293:AC293"/>
    <mergeCell ref="D291:E291"/>
    <mergeCell ref="AG307:AH309"/>
    <mergeCell ref="AP295:AQ295"/>
    <mergeCell ref="D296:E296"/>
    <mergeCell ref="F296:G296"/>
    <mergeCell ref="AB300:AC300"/>
    <mergeCell ref="R301:S301"/>
    <mergeCell ref="R307:S307"/>
    <mergeCell ref="U300:V302"/>
    <mergeCell ref="P300:Q300"/>
    <mergeCell ref="W303:W305"/>
    <mergeCell ref="W289:W290"/>
    <mergeCell ref="AD289:AE289"/>
    <mergeCell ref="F291:G291"/>
    <mergeCell ref="F294:G294"/>
    <mergeCell ref="AN290:AO290"/>
    <mergeCell ref="U289:U292"/>
    <mergeCell ref="N293:O295"/>
    <mergeCell ref="AH291:AH292"/>
    <mergeCell ref="R292:S292"/>
    <mergeCell ref="R295:S295"/>
    <mergeCell ref="V293:V294"/>
    <mergeCell ref="D290:E290"/>
    <mergeCell ref="P295:Q295"/>
    <mergeCell ref="AP302:AQ302"/>
    <mergeCell ref="BG291:BG292"/>
    <mergeCell ref="BI290:BK292"/>
    <mergeCell ref="R305:S305"/>
    <mergeCell ref="F289:G289"/>
    <mergeCell ref="F292:G292"/>
    <mergeCell ref="AW312:AW313"/>
    <mergeCell ref="AD311:AE311"/>
    <mergeCell ref="AS303:AT305"/>
    <mergeCell ref="AZ311:BA311"/>
    <mergeCell ref="AN300:AO300"/>
    <mergeCell ref="AK308:AM311"/>
    <mergeCell ref="D300:E300"/>
    <mergeCell ref="CE291:CE292"/>
    <mergeCell ref="AD295:AE295"/>
    <mergeCell ref="BL291:BM291"/>
    <mergeCell ref="AP289:AQ289"/>
    <mergeCell ref="BQ297:BR299"/>
    <mergeCell ref="AK290:AM292"/>
    <mergeCell ref="AP310:AQ310"/>
    <mergeCell ref="AH295:AH296"/>
    <mergeCell ref="AW290:AY292"/>
    <mergeCell ref="AB296:AC296"/>
    <mergeCell ref="AT293:AT294"/>
    <mergeCell ref="AH289:AH290"/>
    <mergeCell ref="AI289:AI290"/>
    <mergeCell ref="AX298:AY301"/>
    <mergeCell ref="AN305:AO305"/>
    <mergeCell ref="AS293:AS296"/>
    <mergeCell ref="AU293:AU294"/>
    <mergeCell ref="BN290:BO290"/>
    <mergeCell ref="BZ292:CA292"/>
    <mergeCell ref="CJ291:CK291"/>
    <mergeCell ref="CJ290:CK290"/>
    <mergeCell ref="BI289:BM289"/>
    <mergeCell ref="AB299:AC299"/>
    <mergeCell ref="BS289:BS290"/>
    <mergeCell ref="CC289:CC292"/>
    <mergeCell ref="AB292:AC292"/>
    <mergeCell ref="BF295:BF296"/>
    <mergeCell ref="BB292:BC292"/>
    <mergeCell ref="AP293:AQ293"/>
    <mergeCell ref="AK293:AK307"/>
    <mergeCell ref="BN302:BO302"/>
    <mergeCell ref="BN296:BO296"/>
    <mergeCell ref="BN306:BO306"/>
    <mergeCell ref="BL294:BM294"/>
    <mergeCell ref="BJ305:BK306"/>
    <mergeCell ref="AD300:AE300"/>
    <mergeCell ref="AK289:AO289"/>
    <mergeCell ref="AN294:AO294"/>
    <mergeCell ref="AL293:AM295"/>
    <mergeCell ref="AD297:AE297"/>
    <mergeCell ref="AX307:BA307"/>
    <mergeCell ref="AU307:AU309"/>
    <mergeCell ref="AI295:AI296"/>
    <mergeCell ref="AB295:AC295"/>
    <mergeCell ref="AB304:AC304"/>
    <mergeCell ref="BR289:BR290"/>
    <mergeCell ref="BQ289:BQ292"/>
    <mergeCell ref="BZ309:CA309"/>
    <mergeCell ref="CE303:CE305"/>
    <mergeCell ref="BB309:BC309"/>
    <mergeCell ref="BB297:BC297"/>
    <mergeCell ref="BJ307:BM307"/>
    <mergeCell ref="BX293:BY293"/>
    <mergeCell ref="BS293:BS294"/>
    <mergeCell ref="BS295:BS296"/>
    <mergeCell ref="CC293:CC296"/>
    <mergeCell ref="CD293:CD294"/>
    <mergeCell ref="CE293:CE294"/>
    <mergeCell ref="BZ296:CA296"/>
    <mergeCell ref="CC310:CD312"/>
    <mergeCell ref="BS300:BS302"/>
    <mergeCell ref="BX297:BY297"/>
    <mergeCell ref="BJ298:BK301"/>
    <mergeCell ref="BN307:BO307"/>
    <mergeCell ref="BZ289:CA289"/>
    <mergeCell ref="BN291:BO291"/>
    <mergeCell ref="CE297:CE299"/>
    <mergeCell ref="BZ293:CA293"/>
    <mergeCell ref="BV305:BW306"/>
    <mergeCell ref="BV307:BY307"/>
    <mergeCell ref="BX300:BY300"/>
    <mergeCell ref="CD291:CD292"/>
    <mergeCell ref="BB306:BC306"/>
    <mergeCell ref="AD290:AE290"/>
    <mergeCell ref="AI293:AI294"/>
    <mergeCell ref="AX293:AY295"/>
    <mergeCell ref="AZ295:BA295"/>
    <mergeCell ref="AZ298:BA298"/>
    <mergeCell ref="CV291:CW291"/>
    <mergeCell ref="AD291:AE291"/>
    <mergeCell ref="BX292:BY292"/>
    <mergeCell ref="BU289:BY289"/>
    <mergeCell ref="BU290:BW292"/>
    <mergeCell ref="BX290:BY290"/>
    <mergeCell ref="BZ291:CA291"/>
    <mergeCell ref="CQ289:CQ290"/>
    <mergeCell ref="CL289:CM289"/>
    <mergeCell ref="BB281:BC281"/>
    <mergeCell ref="AN302:AO302"/>
    <mergeCell ref="AZ304:BA304"/>
    <mergeCell ref="BZ290:CA290"/>
    <mergeCell ref="CS289:CW289"/>
    <mergeCell ref="CV290:CW290"/>
    <mergeCell ref="BS291:BS292"/>
    <mergeCell ref="BL295:BM295"/>
    <mergeCell ref="BE300:BF302"/>
    <mergeCell ref="CL281:CM281"/>
    <mergeCell ref="BZ282:CA282"/>
    <mergeCell ref="AS297:AT299"/>
    <mergeCell ref="CD289:CD290"/>
    <mergeCell ref="BS284:BS286"/>
    <mergeCell ref="AS281:AT283"/>
    <mergeCell ref="AY288:BA288"/>
    <mergeCell ref="BB304:BC304"/>
    <mergeCell ref="CU288:CW288"/>
    <mergeCell ref="CL300:CM300"/>
    <mergeCell ref="AG289:AG292"/>
    <mergeCell ref="BZ297:CA297"/>
    <mergeCell ref="BZ295:CA295"/>
    <mergeCell ref="BB293:BC293"/>
    <mergeCell ref="BX302:BY302"/>
    <mergeCell ref="AU297:AU299"/>
    <mergeCell ref="AX296:AY297"/>
    <mergeCell ref="BJ281:BM281"/>
    <mergeCell ref="BN281:BO281"/>
    <mergeCell ref="AZ293:BA293"/>
    <mergeCell ref="CJ292:CK292"/>
    <mergeCell ref="CB288:CC288"/>
    <mergeCell ref="AD283:AE283"/>
    <mergeCell ref="AP283:AQ283"/>
    <mergeCell ref="AN299:AO299"/>
    <mergeCell ref="CS286:CS287"/>
    <mergeCell ref="AN292:AO292"/>
    <mergeCell ref="AG293:AG296"/>
    <mergeCell ref="AN291:AO291"/>
    <mergeCell ref="AG303:AH305"/>
    <mergeCell ref="CS290:CU292"/>
    <mergeCell ref="BX291:BY291"/>
    <mergeCell ref="CV292:CW292"/>
    <mergeCell ref="AU303:AU305"/>
    <mergeCell ref="BE297:BF299"/>
    <mergeCell ref="BN305:BO305"/>
    <mergeCell ref="BZ303:CA303"/>
    <mergeCell ref="BP288:BQ288"/>
    <mergeCell ref="BL283:BM283"/>
    <mergeCell ref="AP301:AQ301"/>
    <mergeCell ref="CE289:CE290"/>
    <mergeCell ref="BZ302:CA302"/>
    <mergeCell ref="BZ304:CA304"/>
    <mergeCell ref="BV296:BW297"/>
    <mergeCell ref="AD294:AE294"/>
    <mergeCell ref="BK288:BM288"/>
    <mergeCell ref="BR291:BR292"/>
    <mergeCell ref="R289:S289"/>
    <mergeCell ref="P290:Q290"/>
    <mergeCell ref="W291:W292"/>
    <mergeCell ref="R281:S281"/>
    <mergeCell ref="P296:Q296"/>
    <mergeCell ref="AN293:AO293"/>
    <mergeCell ref="AD296:AE296"/>
    <mergeCell ref="Z296:AA297"/>
    <mergeCell ref="AB297:AC297"/>
    <mergeCell ref="N296:O297"/>
    <mergeCell ref="M290:O292"/>
    <mergeCell ref="F290:G290"/>
    <mergeCell ref="R297:S297"/>
    <mergeCell ref="C288:E288"/>
    <mergeCell ref="AB280:AC280"/>
    <mergeCell ref="Z270:AA271"/>
    <mergeCell ref="AN282:AO282"/>
    <mergeCell ref="AG281:AH283"/>
    <mergeCell ref="AB283:AC283"/>
    <mergeCell ref="AB285:AC285"/>
    <mergeCell ref="B296:C297"/>
    <mergeCell ref="B279:C280"/>
    <mergeCell ref="A282:C285"/>
    <mergeCell ref="F277:G277"/>
    <mergeCell ref="R276:S276"/>
    <mergeCell ref="I281:J283"/>
    <mergeCell ref="I289:I292"/>
    <mergeCell ref="J289:J290"/>
    <mergeCell ref="K291:K292"/>
    <mergeCell ref="A290:C292"/>
    <mergeCell ref="R290:S290"/>
    <mergeCell ref="A293:A307"/>
    <mergeCell ref="I267:I270"/>
    <mergeCell ref="P282:Q282"/>
    <mergeCell ref="P267:Q267"/>
    <mergeCell ref="N272:O275"/>
    <mergeCell ref="D279:E279"/>
    <mergeCell ref="D272:E272"/>
    <mergeCell ref="D275:E275"/>
    <mergeCell ref="Y293:Y307"/>
    <mergeCell ref="D298:E298"/>
    <mergeCell ref="W293:W294"/>
    <mergeCell ref="U297:V299"/>
    <mergeCell ref="J295:J296"/>
    <mergeCell ref="F299:G299"/>
    <mergeCell ref="AN296:AO296"/>
    <mergeCell ref="K289:K290"/>
    <mergeCell ref="AB291:AC291"/>
    <mergeCell ref="AN295:AO295"/>
    <mergeCell ref="O288:Q288"/>
    <mergeCell ref="F272:G272"/>
    <mergeCell ref="D273:E273"/>
    <mergeCell ref="K267:K268"/>
    <mergeCell ref="AN278:AO278"/>
    <mergeCell ref="AD271:AE271"/>
    <mergeCell ref="AI284:AI286"/>
    <mergeCell ref="P272:Q272"/>
    <mergeCell ref="U284:V286"/>
    <mergeCell ref="D274:E274"/>
    <mergeCell ref="M267:M281"/>
    <mergeCell ref="D270:E270"/>
    <mergeCell ref="AB270:AC270"/>
    <mergeCell ref="A267:A281"/>
    <mergeCell ref="D267:E267"/>
    <mergeCell ref="R268:S268"/>
    <mergeCell ref="AN267:AO267"/>
    <mergeCell ref="Y286:Y287"/>
    <mergeCell ref="K271:K273"/>
    <mergeCell ref="H288:I288"/>
    <mergeCell ref="U274:V276"/>
    <mergeCell ref="W274:W276"/>
    <mergeCell ref="F284:G284"/>
    <mergeCell ref="N281:Q281"/>
    <mergeCell ref="K269:K270"/>
    <mergeCell ref="I271:J273"/>
    <mergeCell ref="P270:Q270"/>
    <mergeCell ref="R270:S270"/>
    <mergeCell ref="P284:Q284"/>
    <mergeCell ref="AN276:AO276"/>
    <mergeCell ref="AN285:AO285"/>
    <mergeCell ref="AL281:AO281"/>
    <mergeCell ref="T288:U288"/>
    <mergeCell ref="AK267:AK281"/>
    <mergeCell ref="AN277:AO277"/>
    <mergeCell ref="P280:Q280"/>
    <mergeCell ref="R267:S267"/>
    <mergeCell ref="U267:U270"/>
    <mergeCell ref="P269:Q269"/>
    <mergeCell ref="D284:E284"/>
    <mergeCell ref="D278:E278"/>
    <mergeCell ref="N276:O278"/>
    <mergeCell ref="AB268:AC268"/>
    <mergeCell ref="AD268:AE268"/>
    <mergeCell ref="A286:A287"/>
    <mergeCell ref="D269:E269"/>
    <mergeCell ref="AN273:AO273"/>
    <mergeCell ref="Z267:AA269"/>
    <mergeCell ref="AB269:AC269"/>
    <mergeCell ref="W267:W268"/>
    <mergeCell ref="D283:E283"/>
    <mergeCell ref="D285:E285"/>
    <mergeCell ref="R277:S277"/>
    <mergeCell ref="F283:G283"/>
    <mergeCell ref="N270:O271"/>
    <mergeCell ref="I274:J276"/>
    <mergeCell ref="K274:K276"/>
    <mergeCell ref="F282:G282"/>
    <mergeCell ref="P275:Q275"/>
    <mergeCell ref="R280:S280"/>
    <mergeCell ref="R282:S282"/>
    <mergeCell ref="Z281:AC281"/>
    <mergeCell ref="AG284:AH286"/>
    <mergeCell ref="AD277:AE277"/>
    <mergeCell ref="D268:E268"/>
    <mergeCell ref="F273:G273"/>
    <mergeCell ref="R273:S273"/>
    <mergeCell ref="AB273:AC273"/>
    <mergeCell ref="W271:W273"/>
    <mergeCell ref="V267:V268"/>
    <mergeCell ref="AH269:AH270"/>
    <mergeCell ref="R275:S275"/>
    <mergeCell ref="AB275:AC275"/>
    <mergeCell ref="R271:S271"/>
    <mergeCell ref="U271:V273"/>
    <mergeCell ref="F280:G280"/>
    <mergeCell ref="N267:O269"/>
    <mergeCell ref="I277:J279"/>
    <mergeCell ref="P277:Q277"/>
    <mergeCell ref="P274:Q274"/>
    <mergeCell ref="R274:S274"/>
    <mergeCell ref="Y267:Y281"/>
    <mergeCell ref="D282:E282"/>
    <mergeCell ref="AD273:AE273"/>
    <mergeCell ref="AD272:AE272"/>
    <mergeCell ref="F278:G278"/>
    <mergeCell ref="F274:G274"/>
    <mergeCell ref="D280:E280"/>
    <mergeCell ref="B281:E281"/>
    <mergeCell ref="B270:C271"/>
    <mergeCell ref="D271:E271"/>
    <mergeCell ref="F271:G271"/>
    <mergeCell ref="AD284:AE284"/>
    <mergeCell ref="AN284:AO284"/>
    <mergeCell ref="U281:V283"/>
    <mergeCell ref="P268:Q268"/>
    <mergeCell ref="N279:O280"/>
    <mergeCell ref="K281:K283"/>
    <mergeCell ref="F281:G281"/>
    <mergeCell ref="J267:J268"/>
    <mergeCell ref="P278:Q278"/>
    <mergeCell ref="R278:S278"/>
    <mergeCell ref="K277:K279"/>
    <mergeCell ref="B267:C269"/>
    <mergeCell ref="B272:C275"/>
    <mergeCell ref="Z272:AA275"/>
    <mergeCell ref="U277:V279"/>
    <mergeCell ref="W284:W286"/>
    <mergeCell ref="P271:Q271"/>
    <mergeCell ref="AD275:AE275"/>
    <mergeCell ref="AB276:AC276"/>
    <mergeCell ref="AB267:AC267"/>
    <mergeCell ref="B276:C278"/>
    <mergeCell ref="D276:E276"/>
    <mergeCell ref="F276:G276"/>
    <mergeCell ref="D277:E277"/>
    <mergeCell ref="AD285:AE285"/>
    <mergeCell ref="P273:Q273"/>
    <mergeCell ref="AD280:AE280"/>
    <mergeCell ref="R285:S285"/>
    <mergeCell ref="R284:S284"/>
    <mergeCell ref="AB279:AC279"/>
    <mergeCell ref="AD276:AE276"/>
    <mergeCell ref="R269:S269"/>
    <mergeCell ref="M282:O285"/>
    <mergeCell ref="W269:W270"/>
    <mergeCell ref="R283:S283"/>
    <mergeCell ref="W277:W279"/>
    <mergeCell ref="R272:S272"/>
    <mergeCell ref="F279:G279"/>
    <mergeCell ref="AZ267:BA267"/>
    <mergeCell ref="AT267:AT268"/>
    <mergeCell ref="BB279:BC279"/>
    <mergeCell ref="F269:G269"/>
    <mergeCell ref="F270:G270"/>
    <mergeCell ref="AI271:AI273"/>
    <mergeCell ref="AG267:AG270"/>
    <mergeCell ref="AK282:AM285"/>
    <mergeCell ref="AI274:AI276"/>
    <mergeCell ref="AD281:AE281"/>
    <mergeCell ref="F275:G275"/>
    <mergeCell ref="K284:K286"/>
    <mergeCell ref="M286:M287"/>
    <mergeCell ref="AW282:AY285"/>
    <mergeCell ref="F267:G267"/>
    <mergeCell ref="AG271:AH273"/>
    <mergeCell ref="AI277:AI279"/>
    <mergeCell ref="AD274:AE274"/>
    <mergeCell ref="AP280:AQ280"/>
    <mergeCell ref="AU271:AU273"/>
    <mergeCell ref="AP273:AQ273"/>
    <mergeCell ref="AP281:AQ281"/>
    <mergeCell ref="AZ271:BA271"/>
    <mergeCell ref="AX272:AY275"/>
    <mergeCell ref="AL279:AM280"/>
    <mergeCell ref="AP285:AQ285"/>
    <mergeCell ref="F285:G285"/>
    <mergeCell ref="AU277:AU279"/>
    <mergeCell ref="AS274:AT276"/>
    <mergeCell ref="AU274:AU276"/>
    <mergeCell ref="AP284:AQ284"/>
    <mergeCell ref="AL272:AM275"/>
    <mergeCell ref="AN268:AO268"/>
    <mergeCell ref="AN272:AO272"/>
    <mergeCell ref="AL267:AM269"/>
    <mergeCell ref="P283:Q283"/>
    <mergeCell ref="P276:Q276"/>
    <mergeCell ref="P285:Q285"/>
    <mergeCell ref="F268:G268"/>
    <mergeCell ref="P279:Q279"/>
    <mergeCell ref="R279:S279"/>
    <mergeCell ref="AK286:AK287"/>
    <mergeCell ref="AB284:AC284"/>
    <mergeCell ref="AN275:AO275"/>
    <mergeCell ref="W281:W283"/>
    <mergeCell ref="AD267:AE267"/>
    <mergeCell ref="AD270:AE270"/>
    <mergeCell ref="AX279:AY280"/>
    <mergeCell ref="AZ278:BA278"/>
    <mergeCell ref="AS267:AS270"/>
    <mergeCell ref="AZ268:BA268"/>
    <mergeCell ref="AS284:AT286"/>
    <mergeCell ref="AU284:AU286"/>
    <mergeCell ref="J269:J270"/>
    <mergeCell ref="I284:J286"/>
    <mergeCell ref="AD269:AE269"/>
    <mergeCell ref="AP274:AQ274"/>
    <mergeCell ref="AP279:AQ279"/>
    <mergeCell ref="BG281:BG283"/>
    <mergeCell ref="BN271:BO271"/>
    <mergeCell ref="BN277:BO277"/>
    <mergeCell ref="BN285:BO285"/>
    <mergeCell ref="BL277:BM277"/>
    <mergeCell ref="CC284:CD286"/>
    <mergeCell ref="BQ284:BR286"/>
    <mergeCell ref="BV279:BW280"/>
    <mergeCell ref="BU286:BU287"/>
    <mergeCell ref="CL282:CM282"/>
    <mergeCell ref="BQ281:BR283"/>
    <mergeCell ref="BS281:BS283"/>
    <mergeCell ref="BX283:BY283"/>
    <mergeCell ref="BZ281:CA281"/>
    <mergeCell ref="CE277:CE279"/>
    <mergeCell ref="CG282:CI285"/>
    <mergeCell ref="CV279:CW279"/>
    <mergeCell ref="BZ283:CA283"/>
    <mergeCell ref="CJ284:CK284"/>
    <mergeCell ref="AZ270:BA270"/>
    <mergeCell ref="BZ280:CA280"/>
    <mergeCell ref="BI286:BI287"/>
    <mergeCell ref="AP277:AQ277"/>
    <mergeCell ref="AP278:AQ278"/>
    <mergeCell ref="AZ272:BA272"/>
    <mergeCell ref="BB271:BC271"/>
    <mergeCell ref="BB274:BC274"/>
    <mergeCell ref="BB277:BC277"/>
    <mergeCell ref="BX270:BY270"/>
    <mergeCell ref="BX275:BY275"/>
    <mergeCell ref="AZ280:BA280"/>
    <mergeCell ref="AW286:AW287"/>
    <mergeCell ref="AP270:AQ270"/>
    <mergeCell ref="AZ284:BA284"/>
    <mergeCell ref="AZ285:BA285"/>
    <mergeCell ref="CC277:CD279"/>
    <mergeCell ref="BG277:BG279"/>
    <mergeCell ref="BB278:BC278"/>
    <mergeCell ref="AZ276:BA276"/>
    <mergeCell ref="AP275:AQ275"/>
    <mergeCell ref="AW267:AW281"/>
    <mergeCell ref="BN274:BO274"/>
    <mergeCell ref="BL273:BM273"/>
    <mergeCell ref="BE271:BF273"/>
    <mergeCell ref="BF269:BF270"/>
    <mergeCell ref="BE274:BF276"/>
    <mergeCell ref="AZ275:BA275"/>
    <mergeCell ref="AZ279:BA279"/>
    <mergeCell ref="AU269:AU270"/>
    <mergeCell ref="BB269:BC269"/>
    <mergeCell ref="BX269:BY269"/>
    <mergeCell ref="AX276:AY278"/>
    <mergeCell ref="CE284:CE286"/>
    <mergeCell ref="AP268:AQ268"/>
    <mergeCell ref="BB275:BC275"/>
    <mergeCell ref="AS277:AT279"/>
    <mergeCell ref="BN283:BO283"/>
    <mergeCell ref="BN276:BO276"/>
    <mergeCell ref="CT281:CW281"/>
    <mergeCell ref="CO281:CP283"/>
    <mergeCell ref="BB272:BC272"/>
    <mergeCell ref="CC274:CD276"/>
    <mergeCell ref="CV278:CW278"/>
    <mergeCell ref="BR269:BR270"/>
    <mergeCell ref="DH267:DI267"/>
    <mergeCell ref="DN269:DN270"/>
    <mergeCell ref="DH270:DI270"/>
    <mergeCell ref="DH271:DI271"/>
    <mergeCell ref="DN265:DN266"/>
    <mergeCell ref="DJ267:DK267"/>
    <mergeCell ref="DH264:DI264"/>
    <mergeCell ref="BX276:BY276"/>
    <mergeCell ref="DJ265:DK265"/>
    <mergeCell ref="DR279:DS280"/>
    <mergeCell ref="DM274:DN276"/>
    <mergeCell ref="DO274:DO276"/>
    <mergeCell ref="DJ276:DK276"/>
    <mergeCell ref="BZ285:CA285"/>
    <mergeCell ref="CX282:CY282"/>
    <mergeCell ref="BV267:BW269"/>
    <mergeCell ref="BX284:BY284"/>
    <mergeCell ref="BZ279:CA279"/>
    <mergeCell ref="BV281:BY281"/>
    <mergeCell ref="CV285:CW285"/>
    <mergeCell ref="EF266:EG266"/>
    <mergeCell ref="EH266:EI266"/>
    <mergeCell ref="EM267:EM268"/>
    <mergeCell ref="EL269:EL270"/>
    <mergeCell ref="DC265:DC266"/>
    <mergeCell ref="CX279:CY279"/>
    <mergeCell ref="BZ277:CA277"/>
    <mergeCell ref="CO277:CP279"/>
    <mergeCell ref="BL282:BM282"/>
    <mergeCell ref="BN279:BO279"/>
    <mergeCell ref="BI267:BI281"/>
    <mergeCell ref="BJ279:BK280"/>
    <mergeCell ref="AN283:AO283"/>
    <mergeCell ref="CO271:CP273"/>
    <mergeCell ref="CD265:CD266"/>
    <mergeCell ref="BS263:BS264"/>
    <mergeCell ref="BX274:BY274"/>
    <mergeCell ref="BX272:BY272"/>
    <mergeCell ref="BX267:BY267"/>
    <mergeCell ref="BX279:BY279"/>
    <mergeCell ref="BS274:BS276"/>
    <mergeCell ref="CH272:CI275"/>
    <mergeCell ref="BU267:BU281"/>
    <mergeCell ref="BB265:BC265"/>
    <mergeCell ref="BN278:BO278"/>
    <mergeCell ref="BN272:BO272"/>
    <mergeCell ref="BN284:BO284"/>
    <mergeCell ref="BL265:BM265"/>
    <mergeCell ref="BR263:BR264"/>
    <mergeCell ref="BU263:BY263"/>
    <mergeCell ref="AP272:AQ272"/>
    <mergeCell ref="BE277:BF279"/>
    <mergeCell ref="BB283:BC283"/>
    <mergeCell ref="BB285:BC285"/>
    <mergeCell ref="AX281:BA281"/>
    <mergeCell ref="AU267:AU268"/>
    <mergeCell ref="BB284:BC284"/>
    <mergeCell ref="BE284:BF286"/>
    <mergeCell ref="BJ276:BK278"/>
    <mergeCell ref="CL283:CM283"/>
    <mergeCell ref="BB273:BC273"/>
    <mergeCell ref="BB270:BC270"/>
    <mergeCell ref="BJ270:BK271"/>
    <mergeCell ref="AU281:AU283"/>
    <mergeCell ref="CX283:CY283"/>
    <mergeCell ref="BN267:BO267"/>
    <mergeCell ref="BQ267:BQ270"/>
    <mergeCell ref="BQ274:BR276"/>
    <mergeCell ref="BS265:BS266"/>
    <mergeCell ref="BR267:BR268"/>
    <mergeCell ref="BL267:BM267"/>
    <mergeCell ref="BN275:BO275"/>
    <mergeCell ref="BN268:BO268"/>
    <mergeCell ref="BL269:BM269"/>
    <mergeCell ref="BN269:BO269"/>
    <mergeCell ref="BN265:BO265"/>
    <mergeCell ref="BR265:BR266"/>
    <mergeCell ref="BX266:BY266"/>
    <mergeCell ref="BQ263:BQ266"/>
    <mergeCell ref="BI263:BM263"/>
    <mergeCell ref="CV277:CW277"/>
    <mergeCell ref="CC281:CD283"/>
    <mergeCell ref="BN282:BO282"/>
    <mergeCell ref="BZ267:CA267"/>
    <mergeCell ref="BZ269:CA269"/>
    <mergeCell ref="BZ271:CA271"/>
    <mergeCell ref="BZ275:CA275"/>
    <mergeCell ref="BQ277:BR279"/>
    <mergeCell ref="BI282:BK285"/>
    <mergeCell ref="BJ272:BK275"/>
    <mergeCell ref="BL272:BM272"/>
    <mergeCell ref="CL285:CM285"/>
    <mergeCell ref="BX285:BY285"/>
    <mergeCell ref="CL270:CM270"/>
    <mergeCell ref="CJ280:CK280"/>
    <mergeCell ref="BL280:BM280"/>
    <mergeCell ref="CT279:CU280"/>
    <mergeCell ref="CT276:CU278"/>
    <mergeCell ref="BZ274:CA274"/>
    <mergeCell ref="BZ264:CA264"/>
    <mergeCell ref="CH270:CI271"/>
    <mergeCell ref="CG267:CG281"/>
    <mergeCell ref="CV275:CW275"/>
    <mergeCell ref="BX273:BY273"/>
    <mergeCell ref="BZ270:CA270"/>
    <mergeCell ref="BX282:BY282"/>
    <mergeCell ref="CS267:CS281"/>
    <mergeCell ref="CQ281:CQ283"/>
    <mergeCell ref="CJ266:CK266"/>
    <mergeCell ref="CH279:CI280"/>
    <mergeCell ref="CQ269:CQ270"/>
    <mergeCell ref="CX276:CY276"/>
    <mergeCell ref="CP263:CP264"/>
    <mergeCell ref="CL266:CM266"/>
    <mergeCell ref="CH281:CK281"/>
    <mergeCell ref="BV270:BW271"/>
    <mergeCell ref="BX278:BY278"/>
    <mergeCell ref="BZ278:CA278"/>
    <mergeCell ref="CJ278:CK278"/>
    <mergeCell ref="BZ272:CA272"/>
    <mergeCell ref="BZ273:CA273"/>
    <mergeCell ref="BN280:BO280"/>
    <mergeCell ref="CJ275:CK275"/>
    <mergeCell ref="BS267:BS268"/>
    <mergeCell ref="BN270:BO270"/>
    <mergeCell ref="DA281:DB283"/>
    <mergeCell ref="DC281:DC283"/>
    <mergeCell ref="CQ284:CQ286"/>
    <mergeCell ref="CL284:CM284"/>
    <mergeCell ref="CJ285:CK285"/>
    <mergeCell ref="DH279:DI279"/>
    <mergeCell ref="CS263:CW263"/>
    <mergeCell ref="CT267:CU269"/>
    <mergeCell ref="CX268:CY268"/>
    <mergeCell ref="CJ272:CK272"/>
    <mergeCell ref="CJ276:CK276"/>
    <mergeCell ref="DA263:DA266"/>
    <mergeCell ref="CV264:CW264"/>
    <mergeCell ref="DA267:DA270"/>
    <mergeCell ref="DH277:DI277"/>
    <mergeCell ref="CV284:CW284"/>
    <mergeCell ref="CQ277:CQ279"/>
    <mergeCell ref="DH275:DI275"/>
    <mergeCell ref="DE286:DE287"/>
    <mergeCell ref="DH274:DI274"/>
    <mergeCell ref="DF276:DG278"/>
    <mergeCell ref="DE267:DE281"/>
    <mergeCell ref="BU282:BW285"/>
    <mergeCell ref="BZ284:CA284"/>
    <mergeCell ref="CX285:CY285"/>
    <mergeCell ref="BX265:BY265"/>
    <mergeCell ref="DH266:DI266"/>
    <mergeCell ref="CQ263:CQ264"/>
    <mergeCell ref="CG264:CI266"/>
    <mergeCell ref="ET284:EU284"/>
    <mergeCell ref="DJ280:DK280"/>
    <mergeCell ref="CX266:CY266"/>
    <mergeCell ref="CO267:CO270"/>
    <mergeCell ref="DF267:DG269"/>
    <mergeCell ref="CX281:CY281"/>
    <mergeCell ref="DB265:DB266"/>
    <mergeCell ref="CX271:CY271"/>
    <mergeCell ref="CX274:CY274"/>
    <mergeCell ref="CX280:CY280"/>
    <mergeCell ref="DJ264:DK264"/>
    <mergeCell ref="DH265:DI265"/>
    <mergeCell ref="DA284:DB286"/>
    <mergeCell ref="DF281:DI281"/>
    <mergeCell ref="DH282:DI282"/>
    <mergeCell ref="DJ282:DK282"/>
    <mergeCell ref="DO269:DO270"/>
    <mergeCell ref="EO264:EQ266"/>
    <mergeCell ref="DH276:DI276"/>
    <mergeCell ref="DJ263:DK263"/>
    <mergeCell ref="EL267:EL268"/>
    <mergeCell ref="ER264:ES264"/>
    <mergeCell ref="BX277:BY277"/>
    <mergeCell ref="CL278:CM278"/>
    <mergeCell ref="CL279:CM279"/>
    <mergeCell ref="CE281:CE283"/>
    <mergeCell ref="CQ267:CQ268"/>
    <mergeCell ref="BZ268:CA268"/>
    <mergeCell ref="CP269:CP270"/>
    <mergeCell ref="CJ277:CK277"/>
    <mergeCell ref="DH273:DI273"/>
    <mergeCell ref="DH278:DI278"/>
    <mergeCell ref="CS282:CU285"/>
    <mergeCell ref="CV282:CW282"/>
    <mergeCell ref="BZ266:CA266"/>
    <mergeCell ref="EW263:EW266"/>
    <mergeCell ref="EO263:ES263"/>
    <mergeCell ref="EM263:EM264"/>
    <mergeCell ref="DC263:DC264"/>
    <mergeCell ref="CX265:CY265"/>
    <mergeCell ref="CX263:CY263"/>
    <mergeCell ref="CQ265:CQ266"/>
    <mergeCell ref="CG263:CK263"/>
    <mergeCell ref="CL263:CM263"/>
    <mergeCell ref="EH264:EI264"/>
    <mergeCell ref="CD267:CD268"/>
    <mergeCell ref="DO263:DO264"/>
    <mergeCell ref="DQ263:DU263"/>
    <mergeCell ref="DV263:DW263"/>
    <mergeCell ref="CX267:CY267"/>
    <mergeCell ref="CV268:CW268"/>
    <mergeCell ref="CV266:CW266"/>
    <mergeCell ref="CX264:CY264"/>
    <mergeCell ref="DO265:DO266"/>
    <mergeCell ref="DT265:DU265"/>
    <mergeCell ref="DV265:DW265"/>
    <mergeCell ref="CC267:CC270"/>
    <mergeCell ref="CJ267:CK267"/>
    <mergeCell ref="CJ268:CK268"/>
    <mergeCell ref="CJ269:CK269"/>
    <mergeCell ref="CJ270:CK270"/>
    <mergeCell ref="CE269:CE270"/>
    <mergeCell ref="DQ267:DQ281"/>
    <mergeCell ref="CE263:CE264"/>
    <mergeCell ref="DV273:DW273"/>
    <mergeCell ref="EL263:EL264"/>
    <mergeCell ref="DJ266:DK266"/>
    <mergeCell ref="ET266:EU266"/>
    <mergeCell ref="ET263:EU263"/>
    <mergeCell ref="ER265:ES265"/>
    <mergeCell ref="ER266:ES266"/>
    <mergeCell ref="DZ263:DZ264"/>
    <mergeCell ref="EK263:EK266"/>
    <mergeCell ref="DJ268:DK268"/>
    <mergeCell ref="DN263:DN264"/>
    <mergeCell ref="DT279:DU279"/>
    <mergeCell ref="DT274:DU274"/>
    <mergeCell ref="DO281:DO283"/>
    <mergeCell ref="DJ277:DK277"/>
    <mergeCell ref="DM281:DN283"/>
    <mergeCell ref="DH269:DI269"/>
    <mergeCell ref="CJ274:CK274"/>
    <mergeCell ref="DF272:DG275"/>
    <mergeCell ref="DF270:DG271"/>
    <mergeCell ref="CV269:CW269"/>
    <mergeCell ref="CJ279:CK279"/>
    <mergeCell ref="CV283:CW283"/>
    <mergeCell ref="DE282:DG285"/>
    <mergeCell ref="DE263:DI263"/>
    <mergeCell ref="CJ264:CK264"/>
    <mergeCell ref="DB269:DB270"/>
    <mergeCell ref="DH268:DI268"/>
    <mergeCell ref="CL272:CM272"/>
    <mergeCell ref="CJ273:CK273"/>
    <mergeCell ref="CL273:CM273"/>
    <mergeCell ref="CE265:CE266"/>
    <mergeCell ref="CH276:CI278"/>
    <mergeCell ref="CP265:CP266"/>
    <mergeCell ref="DH283:DI283"/>
    <mergeCell ref="D264:E264"/>
    <mergeCell ref="J263:J264"/>
    <mergeCell ref="F266:G266"/>
    <mergeCell ref="M263:Q263"/>
    <mergeCell ref="AA262:AC262"/>
    <mergeCell ref="F264:G264"/>
    <mergeCell ref="AT265:AT266"/>
    <mergeCell ref="AD264:AE264"/>
    <mergeCell ref="AD266:AE266"/>
    <mergeCell ref="AU251:AU253"/>
    <mergeCell ref="R259:S259"/>
    <mergeCell ref="AB259:AC259"/>
    <mergeCell ref="Y260:Y261"/>
    <mergeCell ref="D256:E256"/>
    <mergeCell ref="F257:G257"/>
    <mergeCell ref="D257:E257"/>
    <mergeCell ref="W263:W264"/>
    <mergeCell ref="AD263:AE263"/>
    <mergeCell ref="AG258:AH260"/>
    <mergeCell ref="D258:E258"/>
    <mergeCell ref="D265:E265"/>
    <mergeCell ref="C262:E262"/>
    <mergeCell ref="H262:I262"/>
    <mergeCell ref="T262:U262"/>
    <mergeCell ref="F259:G259"/>
    <mergeCell ref="P259:Q259"/>
    <mergeCell ref="O262:Q262"/>
    <mergeCell ref="A256:C259"/>
    <mergeCell ref="D251:E251"/>
    <mergeCell ref="B255:E255"/>
    <mergeCell ref="A260:A261"/>
    <mergeCell ref="D259:E259"/>
    <mergeCell ref="M264:O266"/>
    <mergeCell ref="AB264:AC264"/>
    <mergeCell ref="P266:Q266"/>
    <mergeCell ref="P264:Q264"/>
    <mergeCell ref="M260:M261"/>
    <mergeCell ref="V265:V266"/>
    <mergeCell ref="V263:V264"/>
    <mergeCell ref="F258:G258"/>
    <mergeCell ref="I258:J260"/>
    <mergeCell ref="P258:Q258"/>
    <mergeCell ref="K258:K260"/>
    <mergeCell ref="N255:Q255"/>
    <mergeCell ref="CE255:CE257"/>
    <mergeCell ref="BU256:BW259"/>
    <mergeCell ref="BS241:BS242"/>
    <mergeCell ref="BL244:BM244"/>
    <mergeCell ref="DA277:DB279"/>
    <mergeCell ref="CX277:CY277"/>
    <mergeCell ref="BX280:BY280"/>
    <mergeCell ref="CV273:CW273"/>
    <mergeCell ref="BL275:BM275"/>
    <mergeCell ref="CL274:CM274"/>
    <mergeCell ref="BV276:BW278"/>
    <mergeCell ref="CV280:CW280"/>
    <mergeCell ref="BL268:BM268"/>
    <mergeCell ref="CS264:CU266"/>
    <mergeCell ref="CQ271:CQ273"/>
    <mergeCell ref="CV267:CW267"/>
    <mergeCell ref="CJ265:CK265"/>
    <mergeCell ref="DA271:DB273"/>
    <mergeCell ref="BN256:BO256"/>
    <mergeCell ref="BL253:BM253"/>
    <mergeCell ref="BN257:BO257"/>
    <mergeCell ref="BI256:BK259"/>
    <mergeCell ref="R266:S266"/>
    <mergeCell ref="AU265:AU266"/>
    <mergeCell ref="P265:Q265"/>
    <mergeCell ref="BX268:BY268"/>
    <mergeCell ref="BL270:BM270"/>
    <mergeCell ref="BS277:BS279"/>
    <mergeCell ref="BB268:BC268"/>
    <mergeCell ref="AD279:AE279"/>
    <mergeCell ref="AL270:AM271"/>
    <mergeCell ref="V269:V270"/>
    <mergeCell ref="AH267:AH268"/>
    <mergeCell ref="CL269:CM269"/>
    <mergeCell ref="CO263:CO266"/>
    <mergeCell ref="CT272:CU275"/>
    <mergeCell ref="CV272:CW272"/>
    <mergeCell ref="CP267:CP268"/>
    <mergeCell ref="CX269:CY269"/>
    <mergeCell ref="CD263:CD264"/>
    <mergeCell ref="BN273:BO273"/>
    <mergeCell ref="BL276:BM276"/>
    <mergeCell ref="BZ263:CA263"/>
    <mergeCell ref="BZ265:CA265"/>
    <mergeCell ref="Z276:AA278"/>
    <mergeCell ref="AB277:AC277"/>
    <mergeCell ref="Z279:AA280"/>
    <mergeCell ref="AB274:AC274"/>
    <mergeCell ref="AB271:AC271"/>
    <mergeCell ref="AD278:AE278"/>
    <mergeCell ref="AB278:AC278"/>
    <mergeCell ref="AN279:AO279"/>
    <mergeCell ref="CE267:CE268"/>
    <mergeCell ref="CT253:CU254"/>
    <mergeCell ref="CQ243:CQ244"/>
    <mergeCell ref="CL257:CM257"/>
    <mergeCell ref="CQ258:CQ260"/>
    <mergeCell ref="BB255:BC255"/>
    <mergeCell ref="CV265:CW265"/>
    <mergeCell ref="CX275:CY275"/>
    <mergeCell ref="CX272:CY272"/>
    <mergeCell ref="CX273:CY273"/>
    <mergeCell ref="CL275:CM275"/>
    <mergeCell ref="BG271:BG273"/>
    <mergeCell ref="DH248:DI248"/>
    <mergeCell ref="CZ262:DA262"/>
    <mergeCell ref="CX259:CY259"/>
    <mergeCell ref="CJ258:CK258"/>
    <mergeCell ref="CL251:CM251"/>
    <mergeCell ref="BU260:BU261"/>
    <mergeCell ref="CD243:CD244"/>
    <mergeCell ref="CE243:CE244"/>
    <mergeCell ref="BN248:BO248"/>
    <mergeCell ref="BN244:BO244"/>
    <mergeCell ref="BL245:BM245"/>
    <mergeCell ref="BR243:BR244"/>
    <mergeCell ref="BX259:BY259"/>
    <mergeCell ref="DH258:DI258"/>
    <mergeCell ref="CL244:CM244"/>
    <mergeCell ref="A263:E263"/>
    <mergeCell ref="AD257:AE257"/>
    <mergeCell ref="R264:S264"/>
    <mergeCell ref="AM262:AO262"/>
    <mergeCell ref="BN263:BO263"/>
    <mergeCell ref="A264:C266"/>
    <mergeCell ref="AN266:AO266"/>
    <mergeCell ref="AN265:AO265"/>
    <mergeCell ref="BN264:BO264"/>
    <mergeCell ref="BN266:BO266"/>
    <mergeCell ref="BG265:BG266"/>
    <mergeCell ref="AK263:AO263"/>
    <mergeCell ref="R258:S258"/>
    <mergeCell ref="AI265:AI266"/>
    <mergeCell ref="AN264:AO264"/>
    <mergeCell ref="W265:W266"/>
    <mergeCell ref="AH265:AH266"/>
    <mergeCell ref="AK264:AM266"/>
    <mergeCell ref="AS263:AS266"/>
    <mergeCell ref="AT263:AT264"/>
    <mergeCell ref="AU263:AU264"/>
    <mergeCell ref="AB266:AC266"/>
    <mergeCell ref="BW262:BY262"/>
    <mergeCell ref="BB263:BC263"/>
    <mergeCell ref="Y263:AC263"/>
    <mergeCell ref="K263:K264"/>
    <mergeCell ref="BF265:BF266"/>
    <mergeCell ref="AP263:AQ263"/>
    <mergeCell ref="U263:U266"/>
    <mergeCell ref="BF263:BF264"/>
    <mergeCell ref="BL266:BM266"/>
    <mergeCell ref="AG263:AG266"/>
    <mergeCell ref="AH263:AH264"/>
    <mergeCell ref="AR262:AS262"/>
    <mergeCell ref="F263:G263"/>
    <mergeCell ref="I263:I266"/>
    <mergeCell ref="AB265:AC265"/>
    <mergeCell ref="R265:S265"/>
    <mergeCell ref="F265:G265"/>
    <mergeCell ref="J265:J266"/>
    <mergeCell ref="K265:K266"/>
    <mergeCell ref="D266:E266"/>
    <mergeCell ref="R263:S263"/>
    <mergeCell ref="AZ264:BA264"/>
    <mergeCell ref="BP262:BQ262"/>
    <mergeCell ref="CJ253:CK253"/>
    <mergeCell ref="CX255:CY255"/>
    <mergeCell ref="CJ257:CK257"/>
    <mergeCell ref="BL256:BM256"/>
    <mergeCell ref="DC267:DC268"/>
    <mergeCell ref="CL271:CM271"/>
    <mergeCell ref="CQ274:CQ276"/>
    <mergeCell ref="AN269:AO269"/>
    <mergeCell ref="AN270:AO270"/>
    <mergeCell ref="CC263:CC266"/>
    <mergeCell ref="CL265:CM265"/>
    <mergeCell ref="CV270:CW270"/>
    <mergeCell ref="CX270:CY270"/>
    <mergeCell ref="CL276:CM276"/>
    <mergeCell ref="CV274:CW274"/>
    <mergeCell ref="CT270:CU271"/>
    <mergeCell ref="BG274:BG276"/>
    <mergeCell ref="AZ273:BA273"/>
    <mergeCell ref="BZ276:CA276"/>
    <mergeCell ref="DA274:DB276"/>
    <mergeCell ref="DC274:DC276"/>
    <mergeCell ref="DT275:DU275"/>
    <mergeCell ref="DT276:DU276"/>
    <mergeCell ref="BI264:BK266"/>
    <mergeCell ref="CX278:CY278"/>
    <mergeCell ref="CO274:CP276"/>
    <mergeCell ref="BX271:BY271"/>
    <mergeCell ref="DC258:DC260"/>
    <mergeCell ref="DC271:DC273"/>
    <mergeCell ref="AP258:AQ258"/>
    <mergeCell ref="DR272:DS275"/>
    <mergeCell ref="DB267:DB268"/>
    <mergeCell ref="CV271:CW271"/>
    <mergeCell ref="CV276:CW276"/>
    <mergeCell ref="CJ271:CK271"/>
    <mergeCell ref="CE271:CE273"/>
    <mergeCell ref="CE274:CE276"/>
    <mergeCell ref="DB263:DB264"/>
    <mergeCell ref="DM277:DN279"/>
    <mergeCell ref="DO271:DO273"/>
    <mergeCell ref="DH272:DI272"/>
    <mergeCell ref="DJ279:DK279"/>
    <mergeCell ref="DJ278:DK278"/>
    <mergeCell ref="DJ269:DK269"/>
    <mergeCell ref="DJ272:DK272"/>
    <mergeCell ref="DJ275:DK275"/>
    <mergeCell ref="DM267:DM270"/>
    <mergeCell ref="DJ271:DK271"/>
    <mergeCell ref="BV272:BW275"/>
    <mergeCell ref="BU264:BW266"/>
    <mergeCell ref="BX264:BY264"/>
    <mergeCell ref="DG262:DI262"/>
    <mergeCell ref="CU262:CW262"/>
    <mergeCell ref="CJ259:CK259"/>
    <mergeCell ref="DA258:DB260"/>
    <mergeCell ref="CL259:CM259"/>
    <mergeCell ref="DC277:DC279"/>
    <mergeCell ref="DE264:DG266"/>
    <mergeCell ref="DC269:DC270"/>
    <mergeCell ref="CB262:CC262"/>
    <mergeCell ref="CV258:CW258"/>
    <mergeCell ref="BZ259:CA259"/>
    <mergeCell ref="BB258:BC258"/>
    <mergeCell ref="DJ258:DK258"/>
    <mergeCell ref="AP264:AQ264"/>
    <mergeCell ref="AZ265:BA265"/>
    <mergeCell ref="BL264:BM264"/>
    <mergeCell ref="BI260:BI261"/>
    <mergeCell ref="BN241:BO241"/>
    <mergeCell ref="AN245:AO245"/>
    <mergeCell ref="U258:V260"/>
    <mergeCell ref="AB256:AC256"/>
    <mergeCell ref="R255:S255"/>
    <mergeCell ref="R253:S253"/>
    <mergeCell ref="AD254:AE254"/>
    <mergeCell ref="AG241:AG244"/>
    <mergeCell ref="R243:S243"/>
    <mergeCell ref="R257:S257"/>
    <mergeCell ref="R246:S246"/>
    <mergeCell ref="AG248:AH250"/>
    <mergeCell ref="AI248:AI250"/>
    <mergeCell ref="U245:V247"/>
    <mergeCell ref="W245:W247"/>
    <mergeCell ref="Y241:Y255"/>
    <mergeCell ref="Z241:AA243"/>
    <mergeCell ref="AB254:AC254"/>
    <mergeCell ref="AD242:AE242"/>
    <mergeCell ref="AD241:AE241"/>
    <mergeCell ref="BB251:BC251"/>
    <mergeCell ref="BZ246:CA246"/>
    <mergeCell ref="BB244:BC244"/>
    <mergeCell ref="AL250:AM252"/>
    <mergeCell ref="AL253:AM254"/>
    <mergeCell ref="R251:S251"/>
    <mergeCell ref="R247:S247"/>
    <mergeCell ref="W248:W250"/>
    <mergeCell ref="AP250:AQ250"/>
    <mergeCell ref="R248:S248"/>
    <mergeCell ref="U248:V250"/>
    <mergeCell ref="AZ249:BA249"/>
    <mergeCell ref="BG245:BG247"/>
    <mergeCell ref="BG248:BG250"/>
    <mergeCell ref="BG243:BG244"/>
    <mergeCell ref="AX255:BA255"/>
    <mergeCell ref="AP255:AQ255"/>
    <mergeCell ref="AN259:AO259"/>
    <mergeCell ref="BX248:BY248"/>
    <mergeCell ref="BZ248:CA248"/>
    <mergeCell ref="BQ241:BQ244"/>
    <mergeCell ref="BL242:BM242"/>
    <mergeCell ref="BZ244:CA244"/>
    <mergeCell ref="BU241:BU255"/>
    <mergeCell ref="BG251:BG253"/>
    <mergeCell ref="BB247:BC247"/>
    <mergeCell ref="BB245:BC245"/>
    <mergeCell ref="BN252:BO252"/>
    <mergeCell ref="BZ256:CA256"/>
    <mergeCell ref="CX252:CY252"/>
    <mergeCell ref="CH250:CI252"/>
    <mergeCell ref="BZ242:CA242"/>
    <mergeCell ref="BS248:BS250"/>
    <mergeCell ref="BB246:BC246"/>
    <mergeCell ref="AH241:AH242"/>
    <mergeCell ref="BG258:BG260"/>
    <mergeCell ref="AW260:AW261"/>
    <mergeCell ref="AP259:AQ259"/>
    <mergeCell ref="W258:W260"/>
    <mergeCell ref="AI258:AI260"/>
    <mergeCell ref="AF262:AG262"/>
    <mergeCell ref="CV256:CW256"/>
    <mergeCell ref="B241:C243"/>
    <mergeCell ref="W255:W257"/>
    <mergeCell ref="U255:V257"/>
    <mergeCell ref="BB250:BC250"/>
    <mergeCell ref="F241:G241"/>
    <mergeCell ref="R242:S242"/>
    <mergeCell ref="D242:E242"/>
    <mergeCell ref="F242:G242"/>
    <mergeCell ref="A241:A255"/>
    <mergeCell ref="V243:V244"/>
    <mergeCell ref="W243:W244"/>
    <mergeCell ref="W251:W253"/>
    <mergeCell ref="D246:E246"/>
    <mergeCell ref="F246:G246"/>
    <mergeCell ref="F256:G256"/>
    <mergeCell ref="M256:O259"/>
    <mergeCell ref="F251:G251"/>
    <mergeCell ref="D249:E249"/>
    <mergeCell ref="F249:G249"/>
    <mergeCell ref="K248:K250"/>
    <mergeCell ref="BB254:BC254"/>
    <mergeCell ref="F248:G248"/>
    <mergeCell ref="F254:G254"/>
    <mergeCell ref="B250:C252"/>
    <mergeCell ref="B246:C249"/>
    <mergeCell ref="I251:J253"/>
    <mergeCell ref="K251:K253"/>
    <mergeCell ref="P251:Q251"/>
    <mergeCell ref="P246:Q246"/>
    <mergeCell ref="V241:V242"/>
    <mergeCell ref="W241:W242"/>
    <mergeCell ref="B244:C245"/>
    <mergeCell ref="P248:Q248"/>
    <mergeCell ref="P257:Q257"/>
    <mergeCell ref="AK256:AM259"/>
    <mergeCell ref="AN256:AO256"/>
    <mergeCell ref="R245:S245"/>
    <mergeCell ref="AP243:AQ243"/>
    <mergeCell ref="R256:S256"/>
    <mergeCell ref="AB257:AC257"/>
    <mergeCell ref="B253:C254"/>
    <mergeCell ref="AL244:AM245"/>
    <mergeCell ref="AL246:AM249"/>
    <mergeCell ref="CH253:CI254"/>
    <mergeCell ref="BZ255:CA255"/>
    <mergeCell ref="BS243:BS244"/>
    <mergeCell ref="R241:S241"/>
    <mergeCell ref="BB253:BC253"/>
    <mergeCell ref="Z255:AC255"/>
    <mergeCell ref="BX249:BY249"/>
    <mergeCell ref="BQ248:BR250"/>
    <mergeCell ref="P243:Q243"/>
    <mergeCell ref="AN247:AO247"/>
    <mergeCell ref="AG251:AH253"/>
    <mergeCell ref="AU258:AU260"/>
    <mergeCell ref="AD259:AE259"/>
    <mergeCell ref="BB257:BC257"/>
    <mergeCell ref="BB249:BC249"/>
    <mergeCell ref="BB242:BC242"/>
    <mergeCell ref="F250:G250"/>
    <mergeCell ref="AB242:AC242"/>
    <mergeCell ref="AZ250:BA250"/>
    <mergeCell ref="AL241:AM243"/>
    <mergeCell ref="AP256:AQ256"/>
    <mergeCell ref="N244:O245"/>
    <mergeCell ref="I237:I240"/>
    <mergeCell ref="AN241:AO241"/>
    <mergeCell ref="AS248:AT250"/>
    <mergeCell ref="AB258:AC258"/>
    <mergeCell ref="AT237:AT238"/>
    <mergeCell ref="AU237:AU238"/>
    <mergeCell ref="AW238:AY240"/>
    <mergeCell ref="R238:S238"/>
    <mergeCell ref="AB239:AC239"/>
    <mergeCell ref="I255:J257"/>
    <mergeCell ref="K255:K257"/>
    <mergeCell ref="I245:J247"/>
    <mergeCell ref="K245:K247"/>
    <mergeCell ref="D248:E248"/>
    <mergeCell ref="D250:E250"/>
    <mergeCell ref="D254:E254"/>
    <mergeCell ref="I248:J250"/>
    <mergeCell ref="AX244:AY245"/>
    <mergeCell ref="AB250:AC250"/>
    <mergeCell ref="R237:S237"/>
    <mergeCell ref="AP249:AQ249"/>
    <mergeCell ref="P238:Q238"/>
    <mergeCell ref="Y237:AC237"/>
    <mergeCell ref="AD237:AE237"/>
    <mergeCell ref="AP254:AQ254"/>
    <mergeCell ref="AD243:AE243"/>
    <mergeCell ref="AB245:AC245"/>
    <mergeCell ref="AD245:AE245"/>
    <mergeCell ref="N250:O252"/>
    <mergeCell ref="R250:S250"/>
    <mergeCell ref="AN251:AO251"/>
    <mergeCell ref="N253:O254"/>
    <mergeCell ref="AD240:AE240"/>
    <mergeCell ref="AD239:AE239"/>
    <mergeCell ref="U241:U244"/>
    <mergeCell ref="AZ256:BA256"/>
    <mergeCell ref="AZ244:BA244"/>
    <mergeCell ref="AZ242:BA242"/>
    <mergeCell ref="N246:O249"/>
    <mergeCell ref="P244:Q244"/>
    <mergeCell ref="P254:Q254"/>
    <mergeCell ref="P253:Q253"/>
    <mergeCell ref="K241:K242"/>
    <mergeCell ref="M241:M255"/>
    <mergeCell ref="I241:I244"/>
    <mergeCell ref="J243:J244"/>
    <mergeCell ref="K243:K244"/>
    <mergeCell ref="AD251:AE251"/>
    <mergeCell ref="Z246:AA249"/>
    <mergeCell ref="AZ251:BA251"/>
    <mergeCell ref="P242:Q242"/>
    <mergeCell ref="AB248:AC248"/>
    <mergeCell ref="AD248:AE248"/>
    <mergeCell ref="AD244:AE244"/>
    <mergeCell ref="AB244:AC244"/>
    <mergeCell ref="AB251:AC251"/>
    <mergeCell ref="Z253:AA254"/>
    <mergeCell ref="AI245:AI247"/>
    <mergeCell ref="P249:Q249"/>
    <mergeCell ref="AN250:AO250"/>
    <mergeCell ref="AN252:AO252"/>
    <mergeCell ref="AN253:AO253"/>
    <mergeCell ref="AP252:AQ252"/>
    <mergeCell ref="BN245:BO245"/>
    <mergeCell ref="BJ253:BK254"/>
    <mergeCell ref="AD246:AE246"/>
    <mergeCell ref="CH244:CI245"/>
    <mergeCell ref="CL241:CM241"/>
    <mergeCell ref="CJ250:CK250"/>
    <mergeCell ref="CV252:CW252"/>
    <mergeCell ref="A238:C240"/>
    <mergeCell ref="D238:E238"/>
    <mergeCell ref="F238:G238"/>
    <mergeCell ref="M238:O240"/>
    <mergeCell ref="J241:J242"/>
    <mergeCell ref="F252:G252"/>
    <mergeCell ref="BB243:BC243"/>
    <mergeCell ref="BB239:BC239"/>
    <mergeCell ref="F253:G253"/>
    <mergeCell ref="AG245:AH247"/>
    <mergeCell ref="AH237:AH238"/>
    <mergeCell ref="A237:E237"/>
    <mergeCell ref="F237:G237"/>
    <mergeCell ref="AH239:AH240"/>
    <mergeCell ref="R249:S249"/>
    <mergeCell ref="AK241:AK255"/>
    <mergeCell ref="P250:Q250"/>
    <mergeCell ref="AG255:AH257"/>
    <mergeCell ref="Y256:AA259"/>
    <mergeCell ref="J239:J240"/>
    <mergeCell ref="K239:K240"/>
    <mergeCell ref="V237:V238"/>
    <mergeCell ref="W237:W238"/>
    <mergeCell ref="AG237:AG240"/>
    <mergeCell ref="AN258:AO258"/>
    <mergeCell ref="F239:G239"/>
    <mergeCell ref="D239:E239"/>
    <mergeCell ref="F243:G243"/>
    <mergeCell ref="F247:G247"/>
    <mergeCell ref="AP247:AQ247"/>
    <mergeCell ref="AP257:AQ257"/>
    <mergeCell ref="D241:E241"/>
    <mergeCell ref="D243:E243"/>
    <mergeCell ref="D247:E247"/>
    <mergeCell ref="D252:E252"/>
    <mergeCell ref="D253:E253"/>
    <mergeCell ref="P241:Q241"/>
    <mergeCell ref="D245:E245"/>
    <mergeCell ref="Z244:AA245"/>
    <mergeCell ref="R254:S254"/>
    <mergeCell ref="CL258:CM258"/>
    <mergeCell ref="F245:G245"/>
    <mergeCell ref="F255:G255"/>
    <mergeCell ref="AB246:AC246"/>
    <mergeCell ref="D240:E240"/>
    <mergeCell ref="F240:G240"/>
    <mergeCell ref="P256:Q256"/>
    <mergeCell ref="AU243:AU244"/>
    <mergeCell ref="AP241:AQ241"/>
    <mergeCell ref="AP242:AQ242"/>
    <mergeCell ref="AP244:AQ244"/>
    <mergeCell ref="AD255:AE255"/>
    <mergeCell ref="P245:Q245"/>
    <mergeCell ref="CC237:CC240"/>
    <mergeCell ref="BG237:BG238"/>
    <mergeCell ref="DJ237:DK237"/>
    <mergeCell ref="DE260:DE261"/>
    <mergeCell ref="DH259:DI259"/>
    <mergeCell ref="CH255:CK255"/>
    <mergeCell ref="BZ241:CA241"/>
    <mergeCell ref="CO251:CP253"/>
    <mergeCell ref="BZ252:CA252"/>
    <mergeCell ref="CJ252:CK252"/>
    <mergeCell ref="AZ252:BA252"/>
    <mergeCell ref="AN242:AO242"/>
    <mergeCell ref="D244:E244"/>
    <mergeCell ref="F244:G244"/>
    <mergeCell ref="CL240:CM240"/>
    <mergeCell ref="CV240:CW240"/>
    <mergeCell ref="DB239:DB240"/>
    <mergeCell ref="CD237:CD238"/>
    <mergeCell ref="CE237:CE238"/>
    <mergeCell ref="AS258:AT260"/>
    <mergeCell ref="AT239:AT240"/>
    <mergeCell ref="AU239:AU240"/>
    <mergeCell ref="AI251:AI253"/>
    <mergeCell ref="AD258:AE258"/>
    <mergeCell ref="AD253:AE253"/>
    <mergeCell ref="AD256:AE256"/>
    <mergeCell ref="BQ255:BR257"/>
    <mergeCell ref="BG255:BG257"/>
    <mergeCell ref="DJ257:DK257"/>
    <mergeCell ref="DJ242:DK242"/>
    <mergeCell ref="CL245:CM245"/>
    <mergeCell ref="DA241:DA244"/>
    <mergeCell ref="DJ248:DK248"/>
    <mergeCell ref="CX243:CY243"/>
    <mergeCell ref="BX245:BY245"/>
    <mergeCell ref="BB252:BC252"/>
    <mergeCell ref="BL241:BM241"/>
    <mergeCell ref="BX250:BY250"/>
    <mergeCell ref="DH244:DI244"/>
    <mergeCell ref="CV245:CW245"/>
    <mergeCell ref="CG237:CK237"/>
    <mergeCell ref="CL237:CM237"/>
    <mergeCell ref="BN237:BO237"/>
    <mergeCell ref="BQ237:BQ240"/>
    <mergeCell ref="CS237:CW237"/>
    <mergeCell ref="CS238:CU240"/>
    <mergeCell ref="AI243:AI244"/>
    <mergeCell ref="CV239:CW239"/>
    <mergeCell ref="AZ238:BA238"/>
    <mergeCell ref="BR239:BR240"/>
    <mergeCell ref="BS237:BS238"/>
    <mergeCell ref="BR237:BR238"/>
    <mergeCell ref="BX238:BY238"/>
    <mergeCell ref="N241:O243"/>
    <mergeCell ref="AB243:AC243"/>
    <mergeCell ref="CE248:CE250"/>
    <mergeCell ref="BV250:BW252"/>
    <mergeCell ref="DB237:DB238"/>
    <mergeCell ref="CX244:CY244"/>
    <mergeCell ref="DO243:DO244"/>
    <mergeCell ref="BX242:BY242"/>
    <mergeCell ref="DO248:DO250"/>
    <mergeCell ref="BI237:BM237"/>
    <mergeCell ref="DC237:DC238"/>
    <mergeCell ref="CD241:CD242"/>
    <mergeCell ref="CE241:CE242"/>
    <mergeCell ref="CT250:CU252"/>
    <mergeCell ref="CL252:CM252"/>
    <mergeCell ref="CX246:CY246"/>
    <mergeCell ref="DH242:DI242"/>
    <mergeCell ref="CV243:CW243"/>
    <mergeCell ref="BN246:BO246"/>
    <mergeCell ref="CJ240:CK240"/>
    <mergeCell ref="CO241:CO244"/>
    <mergeCell ref="BJ250:BK252"/>
    <mergeCell ref="BN242:BO242"/>
    <mergeCell ref="CL254:CM254"/>
    <mergeCell ref="BL247:BM247"/>
    <mergeCell ref="BN247:BO247"/>
    <mergeCell ref="CE251:CE253"/>
    <mergeCell ref="BV253:BW254"/>
    <mergeCell ref="BI241:BI255"/>
    <mergeCell ref="DH252:DI252"/>
    <mergeCell ref="DO255:DO257"/>
    <mergeCell ref="CX254:CY254"/>
    <mergeCell ref="DO245:DO247"/>
    <mergeCell ref="DJ244:DK244"/>
    <mergeCell ref="CC241:CC244"/>
    <mergeCell ref="BL250:BM250"/>
    <mergeCell ref="DN243:DN244"/>
    <mergeCell ref="CJ254:CK254"/>
    <mergeCell ref="DJ256:DK256"/>
    <mergeCell ref="BJ241:BK243"/>
    <mergeCell ref="DJ255:DK255"/>
    <mergeCell ref="DC248:DC250"/>
    <mergeCell ref="DO241:DO242"/>
    <mergeCell ref="CT241:CU243"/>
    <mergeCell ref="CV249:CW249"/>
    <mergeCell ref="DC241:DC242"/>
    <mergeCell ref="DA251:DB253"/>
    <mergeCell ref="DM255:DN257"/>
    <mergeCell ref="CV246:CW246"/>
    <mergeCell ref="BS245:BS247"/>
    <mergeCell ref="CX253:CY253"/>
    <mergeCell ref="BX247:BY247"/>
    <mergeCell ref="BX240:BY240"/>
    <mergeCell ref="BX243:BY243"/>
    <mergeCell ref="CL242:CM242"/>
    <mergeCell ref="CL243:CM243"/>
    <mergeCell ref="CO245:CP247"/>
    <mergeCell ref="CQ245:CQ247"/>
    <mergeCell ref="CO248:CP250"/>
    <mergeCell ref="CL256:CM256"/>
    <mergeCell ref="CE245:CE247"/>
    <mergeCell ref="CL248:CM248"/>
    <mergeCell ref="CL246:CM246"/>
    <mergeCell ref="CJ242:CK242"/>
    <mergeCell ref="CL249:CM249"/>
    <mergeCell ref="CJ244:CK244"/>
    <mergeCell ref="DJ252:DK252"/>
    <mergeCell ref="CV251:CW251"/>
    <mergeCell ref="CX251:CY251"/>
    <mergeCell ref="DJ251:DK251"/>
    <mergeCell ref="DC245:DC247"/>
    <mergeCell ref="DF250:DG252"/>
    <mergeCell ref="BV246:BW249"/>
    <mergeCell ref="CJ247:CK247"/>
    <mergeCell ref="BR241:BR242"/>
    <mergeCell ref="BL258:BM258"/>
    <mergeCell ref="CJ241:CK241"/>
    <mergeCell ref="BZ251:CA251"/>
    <mergeCell ref="BZ247:CA247"/>
    <mergeCell ref="BB248:BC248"/>
    <mergeCell ref="BB241:BC241"/>
    <mergeCell ref="BG241:BG242"/>
    <mergeCell ref="BS251:BS253"/>
    <mergeCell ref="BX257:BY257"/>
    <mergeCell ref="BJ244:BK245"/>
    <mergeCell ref="BX256:BY256"/>
    <mergeCell ref="BZ258:CA258"/>
    <mergeCell ref="BS258:BS260"/>
    <mergeCell ref="BN255:BO255"/>
    <mergeCell ref="BL254:BM254"/>
    <mergeCell ref="BZ245:CA245"/>
    <mergeCell ref="BX246:BY246"/>
    <mergeCell ref="BX252:BY252"/>
    <mergeCell ref="BN253:BO253"/>
    <mergeCell ref="BL251:BM251"/>
    <mergeCell ref="BF243:BF244"/>
    <mergeCell ref="BX254:BY254"/>
    <mergeCell ref="BZ254:CA254"/>
    <mergeCell ref="CH246:CI249"/>
    <mergeCell ref="BN258:BO258"/>
    <mergeCell ref="BL246:BM246"/>
    <mergeCell ref="BX251:BY251"/>
    <mergeCell ref="BL257:BM257"/>
    <mergeCell ref="BX241:BY241"/>
    <mergeCell ref="BZ250:CA250"/>
    <mergeCell ref="BE255:BF257"/>
    <mergeCell ref="BQ245:BR247"/>
    <mergeCell ref="BL249:BM249"/>
    <mergeCell ref="BQ251:BR253"/>
    <mergeCell ref="BS255:BS257"/>
    <mergeCell ref="BQ258:BR260"/>
    <mergeCell ref="BX253:BY253"/>
    <mergeCell ref="BZ253:CA253"/>
    <mergeCell ref="BN254:BO254"/>
    <mergeCell ref="CE258:CE260"/>
    <mergeCell ref="BL259:BM259"/>
    <mergeCell ref="CQ255:CQ257"/>
    <mergeCell ref="BE241:BE244"/>
    <mergeCell ref="BJ246:BK249"/>
    <mergeCell ref="BZ249:CA249"/>
    <mergeCell ref="BZ257:CA257"/>
    <mergeCell ref="DC243:DC244"/>
    <mergeCell ref="CV259:CW259"/>
    <mergeCell ref="BJ255:BM255"/>
    <mergeCell ref="CC248:CD250"/>
    <mergeCell ref="DH254:DI254"/>
    <mergeCell ref="DH246:DI246"/>
    <mergeCell ref="BX244:BY244"/>
    <mergeCell ref="CS260:CS261"/>
    <mergeCell ref="BV255:BY255"/>
    <mergeCell ref="CT255:CW255"/>
    <mergeCell ref="CX257:CY257"/>
    <mergeCell ref="BN251:BO251"/>
    <mergeCell ref="BL248:BM248"/>
    <mergeCell ref="DH250:DI250"/>
    <mergeCell ref="DF241:DG243"/>
    <mergeCell ref="DH241:DI241"/>
    <mergeCell ref="DF244:DG245"/>
    <mergeCell ref="DH239:DI239"/>
    <mergeCell ref="BF237:BF238"/>
    <mergeCell ref="BN238:BO238"/>
    <mergeCell ref="BF241:BF242"/>
    <mergeCell ref="CX249:CY249"/>
    <mergeCell ref="CP237:CP238"/>
    <mergeCell ref="DR244:DS245"/>
    <mergeCell ref="DJ249:DK249"/>
    <mergeCell ref="DA248:DB250"/>
    <mergeCell ref="DM245:DN247"/>
    <mergeCell ref="DM241:DM244"/>
    <mergeCell ref="DF246:DG249"/>
    <mergeCell ref="CS241:CS255"/>
    <mergeCell ref="DH245:DI245"/>
    <mergeCell ref="BN249:BO249"/>
    <mergeCell ref="CC251:CD253"/>
    <mergeCell ref="DE241:DE255"/>
    <mergeCell ref="DO239:DO240"/>
    <mergeCell ref="CO237:CO240"/>
    <mergeCell ref="BZ237:CA237"/>
    <mergeCell ref="DH247:DI247"/>
    <mergeCell ref="DJ247:DK247"/>
    <mergeCell ref="CJ245:CK245"/>
    <mergeCell ref="CV248:CW248"/>
    <mergeCell ref="CX248:CY248"/>
    <mergeCell ref="DH249:DI249"/>
    <mergeCell ref="DC255:DC257"/>
    <mergeCell ref="DC251:DC253"/>
    <mergeCell ref="DH251:DI251"/>
    <mergeCell ref="BL243:BM243"/>
    <mergeCell ref="BN243:BO243"/>
    <mergeCell ref="CV242:CW242"/>
    <mergeCell ref="CX256:CY256"/>
    <mergeCell ref="CS256:CU259"/>
    <mergeCell ref="CX258:CY258"/>
    <mergeCell ref="BN259:BO259"/>
    <mergeCell ref="DN239:DN240"/>
    <mergeCell ref="DO258:DO260"/>
    <mergeCell ref="DJ259:DK259"/>
    <mergeCell ref="BV241:BW243"/>
    <mergeCell ref="BV244:BW245"/>
    <mergeCell ref="DN241:DN242"/>
    <mergeCell ref="DF253:DG254"/>
    <mergeCell ref="CV250:CW250"/>
    <mergeCell ref="DO251:DO253"/>
    <mergeCell ref="CX242:CY242"/>
    <mergeCell ref="BZ243:CA243"/>
    <mergeCell ref="CX237:CY237"/>
    <mergeCell ref="DE256:DG259"/>
    <mergeCell ref="DH256:DI256"/>
    <mergeCell ref="CT244:CU245"/>
    <mergeCell ref="DH243:DI243"/>
    <mergeCell ref="CJ243:CK243"/>
    <mergeCell ref="CJ246:CK246"/>
    <mergeCell ref="DM237:DM240"/>
    <mergeCell ref="CV257:CW257"/>
    <mergeCell ref="P247:Q247"/>
    <mergeCell ref="P252:Q252"/>
    <mergeCell ref="R252:S252"/>
    <mergeCell ref="AB252:AC252"/>
    <mergeCell ref="R244:S244"/>
    <mergeCell ref="Z250:AA252"/>
    <mergeCell ref="DM248:DN250"/>
    <mergeCell ref="DM251:DN253"/>
    <mergeCell ref="AS245:AT247"/>
    <mergeCell ref="AP253:AQ253"/>
    <mergeCell ref="AN249:AO249"/>
    <mergeCell ref="AP251:AQ251"/>
    <mergeCell ref="AS251:AT253"/>
    <mergeCell ref="AX250:AY252"/>
    <mergeCell ref="AU241:AU242"/>
    <mergeCell ref="AT243:AT244"/>
    <mergeCell ref="CX232:CY232"/>
    <mergeCell ref="CX227:CY227"/>
    <mergeCell ref="BZ239:CA239"/>
    <mergeCell ref="AP238:AQ238"/>
    <mergeCell ref="DH232:DI232"/>
    <mergeCell ref="CD239:CD240"/>
    <mergeCell ref="CZ236:DA236"/>
    <mergeCell ref="R230:S230"/>
    <mergeCell ref="Y215:Y229"/>
    <mergeCell ref="Z215:AA217"/>
    <mergeCell ref="DJ240:DK240"/>
    <mergeCell ref="BN239:BO239"/>
    <mergeCell ref="BG239:BG240"/>
    <mergeCell ref="CX239:CY239"/>
    <mergeCell ref="DA237:DA240"/>
    <mergeCell ref="AP239:AQ239"/>
    <mergeCell ref="BI238:BK240"/>
    <mergeCell ref="AG229:AH231"/>
    <mergeCell ref="AI229:AI231"/>
    <mergeCell ref="R224:S224"/>
    <mergeCell ref="AD229:AE229"/>
    <mergeCell ref="BZ217:CA217"/>
    <mergeCell ref="BN215:BO215"/>
    <mergeCell ref="BQ215:BQ218"/>
    <mergeCell ref="AT217:AT218"/>
    <mergeCell ref="CE222:CE224"/>
    <mergeCell ref="AN231:AO231"/>
    <mergeCell ref="BB232:BC232"/>
    <mergeCell ref="AS229:AT231"/>
    <mergeCell ref="BQ232:BR234"/>
    <mergeCell ref="BG217:BG218"/>
    <mergeCell ref="CC225:CD227"/>
    <mergeCell ref="CE225:CE227"/>
    <mergeCell ref="BL230:BM230"/>
    <mergeCell ref="AN244:AO244"/>
    <mergeCell ref="AN248:AO248"/>
    <mergeCell ref="AZ247:BA247"/>
    <mergeCell ref="CP243:CP244"/>
    <mergeCell ref="U251:V253"/>
    <mergeCell ref="AP245:AQ245"/>
    <mergeCell ref="DJ245:DK245"/>
    <mergeCell ref="CQ251:CQ253"/>
    <mergeCell ref="DA245:DB247"/>
    <mergeCell ref="DB241:DB242"/>
    <mergeCell ref="CV244:CW244"/>
    <mergeCell ref="CV241:CW241"/>
    <mergeCell ref="CT246:CU249"/>
    <mergeCell ref="AP248:AQ248"/>
    <mergeCell ref="BU237:BY237"/>
    <mergeCell ref="AN254:AO254"/>
    <mergeCell ref="CJ239:CK239"/>
    <mergeCell ref="DJ254:DK254"/>
    <mergeCell ref="DJ243:DK243"/>
    <mergeCell ref="AB241:AC241"/>
    <mergeCell ref="AN257:AO257"/>
    <mergeCell ref="AS241:AS244"/>
    <mergeCell ref="DJ218:DK218"/>
    <mergeCell ref="DJ225:DK225"/>
    <mergeCell ref="DH216:DI216"/>
    <mergeCell ref="DJ227:DK227"/>
    <mergeCell ref="DH228:DI228"/>
    <mergeCell ref="CX225:CY225"/>
    <mergeCell ref="DJ217:DK217"/>
    <mergeCell ref="DN217:DN218"/>
    <mergeCell ref="DC217:DC218"/>
    <mergeCell ref="AG219:AH221"/>
    <mergeCell ref="BL233:BM233"/>
    <mergeCell ref="BI234:BI235"/>
    <mergeCell ref="BX224:BY224"/>
    <mergeCell ref="BV229:BY229"/>
    <mergeCell ref="BN225:BO225"/>
    <mergeCell ref="CB236:CC236"/>
    <mergeCell ref="DJ241:DK241"/>
    <mergeCell ref="DJ246:DK246"/>
    <mergeCell ref="CX241:CY241"/>
    <mergeCell ref="CV247:CW247"/>
    <mergeCell ref="CQ241:CQ242"/>
    <mergeCell ref="DJ253:DK253"/>
    <mergeCell ref="DJ250:DK250"/>
    <mergeCell ref="CC245:CD247"/>
    <mergeCell ref="AZ254:BA254"/>
    <mergeCell ref="DA255:DB257"/>
    <mergeCell ref="AD247:AE247"/>
    <mergeCell ref="CX250:CY250"/>
    <mergeCell ref="AZ245:BA245"/>
    <mergeCell ref="AZ246:BA246"/>
    <mergeCell ref="BE245:BF247"/>
    <mergeCell ref="CQ225:CQ227"/>
    <mergeCell ref="CC229:CD231"/>
    <mergeCell ref="CV217:CW217"/>
    <mergeCell ref="CE219:CE221"/>
    <mergeCell ref="CC222:CD224"/>
    <mergeCell ref="CV231:CW231"/>
    <mergeCell ref="AD216:AE216"/>
    <mergeCell ref="BN250:BO250"/>
    <mergeCell ref="DH257:DI257"/>
    <mergeCell ref="CX247:CY247"/>
    <mergeCell ref="DF255:DI255"/>
    <mergeCell ref="CV253:CW253"/>
    <mergeCell ref="DH253:DI253"/>
    <mergeCell ref="CV254:CW254"/>
    <mergeCell ref="BX217:BY217"/>
    <mergeCell ref="CD217:CD218"/>
    <mergeCell ref="CE217:CE218"/>
    <mergeCell ref="CC219:CD221"/>
    <mergeCell ref="DH240:DI240"/>
    <mergeCell ref="CX245:CY245"/>
    <mergeCell ref="DB243:DB244"/>
    <mergeCell ref="DA229:DB231"/>
    <mergeCell ref="DC229:DC231"/>
    <mergeCell ref="DE230:DG233"/>
    <mergeCell ref="AB232:AC232"/>
    <mergeCell ref="H236:I236"/>
    <mergeCell ref="CU236:CW236"/>
    <mergeCell ref="U232:V234"/>
    <mergeCell ref="AW230:AY233"/>
    <mergeCell ref="CI236:CK236"/>
    <mergeCell ref="CN236:CO236"/>
    <mergeCell ref="CL232:CM232"/>
    <mergeCell ref="DJ223:DK223"/>
    <mergeCell ref="DJ226:DK226"/>
    <mergeCell ref="Y234:Y235"/>
    <mergeCell ref="BX226:BY226"/>
    <mergeCell ref="BZ226:CA226"/>
    <mergeCell ref="CJ226:CK226"/>
    <mergeCell ref="CO225:CP227"/>
    <mergeCell ref="CX238:CY238"/>
    <mergeCell ref="CE239:CE240"/>
    <mergeCell ref="CV238:CW238"/>
    <mergeCell ref="BZ238:CA238"/>
    <mergeCell ref="BX239:BY239"/>
    <mergeCell ref="BL239:BM239"/>
    <mergeCell ref="R239:S239"/>
    <mergeCell ref="V239:V240"/>
    <mergeCell ref="DM225:DN227"/>
    <mergeCell ref="BD236:BE236"/>
    <mergeCell ref="DF220:DG223"/>
    <mergeCell ref="BN240:BO240"/>
    <mergeCell ref="AB224:AC224"/>
    <mergeCell ref="BX232:BY232"/>
    <mergeCell ref="BZ232:CA232"/>
    <mergeCell ref="I232:J234"/>
    <mergeCell ref="DJ228:DK228"/>
    <mergeCell ref="CJ232:CK232"/>
    <mergeCell ref="AN221:AO221"/>
    <mergeCell ref="AN222:AO222"/>
    <mergeCell ref="BB237:BC237"/>
    <mergeCell ref="BX221:BY221"/>
    <mergeCell ref="DM229:DN231"/>
    <mergeCell ref="DM222:DN224"/>
    <mergeCell ref="BK236:BM236"/>
    <mergeCell ref="AP226:AQ226"/>
    <mergeCell ref="AP224:AQ224"/>
    <mergeCell ref="AL229:AO229"/>
    <mergeCell ref="AW215:AW229"/>
    <mergeCell ref="AN223:AO223"/>
    <mergeCell ref="AU229:AU231"/>
    <mergeCell ref="AD227:AE227"/>
    <mergeCell ref="AH217:AH218"/>
    <mergeCell ref="BB216:BC216"/>
    <mergeCell ref="BZ216:CA216"/>
    <mergeCell ref="CC215:CC218"/>
    <mergeCell ref="CD215:CD216"/>
    <mergeCell ref="AP215:AQ215"/>
    <mergeCell ref="R220:S220"/>
    <mergeCell ref="AB220:AC220"/>
    <mergeCell ref="BZ224:CA224"/>
    <mergeCell ref="CE229:CE231"/>
    <mergeCell ref="P217:Q217"/>
    <mergeCell ref="P231:Q231"/>
    <mergeCell ref="W232:W234"/>
    <mergeCell ref="DJ239:DK239"/>
    <mergeCell ref="BX222:BY222"/>
    <mergeCell ref="CL218:CM218"/>
    <mergeCell ref="CL231:CM231"/>
    <mergeCell ref="AB233:AC233"/>
    <mergeCell ref="EY222:EY224"/>
    <mergeCell ref="DJ238:DK238"/>
    <mergeCell ref="DO237:DO238"/>
    <mergeCell ref="BJ227:BK228"/>
    <mergeCell ref="BL227:BM227"/>
    <mergeCell ref="BU230:BW233"/>
    <mergeCell ref="F227:G227"/>
    <mergeCell ref="D231:E231"/>
    <mergeCell ref="F231:G231"/>
    <mergeCell ref="R232:S232"/>
    <mergeCell ref="R231:S231"/>
    <mergeCell ref="CV221:CW221"/>
    <mergeCell ref="CX221:CY221"/>
    <mergeCell ref="CV222:CW222"/>
    <mergeCell ref="CX222:CY222"/>
    <mergeCell ref="CV223:CW223"/>
    <mergeCell ref="CV224:CW224"/>
    <mergeCell ref="CX224:CY224"/>
    <mergeCell ref="CS230:CU233"/>
    <mergeCell ref="CH227:CI228"/>
    <mergeCell ref="CJ225:CK225"/>
    <mergeCell ref="U237:U240"/>
    <mergeCell ref="DE238:DG240"/>
    <mergeCell ref="DH238:DI238"/>
    <mergeCell ref="EF233:EG233"/>
    <mergeCell ref="DL236:DM236"/>
    <mergeCell ref="DN237:DN238"/>
    <mergeCell ref="EW232:EX234"/>
    <mergeCell ref="EX237:EX238"/>
    <mergeCell ref="EW237:EW240"/>
    <mergeCell ref="EO237:ES237"/>
    <mergeCell ref="EK237:EK240"/>
    <mergeCell ref="EW225:EX227"/>
    <mergeCell ref="CQ237:CQ238"/>
    <mergeCell ref="CG238:CI240"/>
    <mergeCell ref="CJ238:CK238"/>
    <mergeCell ref="CP239:CP240"/>
    <mergeCell ref="AS237:AS240"/>
    <mergeCell ref="R240:S240"/>
    <mergeCell ref="AB240:AC240"/>
    <mergeCell ref="Y238:AA240"/>
    <mergeCell ref="BB240:BC240"/>
    <mergeCell ref="M237:Q237"/>
    <mergeCell ref="AN240:AO240"/>
    <mergeCell ref="AN239:AO239"/>
    <mergeCell ref="AD238:AE238"/>
    <mergeCell ref="J237:J238"/>
    <mergeCell ref="K237:K238"/>
    <mergeCell ref="C236:E236"/>
    <mergeCell ref="AA236:AC236"/>
    <mergeCell ref="P240:Q240"/>
    <mergeCell ref="AG222:AH224"/>
    <mergeCell ref="AI222:AI224"/>
    <mergeCell ref="AG225:AH227"/>
    <mergeCell ref="CJ233:CK233"/>
    <mergeCell ref="AZ228:BA228"/>
    <mergeCell ref="Z227:AA228"/>
    <mergeCell ref="Z229:AC229"/>
    <mergeCell ref="Y230:AA233"/>
    <mergeCell ref="DC239:DC240"/>
    <mergeCell ref="DE237:DI237"/>
    <mergeCell ref="BS239:BS240"/>
    <mergeCell ref="CX240:CY240"/>
    <mergeCell ref="BL240:BM240"/>
    <mergeCell ref="ER232:ES232"/>
    <mergeCell ref="ET240:EU240"/>
    <mergeCell ref="ER240:ES240"/>
    <mergeCell ref="EH240:EI240"/>
    <mergeCell ref="EF240:EG240"/>
    <mergeCell ref="AI237:AI238"/>
    <mergeCell ref="W239:W240"/>
    <mergeCell ref="AK237:AO237"/>
    <mergeCell ref="AK238:AM240"/>
    <mergeCell ref="AN238:AO238"/>
    <mergeCell ref="BU238:BW240"/>
    <mergeCell ref="BZ240:CA240"/>
    <mergeCell ref="P239:Q239"/>
    <mergeCell ref="DG236:DI236"/>
    <mergeCell ref="AP240:AQ240"/>
    <mergeCell ref="AZ240:BA240"/>
    <mergeCell ref="W222:W224"/>
    <mergeCell ref="DJ222:DK222"/>
    <mergeCell ref="F223:G223"/>
    <mergeCell ref="F221:G221"/>
    <mergeCell ref="I225:J227"/>
    <mergeCell ref="D230:E230"/>
    <mergeCell ref="M230:O233"/>
    <mergeCell ref="AD226:AE226"/>
    <mergeCell ref="AN226:AO226"/>
    <mergeCell ref="BZ233:CA233"/>
    <mergeCell ref="BZ228:CA228"/>
    <mergeCell ref="AI232:AI234"/>
    <mergeCell ref="U219:V221"/>
    <mergeCell ref="W219:W221"/>
    <mergeCell ref="R221:S221"/>
    <mergeCell ref="P222:Q222"/>
    <mergeCell ref="F225:G225"/>
    <mergeCell ref="F230:G230"/>
    <mergeCell ref="BG232:BG234"/>
    <mergeCell ref="BN227:BO227"/>
    <mergeCell ref="BZ231:CA231"/>
    <mergeCell ref="BZ225:CA225"/>
    <mergeCell ref="BV227:BW228"/>
    <mergeCell ref="DJ230:DK230"/>
    <mergeCell ref="DJ231:DK231"/>
    <mergeCell ref="CV233:CW233"/>
    <mergeCell ref="AF236:AG236"/>
    <mergeCell ref="CL233:CM233"/>
    <mergeCell ref="CS234:CS235"/>
    <mergeCell ref="CV232:CW232"/>
    <mergeCell ref="CL225:CM225"/>
    <mergeCell ref="CL222:CM222"/>
    <mergeCell ref="CL223:CM223"/>
    <mergeCell ref="F222:G222"/>
    <mergeCell ref="P230:Q230"/>
    <mergeCell ref="K222:K224"/>
    <mergeCell ref="BB220:BC220"/>
    <mergeCell ref="AI239:AI240"/>
    <mergeCell ref="O236:Q236"/>
    <mergeCell ref="DT240:DU240"/>
    <mergeCell ref="DV240:DW240"/>
    <mergeCell ref="EF239:EG239"/>
    <mergeCell ref="EH227:EI227"/>
    <mergeCell ref="CQ239:CQ240"/>
    <mergeCell ref="P232:Q232"/>
    <mergeCell ref="P220:Q220"/>
    <mergeCell ref="CG230:CI233"/>
    <mergeCell ref="CJ223:CK223"/>
    <mergeCell ref="DO232:DO234"/>
    <mergeCell ref="N229:Q229"/>
    <mergeCell ref="P219:Q219"/>
    <mergeCell ref="BS217:BS218"/>
    <mergeCell ref="BQ219:BR221"/>
    <mergeCell ref="W215:W216"/>
    <mergeCell ref="U229:V231"/>
    <mergeCell ref="W229:W231"/>
    <mergeCell ref="U225:V227"/>
    <mergeCell ref="P221:Q221"/>
    <mergeCell ref="AZ216:BA216"/>
    <mergeCell ref="BX223:BY223"/>
    <mergeCell ref="ET237:EU237"/>
    <mergeCell ref="B229:E229"/>
    <mergeCell ref="D221:E221"/>
    <mergeCell ref="EY225:EY227"/>
    <mergeCell ref="ER226:ES226"/>
    <mergeCell ref="EP227:EQ228"/>
    <mergeCell ref="ER227:ES227"/>
    <mergeCell ref="ER228:ES228"/>
    <mergeCell ref="EP224:EQ226"/>
    <mergeCell ref="DE234:DE235"/>
    <mergeCell ref="DH233:DI233"/>
    <mergeCell ref="DJ233:DK233"/>
    <mergeCell ref="CG234:CG235"/>
    <mergeCell ref="CJ224:CK224"/>
    <mergeCell ref="DF215:DG217"/>
    <mergeCell ref="CX218:CY218"/>
    <mergeCell ref="DJ215:DK215"/>
    <mergeCell ref="CX217:CY217"/>
    <mergeCell ref="BF217:BF218"/>
    <mergeCell ref="AN218:AO218"/>
    <mergeCell ref="AP230:AQ230"/>
    <mergeCell ref="AU217:AU218"/>
    <mergeCell ref="AU219:AU221"/>
    <mergeCell ref="AU222:AU224"/>
    <mergeCell ref="AU225:AU227"/>
    <mergeCell ref="BB230:BC230"/>
    <mergeCell ref="BG222:BG224"/>
    <mergeCell ref="AX224:AY226"/>
    <mergeCell ref="DH227:DI227"/>
    <mergeCell ref="CS215:CS229"/>
    <mergeCell ref="CX223:CY223"/>
    <mergeCell ref="BZ220:CA220"/>
    <mergeCell ref="BZ221:CA221"/>
    <mergeCell ref="DT232:DU232"/>
    <mergeCell ref="DJ232:DK232"/>
    <mergeCell ref="DH217:DI217"/>
    <mergeCell ref="DH231:DI231"/>
    <mergeCell ref="CX230:CY230"/>
    <mergeCell ref="BB215:BC215"/>
    <mergeCell ref="DH220:DI220"/>
    <mergeCell ref="BL215:BM215"/>
    <mergeCell ref="EH233:EI233"/>
    <mergeCell ref="EY229:EY231"/>
    <mergeCell ref="EC215:EC229"/>
    <mergeCell ref="ED215:EE217"/>
    <mergeCell ref="EF215:EG215"/>
    <mergeCell ref="EF216:EG216"/>
    <mergeCell ref="EF217:EG217"/>
    <mergeCell ref="DM232:DN234"/>
    <mergeCell ref="EA215:EA216"/>
    <mergeCell ref="DH219:DI219"/>
    <mergeCell ref="CO219:CP221"/>
    <mergeCell ref="R229:S229"/>
    <mergeCell ref="R222:S222"/>
    <mergeCell ref="BS222:BS224"/>
    <mergeCell ref="F229:G229"/>
    <mergeCell ref="I229:J231"/>
    <mergeCell ref="F217:G217"/>
    <mergeCell ref="AB222:AC222"/>
    <mergeCell ref="P225:Q225"/>
    <mergeCell ref="P218:Q218"/>
    <mergeCell ref="R227:S227"/>
    <mergeCell ref="AG215:AG218"/>
    <mergeCell ref="B218:C219"/>
    <mergeCell ref="D216:E216"/>
    <mergeCell ref="D228:E228"/>
    <mergeCell ref="D218:E218"/>
    <mergeCell ref="ET232:EU232"/>
    <mergeCell ref="BE219:BF221"/>
    <mergeCell ref="BV224:BW226"/>
    <mergeCell ref="BB224:BC224"/>
    <mergeCell ref="BU234:BU235"/>
    <mergeCell ref="BQ225:BR227"/>
    <mergeCell ref="BS219:BS221"/>
    <mergeCell ref="BN223:BO223"/>
    <mergeCell ref="BB223:BC223"/>
    <mergeCell ref="AZ219:BA219"/>
    <mergeCell ref="BB225:BC225"/>
    <mergeCell ref="BE229:BF231"/>
    <mergeCell ref="BJ220:BK223"/>
    <mergeCell ref="AN228:AO228"/>
    <mergeCell ref="AP228:AQ228"/>
    <mergeCell ref="P223:Q223"/>
    <mergeCell ref="BN220:BO220"/>
    <mergeCell ref="R223:S223"/>
    <mergeCell ref="AB231:AC231"/>
    <mergeCell ref="U215:U218"/>
    <mergeCell ref="AN230:AO230"/>
    <mergeCell ref="AP218:AQ218"/>
    <mergeCell ref="BJ215:BK217"/>
    <mergeCell ref="N227:O228"/>
    <mergeCell ref="N218:O219"/>
    <mergeCell ref="P215:Q215"/>
    <mergeCell ref="R215:S215"/>
    <mergeCell ref="CL224:CM224"/>
    <mergeCell ref="CJ222:CK222"/>
    <mergeCell ref="DC232:DC234"/>
    <mergeCell ref="DF218:DG219"/>
    <mergeCell ref="DA222:DB224"/>
    <mergeCell ref="DH215:DI215"/>
    <mergeCell ref="CX228:CY228"/>
    <mergeCell ref="DC219:DC221"/>
    <mergeCell ref="DF229:DI229"/>
    <mergeCell ref="DA215:DA218"/>
    <mergeCell ref="DO215:DO216"/>
    <mergeCell ref="DO222:DO224"/>
    <mergeCell ref="DO229:DO231"/>
    <mergeCell ref="CV230:CW230"/>
    <mergeCell ref="DH218:DI218"/>
    <mergeCell ref="CL227:CM227"/>
    <mergeCell ref="CX229:CY229"/>
    <mergeCell ref="CC232:CD234"/>
    <mergeCell ref="AN215:AO215"/>
    <mergeCell ref="AN217:AO217"/>
    <mergeCell ref="AS215:AS218"/>
    <mergeCell ref="BB231:BC231"/>
    <mergeCell ref="DJ216:DK216"/>
    <mergeCell ref="DJ220:DK220"/>
    <mergeCell ref="DJ219:DK219"/>
    <mergeCell ref="CT229:CW229"/>
    <mergeCell ref="CT224:CU226"/>
    <mergeCell ref="BR217:BR218"/>
    <mergeCell ref="BQ229:BR231"/>
    <mergeCell ref="AN216:AO216"/>
    <mergeCell ref="BL228:BM228"/>
    <mergeCell ref="CQ222:CQ224"/>
    <mergeCell ref="BN224:BO224"/>
    <mergeCell ref="BS215:BS216"/>
    <mergeCell ref="DE215:DE229"/>
    <mergeCell ref="DB215:DB216"/>
    <mergeCell ref="BG215:BG216"/>
    <mergeCell ref="BN229:BO229"/>
    <mergeCell ref="CX233:CY233"/>
    <mergeCell ref="DA232:DB234"/>
    <mergeCell ref="DH222:DI222"/>
    <mergeCell ref="BN230:BO230"/>
    <mergeCell ref="BX231:BY231"/>
    <mergeCell ref="BN231:BO231"/>
    <mergeCell ref="BV218:BW219"/>
    <mergeCell ref="BI215:BI229"/>
    <mergeCell ref="BE222:BF224"/>
    <mergeCell ref="CX231:CY231"/>
    <mergeCell ref="AP231:AQ231"/>
    <mergeCell ref="BL222:BM222"/>
    <mergeCell ref="DA225:DB227"/>
    <mergeCell ref="BN216:BO216"/>
    <mergeCell ref="BX227:BY227"/>
    <mergeCell ref="BZ227:CA227"/>
    <mergeCell ref="DA219:DB221"/>
    <mergeCell ref="CV228:CW228"/>
    <mergeCell ref="CV225:CW225"/>
    <mergeCell ref="CJ230:CK230"/>
    <mergeCell ref="BB221:BC221"/>
    <mergeCell ref="AP217:AQ217"/>
    <mergeCell ref="AP225:AQ225"/>
    <mergeCell ref="BB229:BC229"/>
    <mergeCell ref="BB222:BC222"/>
    <mergeCell ref="BL224:BM224"/>
    <mergeCell ref="BL225:BM225"/>
    <mergeCell ref="BG225:BG227"/>
    <mergeCell ref="BB217:BC217"/>
    <mergeCell ref="BJ224:BK226"/>
    <mergeCell ref="BB228:BC228"/>
    <mergeCell ref="BE215:BE218"/>
    <mergeCell ref="BL216:BM216"/>
    <mergeCell ref="BG229:BG231"/>
    <mergeCell ref="BL221:BM221"/>
    <mergeCell ref="BN221:BO221"/>
    <mergeCell ref="BU215:BU229"/>
    <mergeCell ref="BR215:BR216"/>
    <mergeCell ref="AZ215:BA215"/>
    <mergeCell ref="BN226:BO226"/>
    <mergeCell ref="AZ227:BA227"/>
    <mergeCell ref="BX230:BY230"/>
    <mergeCell ref="BG219:BG221"/>
    <mergeCell ref="CT218:CU219"/>
    <mergeCell ref="CH220:CI223"/>
    <mergeCell ref="CO222:CP224"/>
    <mergeCell ref="BV220:BW223"/>
    <mergeCell ref="BI230:BK233"/>
    <mergeCell ref="DJ221:DK221"/>
    <mergeCell ref="Z224:AA226"/>
    <mergeCell ref="DO225:DO227"/>
    <mergeCell ref="DH226:DI226"/>
    <mergeCell ref="A215:A229"/>
    <mergeCell ref="B215:C217"/>
    <mergeCell ref="D215:E215"/>
    <mergeCell ref="F215:G215"/>
    <mergeCell ref="D217:E217"/>
    <mergeCell ref="F224:G224"/>
    <mergeCell ref="CQ232:CQ234"/>
    <mergeCell ref="B224:C226"/>
    <mergeCell ref="D233:E233"/>
    <mergeCell ref="F233:G233"/>
    <mergeCell ref="P233:Q233"/>
    <mergeCell ref="R233:S233"/>
    <mergeCell ref="R225:S225"/>
    <mergeCell ref="D226:E226"/>
    <mergeCell ref="F226:G226"/>
    <mergeCell ref="P226:Q226"/>
    <mergeCell ref="R226:S226"/>
    <mergeCell ref="AB226:AC226"/>
    <mergeCell ref="I215:I218"/>
    <mergeCell ref="D225:E225"/>
    <mergeCell ref="K215:K216"/>
    <mergeCell ref="M215:M229"/>
    <mergeCell ref="J217:J218"/>
    <mergeCell ref="K217:K218"/>
    <mergeCell ref="I222:J224"/>
    <mergeCell ref="J215:J216"/>
    <mergeCell ref="AB225:AC225"/>
    <mergeCell ref="K232:K234"/>
    <mergeCell ref="D222:E222"/>
    <mergeCell ref="A234:A235"/>
    <mergeCell ref="F228:G228"/>
    <mergeCell ref="P228:Q228"/>
    <mergeCell ref="D224:E224"/>
    <mergeCell ref="M234:M235"/>
    <mergeCell ref="AB228:AC228"/>
    <mergeCell ref="D232:E232"/>
    <mergeCell ref="F219:G219"/>
    <mergeCell ref="I219:J221"/>
    <mergeCell ref="R219:S219"/>
    <mergeCell ref="DJ229:DK229"/>
    <mergeCell ref="CL221:CM221"/>
    <mergeCell ref="CX216:CY216"/>
    <mergeCell ref="CV215:CW215"/>
    <mergeCell ref="F232:G232"/>
    <mergeCell ref="K229:K231"/>
    <mergeCell ref="K225:K227"/>
    <mergeCell ref="BX215:BY215"/>
    <mergeCell ref="BX219:BY219"/>
    <mergeCell ref="BN232:BO232"/>
    <mergeCell ref="BN218:BO218"/>
    <mergeCell ref="BJ229:BM229"/>
    <mergeCell ref="BX218:BY218"/>
    <mergeCell ref="BQ222:BR224"/>
    <mergeCell ref="BX225:BY225"/>
    <mergeCell ref="BS232:BS234"/>
    <mergeCell ref="BJ218:BK219"/>
    <mergeCell ref="V217:V218"/>
    <mergeCell ref="W217:W218"/>
    <mergeCell ref="N215:O217"/>
    <mergeCell ref="AI217:AI218"/>
    <mergeCell ref="DJ212:DK212"/>
    <mergeCell ref="BL217:BM217"/>
    <mergeCell ref="DO217:DO218"/>
    <mergeCell ref="BZ215:CA215"/>
    <mergeCell ref="DJ224:DK224"/>
    <mergeCell ref="DB217:DB218"/>
    <mergeCell ref="BZ223:CA223"/>
    <mergeCell ref="CL220:CM220"/>
    <mergeCell ref="DJ207:DK207"/>
    <mergeCell ref="DM206:DN208"/>
    <mergeCell ref="DH207:DI207"/>
    <mergeCell ref="DA206:DB208"/>
    <mergeCell ref="BB206:BC206"/>
    <mergeCell ref="CD211:CD212"/>
    <mergeCell ref="CE211:CE212"/>
    <mergeCell ref="AN227:AO227"/>
    <mergeCell ref="AK211:AO211"/>
    <mergeCell ref="AN213:AO213"/>
    <mergeCell ref="AN214:AO214"/>
    <mergeCell ref="BB212:BC212"/>
    <mergeCell ref="BB214:BC214"/>
    <mergeCell ref="AZ226:BA226"/>
    <mergeCell ref="CJ227:CK227"/>
    <mergeCell ref="BZ222:CA222"/>
    <mergeCell ref="DM215:DM218"/>
    <mergeCell ref="DH230:DI230"/>
    <mergeCell ref="CJ221:CK221"/>
    <mergeCell ref="BZ219:CA219"/>
    <mergeCell ref="BX216:BY216"/>
    <mergeCell ref="BS225:BS227"/>
    <mergeCell ref="CX226:CY226"/>
    <mergeCell ref="DO219:DO221"/>
    <mergeCell ref="DH223:DI223"/>
    <mergeCell ref="CJ220:CK220"/>
    <mergeCell ref="CH229:CK229"/>
    <mergeCell ref="CO229:CP231"/>
    <mergeCell ref="CV220:CW220"/>
    <mergeCell ref="CX220:CY220"/>
    <mergeCell ref="BZ229:CA229"/>
    <mergeCell ref="CV226:CW226"/>
    <mergeCell ref="CL229:CM229"/>
    <mergeCell ref="CJ215:CK215"/>
    <mergeCell ref="CT227:CU228"/>
    <mergeCell ref="CH218:CI219"/>
    <mergeCell ref="CT215:CU217"/>
    <mergeCell ref="AN219:AO219"/>
    <mergeCell ref="AN220:AO220"/>
    <mergeCell ref="BS213:BS214"/>
    <mergeCell ref="BI212:BK214"/>
    <mergeCell ref="DH213:DI213"/>
    <mergeCell ref="BL220:BM220"/>
    <mergeCell ref="BE225:BF227"/>
    <mergeCell ref="BB218:BC218"/>
    <mergeCell ref="CL215:CM215"/>
    <mergeCell ref="CL216:CM216"/>
    <mergeCell ref="CL217:CM217"/>
    <mergeCell ref="CQ213:CQ214"/>
    <mergeCell ref="DB213:DB214"/>
    <mergeCell ref="DM219:DN221"/>
    <mergeCell ref="DN215:DN216"/>
    <mergeCell ref="CX219:CY219"/>
    <mergeCell ref="DC225:DC227"/>
    <mergeCell ref="DH225:DI225"/>
    <mergeCell ref="CT220:CU223"/>
    <mergeCell ref="DH224:DI224"/>
    <mergeCell ref="CO232:CP234"/>
    <mergeCell ref="CP217:CP218"/>
    <mergeCell ref="DF224:DG226"/>
    <mergeCell ref="CV216:CW216"/>
    <mergeCell ref="BZ218:CA218"/>
    <mergeCell ref="CJ218:CK218"/>
    <mergeCell ref="BB226:BC226"/>
    <mergeCell ref="CD213:CD214"/>
    <mergeCell ref="BZ230:CA230"/>
    <mergeCell ref="BL213:BM213"/>
    <mergeCell ref="BX220:BY220"/>
    <mergeCell ref="CV227:CW227"/>
    <mergeCell ref="CV219:CW219"/>
    <mergeCell ref="CJ216:CK216"/>
    <mergeCell ref="CQ229:CQ231"/>
    <mergeCell ref="BB233:BC233"/>
    <mergeCell ref="M211:Q211"/>
    <mergeCell ref="BF211:BF212"/>
    <mergeCell ref="BG211:BG212"/>
    <mergeCell ref="CL211:CM211"/>
    <mergeCell ref="AU213:AU214"/>
    <mergeCell ref="BG206:BG208"/>
    <mergeCell ref="N224:O226"/>
    <mergeCell ref="P224:Q224"/>
    <mergeCell ref="P227:Q227"/>
    <mergeCell ref="P216:Q216"/>
    <mergeCell ref="AZ224:BA224"/>
    <mergeCell ref="AZ225:BA225"/>
    <mergeCell ref="AZ223:BA223"/>
    <mergeCell ref="AZ222:BA222"/>
    <mergeCell ref="AX215:AY217"/>
    <mergeCell ref="AX218:AY219"/>
    <mergeCell ref="AN225:AO225"/>
    <mergeCell ref="AP216:AQ216"/>
    <mergeCell ref="CL228:CM228"/>
    <mergeCell ref="DE208:DE209"/>
    <mergeCell ref="CS208:CS209"/>
    <mergeCell ref="DH212:DI212"/>
    <mergeCell ref="AU211:AU212"/>
    <mergeCell ref="DG210:DI210"/>
    <mergeCell ref="DE211:DI211"/>
    <mergeCell ref="CL226:CM226"/>
    <mergeCell ref="CL230:CM230"/>
    <mergeCell ref="CV218:CW218"/>
    <mergeCell ref="CH224:CI226"/>
    <mergeCell ref="CH215:CI217"/>
    <mergeCell ref="CO215:CO218"/>
    <mergeCell ref="CP215:CP216"/>
    <mergeCell ref="DH221:DI221"/>
    <mergeCell ref="DC215:DC216"/>
    <mergeCell ref="DF227:DG228"/>
    <mergeCell ref="DC222:DC224"/>
    <mergeCell ref="CX215:CY215"/>
    <mergeCell ref="CJ219:CK219"/>
    <mergeCell ref="AU215:AU216"/>
    <mergeCell ref="AD217:AE217"/>
    <mergeCell ref="AD222:AE222"/>
    <mergeCell ref="BL223:BM223"/>
    <mergeCell ref="CE215:CE216"/>
    <mergeCell ref="BX228:BY228"/>
    <mergeCell ref="BV215:BW217"/>
    <mergeCell ref="AD215:AE215"/>
    <mergeCell ref="U222:V224"/>
    <mergeCell ref="F206:G206"/>
    <mergeCell ref="I206:J208"/>
    <mergeCell ref="BS229:BS231"/>
    <mergeCell ref="A230:C233"/>
    <mergeCell ref="D220:E220"/>
    <mergeCell ref="F220:G220"/>
    <mergeCell ref="D227:E227"/>
    <mergeCell ref="BL226:BM226"/>
    <mergeCell ref="BQ211:BQ214"/>
    <mergeCell ref="CG211:CK211"/>
    <mergeCell ref="AI225:AI227"/>
    <mergeCell ref="R214:S214"/>
    <mergeCell ref="CB210:CC210"/>
    <mergeCell ref="BZ213:CA213"/>
    <mergeCell ref="AA210:AC210"/>
    <mergeCell ref="AF210:AG210"/>
    <mergeCell ref="Y211:AC211"/>
    <mergeCell ref="CG208:CG209"/>
    <mergeCell ref="BU212:BW214"/>
    <mergeCell ref="BG213:BG214"/>
    <mergeCell ref="BN217:BO217"/>
    <mergeCell ref="BL218:BM218"/>
    <mergeCell ref="CE232:CE234"/>
    <mergeCell ref="J211:J212"/>
    <mergeCell ref="K211:K212"/>
    <mergeCell ref="A212:C214"/>
    <mergeCell ref="D212:E212"/>
    <mergeCell ref="F212:G212"/>
    <mergeCell ref="M212:O214"/>
    <mergeCell ref="W211:W212"/>
    <mergeCell ref="AD212:AE212"/>
    <mergeCell ref="D206:E206"/>
    <mergeCell ref="R213:S213"/>
    <mergeCell ref="AD213:AE213"/>
    <mergeCell ref="CJ214:CK214"/>
    <mergeCell ref="CJ231:CK231"/>
    <mergeCell ref="R217:S217"/>
    <mergeCell ref="V215:V216"/>
    <mergeCell ref="CJ228:CK228"/>
    <mergeCell ref="CG215:CG229"/>
    <mergeCell ref="BB219:BC219"/>
    <mergeCell ref="BL219:BM219"/>
    <mergeCell ref="BN219:BO219"/>
    <mergeCell ref="K219:K221"/>
    <mergeCell ref="F216:G216"/>
    <mergeCell ref="F218:G218"/>
    <mergeCell ref="D219:E219"/>
    <mergeCell ref="B220:C223"/>
    <mergeCell ref="R218:S218"/>
    <mergeCell ref="AB218:AC218"/>
    <mergeCell ref="AL218:AM219"/>
    <mergeCell ref="AL220:AM223"/>
    <mergeCell ref="AL224:AM226"/>
    <mergeCell ref="AL215:AM217"/>
    <mergeCell ref="R228:S228"/>
    <mergeCell ref="R216:S216"/>
    <mergeCell ref="AD220:AE220"/>
    <mergeCell ref="AD221:AE221"/>
    <mergeCell ref="AD218:AE218"/>
    <mergeCell ref="N220:O223"/>
    <mergeCell ref="D223:E223"/>
    <mergeCell ref="B227:C228"/>
    <mergeCell ref="Z220:AA223"/>
    <mergeCell ref="W225:W227"/>
    <mergeCell ref="D200:E200"/>
    <mergeCell ref="F200:G200"/>
    <mergeCell ref="F191:G191"/>
    <mergeCell ref="K191:K192"/>
    <mergeCell ref="N203:Q203"/>
    <mergeCell ref="P193:Q193"/>
    <mergeCell ref="W191:W192"/>
    <mergeCell ref="R194:S194"/>
    <mergeCell ref="P199:Q199"/>
    <mergeCell ref="R199:S199"/>
    <mergeCell ref="U199:V201"/>
    <mergeCell ref="AB199:AC199"/>
    <mergeCell ref="F213:G213"/>
    <mergeCell ref="J213:J214"/>
    <mergeCell ref="K213:K214"/>
    <mergeCell ref="J191:J192"/>
    <mergeCell ref="F214:G214"/>
    <mergeCell ref="Z203:AC203"/>
    <mergeCell ref="F196:G196"/>
    <mergeCell ref="Z192:AA193"/>
    <mergeCell ref="AD193:AE193"/>
    <mergeCell ref="H210:I210"/>
    <mergeCell ref="V211:V212"/>
    <mergeCell ref="BS191:BS192"/>
    <mergeCell ref="BB198:BC198"/>
    <mergeCell ref="BJ201:BK202"/>
    <mergeCell ref="BG193:BG195"/>
    <mergeCell ref="AU206:AU208"/>
    <mergeCell ref="AS203:AT205"/>
    <mergeCell ref="BB194:BC194"/>
    <mergeCell ref="D192:E192"/>
    <mergeCell ref="F192:G192"/>
    <mergeCell ref="N189:O191"/>
    <mergeCell ref="D197:E197"/>
    <mergeCell ref="F197:G197"/>
    <mergeCell ref="F198:G198"/>
    <mergeCell ref="N198:O200"/>
    <mergeCell ref="D202:E202"/>
    <mergeCell ref="AD200:AE200"/>
    <mergeCell ref="AD190:AE190"/>
    <mergeCell ref="N194:O197"/>
    <mergeCell ref="P194:Q194"/>
    <mergeCell ref="BL197:BM197"/>
    <mergeCell ref="D204:E204"/>
    <mergeCell ref="F204:G204"/>
    <mergeCell ref="R196:S196"/>
    <mergeCell ref="D205:E205"/>
    <mergeCell ref="F205:G205"/>
    <mergeCell ref="AD198:AE198"/>
    <mergeCell ref="AD202:AE202"/>
    <mergeCell ref="AD199:AE199"/>
    <mergeCell ref="D194:E194"/>
    <mergeCell ref="AB194:AC194"/>
    <mergeCell ref="R191:S191"/>
    <mergeCell ref="V189:V190"/>
    <mergeCell ref="W189:W190"/>
    <mergeCell ref="AD192:AE192"/>
    <mergeCell ref="R200:S200"/>
    <mergeCell ref="R211:S211"/>
    <mergeCell ref="U211:U214"/>
    <mergeCell ref="P190:Q190"/>
    <mergeCell ref="U196:V198"/>
    <mergeCell ref="W196:W198"/>
    <mergeCell ref="P207:Q207"/>
    <mergeCell ref="B194:C197"/>
    <mergeCell ref="R190:S190"/>
    <mergeCell ref="R192:S192"/>
    <mergeCell ref="B192:C193"/>
    <mergeCell ref="C210:E210"/>
    <mergeCell ref="AB212:AC212"/>
    <mergeCell ref="CJ217:CK217"/>
    <mergeCell ref="AD201:AE201"/>
    <mergeCell ref="AD197:AE197"/>
    <mergeCell ref="R201:S201"/>
    <mergeCell ref="AB196:AC196"/>
    <mergeCell ref="CP211:CP212"/>
    <mergeCell ref="CZ210:DA210"/>
    <mergeCell ref="CX211:CY211"/>
    <mergeCell ref="DA211:DA214"/>
    <mergeCell ref="DB211:DB212"/>
    <mergeCell ref="DC211:DC212"/>
    <mergeCell ref="CX212:CY212"/>
    <mergeCell ref="DH214:DI214"/>
    <mergeCell ref="CP213:CP214"/>
    <mergeCell ref="CQ206:CQ208"/>
    <mergeCell ref="CN210:CO210"/>
    <mergeCell ref="CV205:CW205"/>
    <mergeCell ref="DH206:DI206"/>
    <mergeCell ref="BX205:BY205"/>
    <mergeCell ref="BN205:BO205"/>
    <mergeCell ref="BL214:BM214"/>
    <mergeCell ref="BN214:BO214"/>
    <mergeCell ref="BX214:BY214"/>
    <mergeCell ref="BZ214:CA214"/>
    <mergeCell ref="D213:E213"/>
    <mergeCell ref="AD204:AE204"/>
    <mergeCell ref="AD206:AE206"/>
    <mergeCell ref="AB207:AC207"/>
    <mergeCell ref="AB205:AC205"/>
    <mergeCell ref="F207:G207"/>
    <mergeCell ref="Y189:Y203"/>
    <mergeCell ref="Z189:AA191"/>
    <mergeCell ref="AD189:AE189"/>
    <mergeCell ref="AB191:AC191"/>
    <mergeCell ref="AD191:AE191"/>
    <mergeCell ref="AD207:AE207"/>
    <mergeCell ref="Z201:AA202"/>
    <mergeCell ref="P198:Q198"/>
    <mergeCell ref="O210:Q210"/>
    <mergeCell ref="BW210:BY210"/>
    <mergeCell ref="A204:C207"/>
    <mergeCell ref="D214:E214"/>
    <mergeCell ref="A208:A209"/>
    <mergeCell ref="DC196:DC198"/>
    <mergeCell ref="BZ207:CA207"/>
    <mergeCell ref="CD189:CD190"/>
    <mergeCell ref="CE189:CE190"/>
    <mergeCell ref="BN200:BO200"/>
    <mergeCell ref="CD191:CD192"/>
    <mergeCell ref="CQ189:CQ190"/>
    <mergeCell ref="CX195:CY195"/>
    <mergeCell ref="CT194:CU197"/>
    <mergeCell ref="CE191:CE192"/>
    <mergeCell ref="BV192:BW193"/>
    <mergeCell ref="CC193:CD195"/>
    <mergeCell ref="CP191:CP192"/>
    <mergeCell ref="CQ191:CQ192"/>
    <mergeCell ref="CX189:CY189"/>
    <mergeCell ref="DO211:DO212"/>
    <mergeCell ref="DJ213:DK213"/>
    <mergeCell ref="DN213:DN214"/>
    <mergeCell ref="AN189:AO189"/>
    <mergeCell ref="AB189:AC189"/>
    <mergeCell ref="CQ211:CQ212"/>
    <mergeCell ref="R197:S197"/>
    <mergeCell ref="K203:K205"/>
    <mergeCell ref="P202:Q202"/>
    <mergeCell ref="R212:S212"/>
    <mergeCell ref="N201:O202"/>
    <mergeCell ref="P201:Q201"/>
    <mergeCell ref="P212:Q212"/>
    <mergeCell ref="P213:Q213"/>
    <mergeCell ref="P214:Q214"/>
    <mergeCell ref="R203:S203"/>
    <mergeCell ref="U203:V205"/>
    <mergeCell ref="W203:W205"/>
    <mergeCell ref="B203:E203"/>
    <mergeCell ref="M204:O207"/>
    <mergeCell ref="AG199:AH201"/>
    <mergeCell ref="AL198:AM200"/>
    <mergeCell ref="D195:E195"/>
    <mergeCell ref="P200:Q200"/>
    <mergeCell ref="P197:Q197"/>
    <mergeCell ref="P192:Q192"/>
    <mergeCell ref="A211:E211"/>
    <mergeCell ref="F211:G211"/>
    <mergeCell ref="I211:I214"/>
    <mergeCell ref="I203:J205"/>
    <mergeCell ref="A189:A203"/>
    <mergeCell ref="B189:C191"/>
    <mergeCell ref="D189:E189"/>
    <mergeCell ref="F189:G189"/>
    <mergeCell ref="U206:V208"/>
    <mergeCell ref="W206:W208"/>
    <mergeCell ref="AB206:AC206"/>
    <mergeCell ref="R207:S207"/>
    <mergeCell ref="Y204:AA207"/>
    <mergeCell ref="P204:Q204"/>
    <mergeCell ref="R204:S204"/>
    <mergeCell ref="B198:C200"/>
    <mergeCell ref="K206:K208"/>
    <mergeCell ref="AI206:AI208"/>
    <mergeCell ref="R189:S189"/>
    <mergeCell ref="U189:U192"/>
    <mergeCell ref="N192:O193"/>
    <mergeCell ref="I189:I192"/>
    <mergeCell ref="J189:J190"/>
    <mergeCell ref="K189:K190"/>
    <mergeCell ref="AD194:AE194"/>
    <mergeCell ref="F203:G203"/>
    <mergeCell ref="F201:G201"/>
    <mergeCell ref="F195:G195"/>
    <mergeCell ref="M208:M209"/>
    <mergeCell ref="P205:Q205"/>
    <mergeCell ref="R205:S205"/>
    <mergeCell ref="AD205:AE205"/>
    <mergeCell ref="B201:C202"/>
    <mergeCell ref="V213:V214"/>
    <mergeCell ref="W213:W214"/>
    <mergeCell ref="P206:Q206"/>
    <mergeCell ref="R206:S206"/>
    <mergeCell ref="D207:E207"/>
    <mergeCell ref="DM196:DN198"/>
    <mergeCell ref="T210:U210"/>
    <mergeCell ref="BU211:BY211"/>
    <mergeCell ref="BK210:BM210"/>
    <mergeCell ref="BP210:BQ210"/>
    <mergeCell ref="DC206:DC208"/>
    <mergeCell ref="CV207:CW207"/>
    <mergeCell ref="CE206:CE208"/>
    <mergeCell ref="BU208:BU209"/>
    <mergeCell ref="DJ211:DK211"/>
    <mergeCell ref="DM211:DM214"/>
    <mergeCell ref="DN211:DN212"/>
    <mergeCell ref="DE212:DG214"/>
    <mergeCell ref="AS189:AS192"/>
    <mergeCell ref="AU196:AU198"/>
    <mergeCell ref="CV206:CW206"/>
    <mergeCell ref="BB197:BC197"/>
    <mergeCell ref="Z194:AA197"/>
    <mergeCell ref="AN207:AO207"/>
    <mergeCell ref="BL207:BM207"/>
    <mergeCell ref="CX191:CY191"/>
    <mergeCell ref="DF189:DG191"/>
    <mergeCell ref="DH189:DI189"/>
    <mergeCell ref="DJ206:DK206"/>
    <mergeCell ref="CX206:CY206"/>
    <mergeCell ref="BN206:BO206"/>
    <mergeCell ref="BG189:BG190"/>
    <mergeCell ref="BX191:BY191"/>
    <mergeCell ref="CH201:CI202"/>
    <mergeCell ref="BZ195:CA195"/>
    <mergeCell ref="BN203:BO203"/>
    <mergeCell ref="BV203:BY203"/>
    <mergeCell ref="BL198:BM198"/>
    <mergeCell ref="BN198:BO198"/>
    <mergeCell ref="BS196:BS198"/>
    <mergeCell ref="BN202:BO202"/>
    <mergeCell ref="AS199:AT201"/>
    <mergeCell ref="AU199:AU201"/>
    <mergeCell ref="AL201:AM202"/>
    <mergeCell ref="DH194:DI194"/>
    <mergeCell ref="AW189:AW203"/>
    <mergeCell ref="AI203:AI205"/>
    <mergeCell ref="AI191:AI192"/>
    <mergeCell ref="AN190:AO190"/>
    <mergeCell ref="BI211:BM211"/>
    <mergeCell ref="BN211:BO211"/>
    <mergeCell ref="BL206:BM206"/>
    <mergeCell ref="AB198:AC198"/>
    <mergeCell ref="AB204:AC204"/>
    <mergeCell ref="AB214:AC214"/>
    <mergeCell ref="AD214:AE214"/>
    <mergeCell ref="CL213:CM213"/>
    <mergeCell ref="CJ213:CK213"/>
    <mergeCell ref="CV213:CW213"/>
    <mergeCell ref="CJ212:CK212"/>
    <mergeCell ref="BL205:BM205"/>
    <mergeCell ref="BN193:BO193"/>
    <mergeCell ref="BR211:BR212"/>
    <mergeCell ref="BX212:BY212"/>
    <mergeCell ref="DN191:DN192"/>
    <mergeCell ref="BR191:BR192"/>
    <mergeCell ref="BZ211:CA211"/>
    <mergeCell ref="CX203:CY203"/>
    <mergeCell ref="CC189:CC192"/>
    <mergeCell ref="DO196:DO198"/>
    <mergeCell ref="CJ201:CK201"/>
    <mergeCell ref="BL212:BM212"/>
    <mergeCell ref="CS211:CW211"/>
    <mergeCell ref="CS212:CU214"/>
    <mergeCell ref="CV212:CW212"/>
    <mergeCell ref="CJ202:CK202"/>
    <mergeCell ref="DO199:DO201"/>
    <mergeCell ref="DJ197:DK197"/>
    <mergeCell ref="DO193:DO195"/>
    <mergeCell ref="CL198:CM198"/>
    <mergeCell ref="DJ204:DK204"/>
    <mergeCell ref="DJ194:DK194"/>
    <mergeCell ref="CL197:CM197"/>
    <mergeCell ref="DA196:DB198"/>
    <mergeCell ref="CV202:CW202"/>
    <mergeCell ref="CV193:CW193"/>
    <mergeCell ref="BX194:BY194"/>
    <mergeCell ref="DJ203:DK203"/>
    <mergeCell ref="CJ194:CK194"/>
    <mergeCell ref="DO213:DO214"/>
    <mergeCell ref="DO206:DO208"/>
    <mergeCell ref="DJ214:DK214"/>
    <mergeCell ref="DJ193:DK193"/>
    <mergeCell ref="DJ201:DK201"/>
    <mergeCell ref="DJ205:DK205"/>
    <mergeCell ref="BZ203:CA203"/>
    <mergeCell ref="BX197:BY197"/>
    <mergeCell ref="BZ197:CA197"/>
    <mergeCell ref="BZ205:CA205"/>
    <mergeCell ref="CH198:CI200"/>
    <mergeCell ref="BJ198:BK200"/>
    <mergeCell ref="BN199:BO199"/>
    <mergeCell ref="BZ212:CA212"/>
    <mergeCell ref="CC211:CC214"/>
    <mergeCell ref="BN207:BO207"/>
    <mergeCell ref="CU210:CW210"/>
    <mergeCell ref="CX213:CY213"/>
    <mergeCell ref="CJ205:CK205"/>
    <mergeCell ref="CL203:CM203"/>
    <mergeCell ref="CH203:CK203"/>
    <mergeCell ref="CO203:CP205"/>
    <mergeCell ref="CQ193:CQ195"/>
    <mergeCell ref="BU189:BU203"/>
    <mergeCell ref="BZ193:CA193"/>
    <mergeCell ref="BZ196:CA196"/>
    <mergeCell ref="CL201:CM201"/>
    <mergeCell ref="CJ197:CK197"/>
    <mergeCell ref="CQ203:CQ205"/>
    <mergeCell ref="BI204:BK207"/>
    <mergeCell ref="CH192:CI193"/>
    <mergeCell ref="DM189:DM192"/>
    <mergeCell ref="DO189:DO190"/>
    <mergeCell ref="DO203:DO205"/>
    <mergeCell ref="BL200:BM200"/>
    <mergeCell ref="DM199:DN201"/>
    <mergeCell ref="DN189:DN190"/>
    <mergeCell ref="CL212:CM212"/>
    <mergeCell ref="BN212:BO212"/>
    <mergeCell ref="DE204:DG207"/>
    <mergeCell ref="DA203:DB205"/>
    <mergeCell ref="DC203:DC205"/>
    <mergeCell ref="BJ203:BM203"/>
    <mergeCell ref="DL210:DM210"/>
    <mergeCell ref="CC206:CD208"/>
    <mergeCell ref="CX207:CY207"/>
    <mergeCell ref="BQ206:BR208"/>
    <mergeCell ref="BS206:BS208"/>
    <mergeCell ref="BS211:BS212"/>
    <mergeCell ref="CL207:CM207"/>
    <mergeCell ref="BN189:BO189"/>
    <mergeCell ref="BS203:BS205"/>
    <mergeCell ref="CQ196:CQ198"/>
    <mergeCell ref="CX202:CY202"/>
    <mergeCell ref="BX190:BY190"/>
    <mergeCell ref="CV196:CW196"/>
    <mergeCell ref="CE203:CE205"/>
    <mergeCell ref="CL193:CM193"/>
    <mergeCell ref="CE199:CE201"/>
    <mergeCell ref="BX206:BY206"/>
    <mergeCell ref="BN201:BO201"/>
    <mergeCell ref="CV195:CW195"/>
    <mergeCell ref="CO196:CP198"/>
    <mergeCell ref="CX199:CY199"/>
    <mergeCell ref="CG189:CG203"/>
    <mergeCell ref="CE193:CE195"/>
    <mergeCell ref="BV194:BW197"/>
    <mergeCell ref="CC196:CD198"/>
    <mergeCell ref="CE196:CE198"/>
    <mergeCell ref="CP189:CP190"/>
    <mergeCell ref="CH194:CI197"/>
    <mergeCell ref="BX196:BY196"/>
    <mergeCell ref="BZ194:CA194"/>
    <mergeCell ref="BS199:BS201"/>
    <mergeCell ref="BN196:BO196"/>
    <mergeCell ref="BQ199:BR201"/>
    <mergeCell ref="CG212:CI214"/>
    <mergeCell ref="BX207:BY207"/>
    <mergeCell ref="CJ200:CK200"/>
    <mergeCell ref="CJ204:CK204"/>
    <mergeCell ref="BZ204:CA204"/>
    <mergeCell ref="BR189:BR190"/>
    <mergeCell ref="BX193:BY193"/>
    <mergeCell ref="CV214:CW214"/>
    <mergeCell ref="CX214:CY214"/>
    <mergeCell ref="DC213:DC214"/>
    <mergeCell ref="BN213:BO213"/>
    <mergeCell ref="BR213:BR214"/>
    <mergeCell ref="CO211:CO214"/>
    <mergeCell ref="DJ202:DK202"/>
    <mergeCell ref="DH204:DI204"/>
    <mergeCell ref="CT201:CU202"/>
    <mergeCell ref="DA199:DB201"/>
    <mergeCell ref="DH205:DI205"/>
    <mergeCell ref="CS189:CS203"/>
    <mergeCell ref="BZ190:CA190"/>
    <mergeCell ref="BS189:BS190"/>
    <mergeCell ref="CX198:CY198"/>
    <mergeCell ref="BS193:BS195"/>
    <mergeCell ref="BQ196:BR198"/>
    <mergeCell ref="CJ191:CK191"/>
    <mergeCell ref="BV189:BW191"/>
    <mergeCell ref="BQ189:BQ192"/>
    <mergeCell ref="BN190:BO190"/>
    <mergeCell ref="BL193:BM193"/>
    <mergeCell ref="BZ206:CA206"/>
    <mergeCell ref="CL206:CM206"/>
    <mergeCell ref="BN191:BO191"/>
    <mergeCell ref="CL189:CM189"/>
    <mergeCell ref="CL190:CM190"/>
    <mergeCell ref="BL195:BM195"/>
    <mergeCell ref="BN192:BO192"/>
    <mergeCell ref="BL189:BM189"/>
    <mergeCell ref="BQ193:BR195"/>
    <mergeCell ref="CL192:CM192"/>
    <mergeCell ref="CX205:CY205"/>
    <mergeCell ref="BL192:BM192"/>
    <mergeCell ref="BL204:BM204"/>
    <mergeCell ref="CO199:CP201"/>
    <mergeCell ref="BV201:BW202"/>
    <mergeCell ref="BU204:BW207"/>
    <mergeCell ref="CV191:CW191"/>
    <mergeCell ref="DF201:DG202"/>
    <mergeCell ref="DH201:DI201"/>
    <mergeCell ref="CC203:CD205"/>
    <mergeCell ref="CT203:CW203"/>
    <mergeCell ref="CL204:CM204"/>
    <mergeCell ref="BX189:BY189"/>
    <mergeCell ref="BZ189:CA189"/>
    <mergeCell ref="BL190:BM190"/>
    <mergeCell ref="CV199:CW199"/>
    <mergeCell ref="CJ189:CK189"/>
    <mergeCell ref="CJ190:CK190"/>
    <mergeCell ref="BX202:BY202"/>
    <mergeCell ref="CV194:CW194"/>
    <mergeCell ref="CX194:CY194"/>
    <mergeCell ref="BN197:BO197"/>
    <mergeCell ref="CS204:CU207"/>
    <mergeCell ref="CJ207:CK207"/>
    <mergeCell ref="CJ198:CK198"/>
    <mergeCell ref="BZ198:CA198"/>
    <mergeCell ref="BV198:BW200"/>
    <mergeCell ref="BZ201:CA201"/>
    <mergeCell ref="CV192:CW192"/>
    <mergeCell ref="BZ202:CA202"/>
    <mergeCell ref="BX200:BY200"/>
    <mergeCell ref="BX199:BY199"/>
    <mergeCell ref="CJ199:CK199"/>
    <mergeCell ref="BN204:BO204"/>
    <mergeCell ref="BL202:BM202"/>
    <mergeCell ref="DH202:DI202"/>
    <mergeCell ref="BZ192:CA192"/>
    <mergeCell ref="DJ200:DK200"/>
    <mergeCell ref="CL199:CM199"/>
    <mergeCell ref="P195:Q195"/>
    <mergeCell ref="AK204:AM207"/>
    <mergeCell ref="R193:S193"/>
    <mergeCell ref="U193:V195"/>
    <mergeCell ref="W193:W195"/>
    <mergeCell ref="AN193:AO193"/>
    <mergeCell ref="D196:E196"/>
    <mergeCell ref="F199:G199"/>
    <mergeCell ref="BG191:BG192"/>
    <mergeCell ref="AN196:AO196"/>
    <mergeCell ref="BE206:BF208"/>
    <mergeCell ref="AS193:AT195"/>
    <mergeCell ref="AS196:AT198"/>
    <mergeCell ref="AN195:AO195"/>
    <mergeCell ref="AW204:AY207"/>
    <mergeCell ref="AZ204:BA204"/>
    <mergeCell ref="BJ192:BK193"/>
    <mergeCell ref="AZ195:BA195"/>
    <mergeCell ref="AZ192:BA192"/>
    <mergeCell ref="AZ201:BA201"/>
    <mergeCell ref="AP192:AQ192"/>
    <mergeCell ref="AP205:AQ205"/>
    <mergeCell ref="AP204:AQ204"/>
    <mergeCell ref="AZ196:BA196"/>
    <mergeCell ref="BE193:BF195"/>
    <mergeCell ref="AZ191:BA191"/>
    <mergeCell ref="I199:J201"/>
    <mergeCell ref="AB197:AC197"/>
    <mergeCell ref="V191:V192"/>
    <mergeCell ref="R198:S198"/>
    <mergeCell ref="AP194:AQ194"/>
    <mergeCell ref="BB192:BC192"/>
    <mergeCell ref="BG199:BG201"/>
    <mergeCell ref="BE203:BF205"/>
    <mergeCell ref="BG203:BG205"/>
    <mergeCell ref="BF191:BF192"/>
    <mergeCell ref="BI208:BI209"/>
    <mergeCell ref="AU193:AU195"/>
    <mergeCell ref="AS206:AT208"/>
    <mergeCell ref="BE189:BE192"/>
    <mergeCell ref="BB207:BC207"/>
    <mergeCell ref="AZ202:BA202"/>
    <mergeCell ref="Y208:Y209"/>
    <mergeCell ref="BJ189:BK191"/>
    <mergeCell ref="P191:Q191"/>
    <mergeCell ref="AI196:AI198"/>
    <mergeCell ref="BG196:BG198"/>
    <mergeCell ref="F194:G194"/>
    <mergeCell ref="AB201:AC201"/>
    <mergeCell ref="I193:J195"/>
    <mergeCell ref="I196:J198"/>
    <mergeCell ref="K196:K198"/>
    <mergeCell ref="P196:Q196"/>
    <mergeCell ref="AP195:AQ195"/>
    <mergeCell ref="AP196:AQ196"/>
    <mergeCell ref="BE196:BF198"/>
    <mergeCell ref="D191:E191"/>
    <mergeCell ref="D201:E201"/>
    <mergeCell ref="K199:K201"/>
    <mergeCell ref="K193:K195"/>
    <mergeCell ref="AZ197:BA197"/>
    <mergeCell ref="D198:E198"/>
    <mergeCell ref="D193:E193"/>
    <mergeCell ref="D199:E199"/>
    <mergeCell ref="BG187:BG188"/>
    <mergeCell ref="DO191:DO192"/>
    <mergeCell ref="DH193:DI193"/>
    <mergeCell ref="DC191:DC192"/>
    <mergeCell ref="CX200:CY200"/>
    <mergeCell ref="DM203:DN205"/>
    <mergeCell ref="DM193:DN195"/>
    <mergeCell ref="CV204:CW204"/>
    <mergeCell ref="CL205:CM205"/>
    <mergeCell ref="CX204:CY204"/>
    <mergeCell ref="CG204:CI207"/>
    <mergeCell ref="BZ199:CA199"/>
    <mergeCell ref="DJ198:DK198"/>
    <mergeCell ref="CX196:CY196"/>
    <mergeCell ref="CV197:CW197"/>
    <mergeCell ref="DH199:DI199"/>
    <mergeCell ref="CV200:CW200"/>
    <mergeCell ref="CL202:CM202"/>
    <mergeCell ref="CV189:CW189"/>
    <mergeCell ref="CJ193:CK193"/>
    <mergeCell ref="F202:G202"/>
    <mergeCell ref="P189:Q189"/>
    <mergeCell ref="AN197:AO197"/>
    <mergeCell ref="AI193:AI195"/>
    <mergeCell ref="AN204:AO204"/>
    <mergeCell ref="AL194:AM197"/>
    <mergeCell ref="AN201:AO201"/>
    <mergeCell ref="AB187:AC187"/>
    <mergeCell ref="W187:W188"/>
    <mergeCell ref="Z198:AA200"/>
    <mergeCell ref="R195:S195"/>
    <mergeCell ref="BN187:BO187"/>
    <mergeCell ref="AN205:AO205"/>
    <mergeCell ref="AH191:AH192"/>
    <mergeCell ref="AB190:AC190"/>
    <mergeCell ref="R202:S202"/>
    <mergeCell ref="BN188:BO188"/>
    <mergeCell ref="BB193:BC193"/>
    <mergeCell ref="BB201:BC201"/>
    <mergeCell ref="AD196:AE196"/>
    <mergeCell ref="AU203:AU205"/>
    <mergeCell ref="BB203:BC203"/>
    <mergeCell ref="AP189:AQ189"/>
    <mergeCell ref="AZ190:BA190"/>
    <mergeCell ref="BB190:BC190"/>
    <mergeCell ref="BB189:BC189"/>
    <mergeCell ref="DF203:DI203"/>
    <mergeCell ref="DH191:DI191"/>
    <mergeCell ref="CX197:CY197"/>
    <mergeCell ref="DH197:DI197"/>
    <mergeCell ref="DE189:DE203"/>
    <mergeCell ref="CL191:CM191"/>
    <mergeCell ref="CC199:CD201"/>
    <mergeCell ref="CV201:CW201"/>
    <mergeCell ref="CX201:CY201"/>
    <mergeCell ref="BZ191:CA191"/>
    <mergeCell ref="CX193:CY193"/>
    <mergeCell ref="DA193:DB195"/>
    <mergeCell ref="DC193:DC195"/>
    <mergeCell ref="DF194:DG197"/>
    <mergeCell ref="DH196:DI196"/>
    <mergeCell ref="DB189:DB190"/>
    <mergeCell ref="DC189:DC190"/>
    <mergeCell ref="DB191:DB192"/>
    <mergeCell ref="DJ190:DK190"/>
    <mergeCell ref="DJ196:DK196"/>
    <mergeCell ref="CH189:CI191"/>
    <mergeCell ref="DH192:DI192"/>
    <mergeCell ref="CV190:CW190"/>
    <mergeCell ref="CX190:CY190"/>
    <mergeCell ref="DA189:DA192"/>
    <mergeCell ref="CJ192:CK192"/>
    <mergeCell ref="DH200:DI200"/>
    <mergeCell ref="BX201:BY201"/>
    <mergeCell ref="DJ189:DK189"/>
    <mergeCell ref="DJ199:DK199"/>
    <mergeCell ref="DF198:DG200"/>
    <mergeCell ref="CV198:CW198"/>
    <mergeCell ref="BN195:BO195"/>
    <mergeCell ref="BE199:BF201"/>
    <mergeCell ref="CL196:CM196"/>
    <mergeCell ref="AZ194:BA194"/>
    <mergeCell ref="DJ195:DK195"/>
    <mergeCell ref="BB200:BC200"/>
    <mergeCell ref="CO193:CP195"/>
    <mergeCell ref="AZ193:BA193"/>
    <mergeCell ref="AZ198:BA198"/>
    <mergeCell ref="BB195:BC195"/>
    <mergeCell ref="DJ192:DK192"/>
    <mergeCell ref="BL199:BM199"/>
    <mergeCell ref="DJ191:DK191"/>
    <mergeCell ref="CX192:CY192"/>
    <mergeCell ref="BX195:BY195"/>
    <mergeCell ref="BX198:BY198"/>
    <mergeCell ref="CT189:CU191"/>
    <mergeCell ref="BL201:BM201"/>
    <mergeCell ref="BX192:BY192"/>
    <mergeCell ref="DH195:DI195"/>
    <mergeCell ref="CJ195:CK195"/>
    <mergeCell ref="CL200:CM200"/>
    <mergeCell ref="CL194:CM194"/>
    <mergeCell ref="CQ199:CQ201"/>
    <mergeCell ref="DC199:DC201"/>
    <mergeCell ref="CT192:CU193"/>
    <mergeCell ref="BZ200:CA200"/>
    <mergeCell ref="BX188:BY188"/>
    <mergeCell ref="DA185:DA188"/>
    <mergeCell ref="BF185:BF186"/>
    <mergeCell ref="V187:V188"/>
    <mergeCell ref="AD188:AE188"/>
    <mergeCell ref="CL186:CM186"/>
    <mergeCell ref="CJ187:CK187"/>
    <mergeCell ref="P186:Q186"/>
    <mergeCell ref="CQ185:CQ186"/>
    <mergeCell ref="CQ187:CQ188"/>
    <mergeCell ref="DG184:DI184"/>
    <mergeCell ref="CZ184:DA184"/>
    <mergeCell ref="CC185:CC188"/>
    <mergeCell ref="CU184:CW184"/>
    <mergeCell ref="AX189:AY191"/>
    <mergeCell ref="AX201:AY202"/>
    <mergeCell ref="AL189:AM191"/>
    <mergeCell ref="AN191:AO191"/>
    <mergeCell ref="AG196:AH198"/>
    <mergeCell ref="D187:E187"/>
    <mergeCell ref="F187:G187"/>
    <mergeCell ref="J187:J188"/>
    <mergeCell ref="K187:K188"/>
    <mergeCell ref="AB202:AC202"/>
    <mergeCell ref="M189:M203"/>
    <mergeCell ref="D190:E190"/>
    <mergeCell ref="F190:G190"/>
    <mergeCell ref="F193:G193"/>
    <mergeCell ref="CJ188:CK188"/>
    <mergeCell ref="CL188:CM188"/>
    <mergeCell ref="AZ189:BA189"/>
    <mergeCell ref="DH188:DI188"/>
    <mergeCell ref="BI189:BI203"/>
    <mergeCell ref="BL191:BM191"/>
    <mergeCell ref="BL196:BM196"/>
    <mergeCell ref="BJ194:BK197"/>
    <mergeCell ref="A185:E185"/>
    <mergeCell ref="F185:G185"/>
    <mergeCell ref="I185:I188"/>
    <mergeCell ref="J185:J186"/>
    <mergeCell ref="K185:K186"/>
    <mergeCell ref="M185:Q185"/>
    <mergeCell ref="A186:C188"/>
    <mergeCell ref="D186:E186"/>
    <mergeCell ref="F186:G186"/>
    <mergeCell ref="M186:O188"/>
    <mergeCell ref="BI186:BK188"/>
    <mergeCell ref="D188:E188"/>
    <mergeCell ref="CD185:CD186"/>
    <mergeCell ref="AZ186:BA186"/>
    <mergeCell ref="BF187:BF188"/>
    <mergeCell ref="AU187:AU188"/>
    <mergeCell ref="DC187:DC188"/>
    <mergeCell ref="CV186:CW186"/>
    <mergeCell ref="DF192:DG193"/>
    <mergeCell ref="BB191:BC191"/>
    <mergeCell ref="CT198:CU200"/>
    <mergeCell ref="BR185:BR186"/>
    <mergeCell ref="BZ188:CA188"/>
    <mergeCell ref="BK184:BM184"/>
    <mergeCell ref="BL194:BM194"/>
    <mergeCell ref="BN194:BO194"/>
    <mergeCell ref="DH198:DI198"/>
    <mergeCell ref="DH190:DI190"/>
    <mergeCell ref="A182:A183"/>
    <mergeCell ref="DJ185:DK185"/>
    <mergeCell ref="DM185:DM188"/>
    <mergeCell ref="DN185:DN186"/>
    <mergeCell ref="DE186:DG188"/>
    <mergeCell ref="DH186:DI186"/>
    <mergeCell ref="DJ186:DK186"/>
    <mergeCell ref="F180:G180"/>
    <mergeCell ref="BR187:BR188"/>
    <mergeCell ref="F188:G188"/>
    <mergeCell ref="DE185:DI185"/>
    <mergeCell ref="CL178:CM178"/>
    <mergeCell ref="CS178:CU181"/>
    <mergeCell ref="BI178:BK181"/>
    <mergeCell ref="CE177:CE179"/>
    <mergeCell ref="CC180:CD182"/>
    <mergeCell ref="CE180:CE182"/>
    <mergeCell ref="BN178:BO178"/>
    <mergeCell ref="AZ181:BA181"/>
    <mergeCell ref="CX186:CY186"/>
    <mergeCell ref="DH187:DI187"/>
    <mergeCell ref="BZ178:CA178"/>
    <mergeCell ref="BZ179:CA179"/>
    <mergeCell ref="BS177:BS179"/>
    <mergeCell ref="AW185:BA185"/>
    <mergeCell ref="M182:M183"/>
    <mergeCell ref="CE185:CE186"/>
    <mergeCell ref="DO187:DO188"/>
    <mergeCell ref="DJ188:DK188"/>
    <mergeCell ref="CL187:CM187"/>
    <mergeCell ref="CV187:CW187"/>
    <mergeCell ref="CJ181:CK181"/>
    <mergeCell ref="CJ179:CK179"/>
    <mergeCell ref="CG185:CK185"/>
    <mergeCell ref="CL185:CM185"/>
    <mergeCell ref="CX188:CY188"/>
    <mergeCell ref="BB185:BC185"/>
    <mergeCell ref="AN187:AO187"/>
    <mergeCell ref="BN186:BO186"/>
    <mergeCell ref="BL187:BM187"/>
    <mergeCell ref="P188:Q188"/>
    <mergeCell ref="BP184:BQ184"/>
    <mergeCell ref="AP186:AQ186"/>
    <mergeCell ref="BU185:BY185"/>
    <mergeCell ref="BB187:BC187"/>
    <mergeCell ref="AH185:AH186"/>
    <mergeCell ref="R178:S178"/>
    <mergeCell ref="BU182:BU183"/>
    <mergeCell ref="CS185:CW185"/>
    <mergeCell ref="CS186:CU188"/>
    <mergeCell ref="DJ181:DK181"/>
    <mergeCell ref="CV188:CW188"/>
    <mergeCell ref="DO180:DO182"/>
    <mergeCell ref="DH179:DI179"/>
    <mergeCell ref="DH180:DI180"/>
    <mergeCell ref="DL184:DM184"/>
    <mergeCell ref="DJ179:DK179"/>
    <mergeCell ref="C184:E184"/>
    <mergeCell ref="H184:I184"/>
    <mergeCell ref="O184:Q184"/>
    <mergeCell ref="D179:E179"/>
    <mergeCell ref="D181:E181"/>
    <mergeCell ref="BG185:BG186"/>
    <mergeCell ref="AW186:AY188"/>
    <mergeCell ref="DJ187:DK187"/>
    <mergeCell ref="DN187:DN188"/>
    <mergeCell ref="DO185:DO186"/>
    <mergeCell ref="BZ180:CA180"/>
    <mergeCell ref="AN181:AO181"/>
    <mergeCell ref="AP181:AQ181"/>
    <mergeCell ref="AB186:AC186"/>
    <mergeCell ref="AH187:AH188"/>
    <mergeCell ref="AI187:AI188"/>
    <mergeCell ref="AD186:AE186"/>
    <mergeCell ref="BS185:BS186"/>
    <mergeCell ref="CG178:CI181"/>
    <mergeCell ref="CJ178:CK178"/>
    <mergeCell ref="CG182:CG183"/>
    <mergeCell ref="CI184:CK184"/>
    <mergeCell ref="CN184:CO184"/>
    <mergeCell ref="P187:Q187"/>
    <mergeCell ref="V185:V186"/>
    <mergeCell ref="CX185:CY185"/>
    <mergeCell ref="CP187:CP188"/>
    <mergeCell ref="CJ186:CK186"/>
    <mergeCell ref="CO185:CO188"/>
    <mergeCell ref="CP185:CP186"/>
    <mergeCell ref="CD187:CD188"/>
    <mergeCell ref="CE187:CE188"/>
    <mergeCell ref="AP177:AQ177"/>
    <mergeCell ref="AN168:AO168"/>
    <mergeCell ref="AD181:AE181"/>
    <mergeCell ref="BL181:BM181"/>
    <mergeCell ref="AB188:AC188"/>
    <mergeCell ref="AB168:AC168"/>
    <mergeCell ref="Y185:AC185"/>
    <mergeCell ref="AA184:AC184"/>
    <mergeCell ref="AF184:AG184"/>
    <mergeCell ref="BV177:BY177"/>
    <mergeCell ref="BN180:BO180"/>
    <mergeCell ref="BN174:BO174"/>
    <mergeCell ref="CL173:CM173"/>
    <mergeCell ref="CL170:CM170"/>
    <mergeCell ref="CX187:CY187"/>
    <mergeCell ref="BL188:BM188"/>
    <mergeCell ref="BU163:BU177"/>
    <mergeCell ref="BQ163:BQ166"/>
    <mergeCell ref="BL164:BM164"/>
    <mergeCell ref="BE185:BE188"/>
    <mergeCell ref="R186:S186"/>
    <mergeCell ref="BX169:BY169"/>
    <mergeCell ref="AG185:AG188"/>
    <mergeCell ref="R180:S180"/>
    <mergeCell ref="AB181:AC181"/>
    <mergeCell ref="BU186:BW188"/>
    <mergeCell ref="BX186:BY186"/>
    <mergeCell ref="BZ186:CA186"/>
    <mergeCell ref="BS187:BS188"/>
    <mergeCell ref="BX187:BY187"/>
    <mergeCell ref="BZ187:CA187"/>
    <mergeCell ref="R185:S185"/>
    <mergeCell ref="R179:S179"/>
    <mergeCell ref="AB166:AC166"/>
    <mergeCell ref="AK178:AM181"/>
    <mergeCell ref="AN169:AO169"/>
    <mergeCell ref="AN170:AO170"/>
    <mergeCell ref="Z168:AA171"/>
    <mergeCell ref="AY184:BA184"/>
    <mergeCell ref="DB185:DB186"/>
    <mergeCell ref="DC185:DC186"/>
    <mergeCell ref="U180:V182"/>
    <mergeCell ref="U185:U188"/>
    <mergeCell ref="R188:S188"/>
    <mergeCell ref="R181:S181"/>
    <mergeCell ref="AP164:AQ164"/>
    <mergeCell ref="BN166:BO166"/>
    <mergeCell ref="AZ175:BA175"/>
    <mergeCell ref="AN171:AO171"/>
    <mergeCell ref="BB170:BC170"/>
    <mergeCell ref="AZ169:BA169"/>
    <mergeCell ref="CJ180:CK180"/>
    <mergeCell ref="AZ165:BA165"/>
    <mergeCell ref="CE173:CE175"/>
    <mergeCell ref="BN179:BO179"/>
    <mergeCell ref="BL168:BM168"/>
    <mergeCell ref="AP165:AQ165"/>
    <mergeCell ref="AP170:AQ170"/>
    <mergeCell ref="AL166:AM167"/>
    <mergeCell ref="AL168:AM171"/>
    <mergeCell ref="AP175:AQ175"/>
    <mergeCell ref="AD170:AE170"/>
    <mergeCell ref="AP176:AQ176"/>
    <mergeCell ref="AP172:AQ172"/>
    <mergeCell ref="AP173:AQ173"/>
    <mergeCell ref="BB181:BC181"/>
    <mergeCell ref="AZ170:BA170"/>
    <mergeCell ref="AZ164:BA164"/>
    <mergeCell ref="R187:S187"/>
    <mergeCell ref="CD163:CD164"/>
    <mergeCell ref="BG170:BG172"/>
    <mergeCell ref="AN166:AO166"/>
    <mergeCell ref="AP163:AQ163"/>
    <mergeCell ref="CO180:CP182"/>
    <mergeCell ref="CL180:CM180"/>
    <mergeCell ref="AS185:AS188"/>
    <mergeCell ref="BX163:BY163"/>
    <mergeCell ref="BI185:BM185"/>
    <mergeCell ref="BZ164:CA164"/>
    <mergeCell ref="BX165:BY165"/>
    <mergeCell ref="BJ166:BK167"/>
    <mergeCell ref="DB187:DB188"/>
    <mergeCell ref="V165:V166"/>
    <mergeCell ref="AP185:AQ185"/>
    <mergeCell ref="AZ179:BA179"/>
    <mergeCell ref="AB179:AC179"/>
    <mergeCell ref="CL177:CM177"/>
    <mergeCell ref="CT177:CW177"/>
    <mergeCell ref="BI163:BI177"/>
    <mergeCell ref="AW178:AY181"/>
    <mergeCell ref="AP169:AQ169"/>
    <mergeCell ref="AU167:AU169"/>
    <mergeCell ref="BL169:BM169"/>
    <mergeCell ref="CX181:CY181"/>
    <mergeCell ref="BG173:BG175"/>
    <mergeCell ref="AX175:AY176"/>
    <mergeCell ref="W163:W164"/>
    <mergeCell ref="AP187:AQ187"/>
    <mergeCell ref="BD184:BE184"/>
    <mergeCell ref="CG186:CI188"/>
    <mergeCell ref="U163:U166"/>
    <mergeCell ref="BZ185:CA185"/>
    <mergeCell ref="BF165:BF166"/>
    <mergeCell ref="T184:U184"/>
    <mergeCell ref="CB184:CC184"/>
    <mergeCell ref="BX164:BY164"/>
    <mergeCell ref="AB178:AC178"/>
    <mergeCell ref="AG177:AH179"/>
    <mergeCell ref="CO170:CP172"/>
    <mergeCell ref="CL167:CM167"/>
    <mergeCell ref="CE167:CE169"/>
    <mergeCell ref="CC170:CD172"/>
    <mergeCell ref="CC177:CD179"/>
    <mergeCell ref="BZ177:CA177"/>
    <mergeCell ref="CG163:CG177"/>
    <mergeCell ref="BX178:BY178"/>
    <mergeCell ref="BG163:BG164"/>
    <mergeCell ref="BG165:BG166"/>
    <mergeCell ref="BG177:BG179"/>
    <mergeCell ref="AL172:AM174"/>
    <mergeCell ref="CO167:CP169"/>
    <mergeCell ref="Z172:AA174"/>
    <mergeCell ref="R172:S172"/>
    <mergeCell ref="V163:V164"/>
    <mergeCell ref="BZ168:CA168"/>
    <mergeCell ref="BZ169:CA169"/>
    <mergeCell ref="BZ171:CA171"/>
    <mergeCell ref="AU173:AU175"/>
    <mergeCell ref="AL175:AM176"/>
    <mergeCell ref="AN175:AO175"/>
    <mergeCell ref="R171:S171"/>
    <mergeCell ref="AD168:AE168"/>
    <mergeCell ref="BN163:BO163"/>
    <mergeCell ref="AG167:AH169"/>
    <mergeCell ref="AG170:AH172"/>
    <mergeCell ref="BN168:BO168"/>
    <mergeCell ref="AS170:AT172"/>
    <mergeCell ref="BN164:BO164"/>
    <mergeCell ref="BL175:BM175"/>
    <mergeCell ref="AW163:AW177"/>
    <mergeCell ref="U170:V172"/>
    <mergeCell ref="AH163:AH164"/>
    <mergeCell ref="BV166:BW167"/>
    <mergeCell ref="BX180:BY180"/>
    <mergeCell ref="AU177:AU179"/>
    <mergeCell ref="BB179:BC179"/>
    <mergeCell ref="BR163:BR164"/>
    <mergeCell ref="BS163:BS164"/>
    <mergeCell ref="BR165:BR166"/>
    <mergeCell ref="BS165:BS166"/>
    <mergeCell ref="BN169:BO169"/>
    <mergeCell ref="AT163:AT164"/>
    <mergeCell ref="AP178:AQ178"/>
    <mergeCell ref="F168:G168"/>
    <mergeCell ref="BL171:BM171"/>
    <mergeCell ref="BQ173:BR175"/>
    <mergeCell ref="BL174:BM174"/>
    <mergeCell ref="CX176:CY176"/>
    <mergeCell ref="CV180:CW180"/>
    <mergeCell ref="AP166:AQ166"/>
    <mergeCell ref="AP180:AQ180"/>
    <mergeCell ref="AW182:AW183"/>
    <mergeCell ref="AZ180:BA180"/>
    <mergeCell ref="CX171:CY171"/>
    <mergeCell ref="BX176:BY176"/>
    <mergeCell ref="DC167:DC169"/>
    <mergeCell ref="CL181:CM181"/>
    <mergeCell ref="BZ165:CA165"/>
    <mergeCell ref="CV167:CW167"/>
    <mergeCell ref="BG180:BG182"/>
    <mergeCell ref="BJ177:BM177"/>
    <mergeCell ref="BN177:BO177"/>
    <mergeCell ref="BQ177:BR179"/>
    <mergeCell ref="CH166:CI167"/>
    <mergeCell ref="BZ166:CA166"/>
    <mergeCell ref="CD165:CD166"/>
    <mergeCell ref="AZ166:BA166"/>
    <mergeCell ref="BB166:BC166"/>
    <mergeCell ref="BN171:BO171"/>
    <mergeCell ref="CV179:CW179"/>
    <mergeCell ref="AZ171:BA171"/>
    <mergeCell ref="BB171:BC171"/>
    <mergeCell ref="BB173:BC173"/>
    <mergeCell ref="AP179:AQ179"/>
    <mergeCell ref="BB169:BC169"/>
    <mergeCell ref="BJ172:BK174"/>
    <mergeCell ref="BE167:BF169"/>
    <mergeCell ref="BG167:BG169"/>
    <mergeCell ref="AX168:AY171"/>
    <mergeCell ref="BB175:BC175"/>
    <mergeCell ref="BB167:BC167"/>
    <mergeCell ref="BL167:BM167"/>
    <mergeCell ref="AU170:AU172"/>
    <mergeCell ref="AX166:AY167"/>
    <mergeCell ref="CV178:CW178"/>
    <mergeCell ref="BN173:BO173"/>
    <mergeCell ref="BQ167:BR169"/>
    <mergeCell ref="BS167:BS169"/>
    <mergeCell ref="BS180:BS182"/>
    <mergeCell ref="U173:V175"/>
    <mergeCell ref="AS177:AT179"/>
    <mergeCell ref="I180:J182"/>
    <mergeCell ref="K180:K182"/>
    <mergeCell ref="AN179:AO179"/>
    <mergeCell ref="AD180:AE180"/>
    <mergeCell ref="CV181:CW181"/>
    <mergeCell ref="BI182:BI183"/>
    <mergeCell ref="CS182:CS183"/>
    <mergeCell ref="F181:G181"/>
    <mergeCell ref="CH168:CI171"/>
    <mergeCell ref="AB176:AC176"/>
    <mergeCell ref="R169:S169"/>
    <mergeCell ref="W180:W182"/>
    <mergeCell ref="BX181:BY181"/>
    <mergeCell ref="U177:V179"/>
    <mergeCell ref="W177:W179"/>
    <mergeCell ref="W165:W166"/>
    <mergeCell ref="DJ170:DK170"/>
    <mergeCell ref="BN176:BO176"/>
    <mergeCell ref="DF168:DG171"/>
    <mergeCell ref="AS167:AT169"/>
    <mergeCell ref="BN175:BO175"/>
    <mergeCell ref="AB169:AC169"/>
    <mergeCell ref="AB172:AC172"/>
    <mergeCell ref="AB175:AC175"/>
    <mergeCell ref="AB174:AC174"/>
    <mergeCell ref="AD172:AE172"/>
    <mergeCell ref="DE178:DG181"/>
    <mergeCell ref="DH171:DI171"/>
    <mergeCell ref="BJ175:BK176"/>
    <mergeCell ref="BE173:BF175"/>
    <mergeCell ref="DH181:DI181"/>
    <mergeCell ref="BN167:BO167"/>
    <mergeCell ref="CX174:CY174"/>
    <mergeCell ref="DH174:DI174"/>
    <mergeCell ref="CX167:CY167"/>
    <mergeCell ref="CS163:CS177"/>
    <mergeCell ref="DH176:DI176"/>
    <mergeCell ref="DE182:DE183"/>
    <mergeCell ref="BJ163:BK165"/>
    <mergeCell ref="BL172:BM172"/>
    <mergeCell ref="BN172:BO172"/>
    <mergeCell ref="BZ181:CA181"/>
    <mergeCell ref="AX177:BA177"/>
    <mergeCell ref="BE177:BF179"/>
    <mergeCell ref="BX174:BY174"/>
    <mergeCell ref="BZ174:CA174"/>
    <mergeCell ref="BX166:BY166"/>
    <mergeCell ref="BX171:BY171"/>
    <mergeCell ref="CE163:CE164"/>
    <mergeCell ref="BV175:BW176"/>
    <mergeCell ref="BB163:BC163"/>
    <mergeCell ref="BU178:BW181"/>
    <mergeCell ref="CJ169:CK169"/>
    <mergeCell ref="CX180:CY180"/>
    <mergeCell ref="CL169:CM169"/>
    <mergeCell ref="BQ180:BR182"/>
    <mergeCell ref="BJ168:BK171"/>
    <mergeCell ref="BL170:BM170"/>
    <mergeCell ref="BN181:BO181"/>
    <mergeCell ref="BE180:BF182"/>
    <mergeCell ref="CC167:CD169"/>
    <mergeCell ref="BX170:BY170"/>
    <mergeCell ref="BN170:BO170"/>
    <mergeCell ref="AP168:AQ168"/>
    <mergeCell ref="BV168:BW171"/>
    <mergeCell ref="BZ170:CA170"/>
    <mergeCell ref="DC173:DC175"/>
    <mergeCell ref="BV172:BW174"/>
    <mergeCell ref="CO177:CP179"/>
    <mergeCell ref="BX179:BY179"/>
    <mergeCell ref="CX178:CY178"/>
    <mergeCell ref="AN174:AO174"/>
    <mergeCell ref="AD175:AE175"/>
    <mergeCell ref="AI165:AI166"/>
    <mergeCell ref="BB176:BC176"/>
    <mergeCell ref="AZ176:BA176"/>
    <mergeCell ref="BE163:BE166"/>
    <mergeCell ref="BF163:BF164"/>
    <mergeCell ref="BV163:BW165"/>
    <mergeCell ref="BL165:BM165"/>
    <mergeCell ref="EH178:EI178"/>
    <mergeCell ref="EF178:EG178"/>
    <mergeCell ref="EC163:EC177"/>
    <mergeCell ref="CC163:CC166"/>
    <mergeCell ref="DM170:DN172"/>
    <mergeCell ref="DM173:DN175"/>
    <mergeCell ref="DA173:DB175"/>
    <mergeCell ref="BX167:BY167"/>
    <mergeCell ref="BZ167:CA167"/>
    <mergeCell ref="BX168:BY168"/>
    <mergeCell ref="DJ175:DK175"/>
    <mergeCell ref="DR175:DS176"/>
    <mergeCell ref="DA167:DB169"/>
    <mergeCell ref="DO170:DO172"/>
    <mergeCell ref="BX173:BY173"/>
    <mergeCell ref="BX172:BY172"/>
    <mergeCell ref="DN163:DN164"/>
    <mergeCell ref="BZ172:CA172"/>
    <mergeCell ref="CV169:CW169"/>
    <mergeCell ref="CX169:CY169"/>
    <mergeCell ref="CV170:CW170"/>
    <mergeCell ref="CX170:CY170"/>
    <mergeCell ref="CV171:CW171"/>
    <mergeCell ref="CX165:CY165"/>
    <mergeCell ref="DJ174:DK174"/>
    <mergeCell ref="CC173:CD175"/>
    <mergeCell ref="DF175:DG176"/>
    <mergeCell ref="DH175:DI175"/>
    <mergeCell ref="CV176:CW176"/>
    <mergeCell ref="DH173:DI173"/>
    <mergeCell ref="CV174:CW174"/>
    <mergeCell ref="CT175:CU176"/>
    <mergeCell ref="EC178:EE181"/>
    <mergeCell ref="ED177:EG177"/>
    <mergeCell ref="CH177:CK177"/>
    <mergeCell ref="CL166:CM166"/>
    <mergeCell ref="CJ167:CK167"/>
    <mergeCell ref="CT166:CU167"/>
    <mergeCell ref="CV166:CW166"/>
    <mergeCell ref="CX166:CY166"/>
    <mergeCell ref="DR168:DS171"/>
    <mergeCell ref="DT168:DU168"/>
    <mergeCell ref="DH169:DI169"/>
    <mergeCell ref="DR172:DS174"/>
    <mergeCell ref="DH172:DI172"/>
    <mergeCell ref="CV173:CW173"/>
    <mergeCell ref="CX173:CY173"/>
    <mergeCell ref="DH164:DI164"/>
    <mergeCell ref="DA163:DA166"/>
    <mergeCell ref="CL165:CM165"/>
    <mergeCell ref="CL168:CM168"/>
    <mergeCell ref="DT173:DU173"/>
    <mergeCell ref="DM177:DN179"/>
    <mergeCell ref="DO177:DO179"/>
    <mergeCell ref="DR177:DU177"/>
    <mergeCell ref="DQ178:DS181"/>
    <mergeCell ref="DT179:DU179"/>
    <mergeCell ref="DJ180:DK180"/>
    <mergeCell ref="CX177:CY177"/>
    <mergeCell ref="DA177:DB179"/>
    <mergeCell ref="DC177:DC179"/>
    <mergeCell ref="DJ177:DK177"/>
    <mergeCell ref="DJ178:DK178"/>
    <mergeCell ref="DT174:DU174"/>
    <mergeCell ref="DO173:DO175"/>
    <mergeCell ref="DV169:DW169"/>
    <mergeCell ref="DN165:DN166"/>
    <mergeCell ref="CV165:CW165"/>
    <mergeCell ref="DJ163:DK163"/>
    <mergeCell ref="DF166:DG167"/>
    <mergeCell ref="DH166:DI166"/>
    <mergeCell ref="DM167:DN169"/>
    <mergeCell ref="EA180:EA182"/>
    <mergeCell ref="DH167:DI167"/>
    <mergeCell ref="DT170:DU170"/>
    <mergeCell ref="DT169:DU169"/>
    <mergeCell ref="DH170:DI170"/>
    <mergeCell ref="EF176:EG176"/>
    <mergeCell ref="DF177:DI177"/>
    <mergeCell ref="CJ166:CK166"/>
    <mergeCell ref="CX175:CY175"/>
    <mergeCell ref="CT172:CU174"/>
    <mergeCell ref="DY177:DZ179"/>
    <mergeCell ref="DV176:DW176"/>
    <mergeCell ref="DV167:DW167"/>
    <mergeCell ref="DT163:DU163"/>
    <mergeCell ref="DV177:DW177"/>
    <mergeCell ref="DV170:DW170"/>
    <mergeCell ref="DV171:DW171"/>
    <mergeCell ref="DT180:DU180"/>
    <mergeCell ref="EH177:EI177"/>
    <mergeCell ref="ER169:ES169"/>
    <mergeCell ref="EF175:EG175"/>
    <mergeCell ref="EH175:EI175"/>
    <mergeCell ref="ER176:ES176"/>
    <mergeCell ref="ER175:ES175"/>
    <mergeCell ref="EP175:EQ176"/>
    <mergeCell ref="DO167:DO169"/>
    <mergeCell ref="DO163:DO164"/>
    <mergeCell ref="DO165:DO166"/>
    <mergeCell ref="DM163:DM166"/>
    <mergeCell ref="DJ166:DK166"/>
    <mergeCell ref="CV172:CW172"/>
    <mergeCell ref="CX172:CY172"/>
    <mergeCell ref="CV168:CW168"/>
    <mergeCell ref="DE163:DE177"/>
    <mergeCell ref="DH168:DI168"/>
    <mergeCell ref="CT168:CU171"/>
    <mergeCell ref="DF172:DG174"/>
    <mergeCell ref="CX168:CY168"/>
    <mergeCell ref="DJ176:DK176"/>
    <mergeCell ref="DC165:DC166"/>
    <mergeCell ref="CL164:CM164"/>
    <mergeCell ref="DH163:DI163"/>
    <mergeCell ref="DJ168:DK168"/>
    <mergeCell ref="DJ169:DK169"/>
    <mergeCell ref="DJ164:DK164"/>
    <mergeCell ref="DH165:DI165"/>
    <mergeCell ref="DJ165:DK165"/>
    <mergeCell ref="DJ171:DK171"/>
    <mergeCell ref="CL163:CM163"/>
    <mergeCell ref="CJ174:CK174"/>
    <mergeCell ref="CJ171:CK171"/>
    <mergeCell ref="DJ172:DK172"/>
    <mergeCell ref="CQ165:CQ166"/>
    <mergeCell ref="CL171:CM171"/>
    <mergeCell ref="DM180:DN182"/>
    <mergeCell ref="CX179:CY179"/>
    <mergeCell ref="DA180:DB182"/>
    <mergeCell ref="DC180:DC182"/>
    <mergeCell ref="BZ176:CA176"/>
    <mergeCell ref="AI170:AI172"/>
    <mergeCell ref="AG163:AG166"/>
    <mergeCell ref="Y182:Y183"/>
    <mergeCell ref="BL166:BM166"/>
    <mergeCell ref="AN172:AO172"/>
    <mergeCell ref="AZ163:BA163"/>
    <mergeCell ref="AD177:AE177"/>
    <mergeCell ref="AD173:AE173"/>
    <mergeCell ref="DB163:DB164"/>
    <mergeCell ref="DC163:DC164"/>
    <mergeCell ref="CT163:CU165"/>
    <mergeCell ref="CV163:CW163"/>
    <mergeCell ref="P176:Q176"/>
    <mergeCell ref="P172:Q172"/>
    <mergeCell ref="P181:Q181"/>
    <mergeCell ref="P169:Q169"/>
    <mergeCell ref="BZ175:CA175"/>
    <mergeCell ref="AZ172:BA172"/>
    <mergeCell ref="BB172:BC172"/>
    <mergeCell ref="AZ173:BA173"/>
    <mergeCell ref="BS170:BS172"/>
    <mergeCell ref="AU165:AU166"/>
    <mergeCell ref="CE165:CE166"/>
    <mergeCell ref="CQ173:CQ175"/>
    <mergeCell ref="CH175:CI176"/>
    <mergeCell ref="CJ175:CK175"/>
    <mergeCell ref="CJ176:CK176"/>
    <mergeCell ref="CO173:CP175"/>
    <mergeCell ref="BZ173:CA173"/>
    <mergeCell ref="AX163:AY165"/>
    <mergeCell ref="P179:Q179"/>
    <mergeCell ref="BL163:BM163"/>
    <mergeCell ref="BB165:BC165"/>
    <mergeCell ref="AD179:AE179"/>
    <mergeCell ref="DA170:DB172"/>
    <mergeCell ref="DC170:DC172"/>
    <mergeCell ref="Y178:AA181"/>
    <mergeCell ref="CQ177:CQ179"/>
    <mergeCell ref="AP171:AQ171"/>
    <mergeCell ref="AK163:AK177"/>
    <mergeCell ref="AS180:AT182"/>
    <mergeCell ref="CV175:CW175"/>
    <mergeCell ref="AU180:AU182"/>
    <mergeCell ref="R170:S170"/>
    <mergeCell ref="R166:S166"/>
    <mergeCell ref="P175:Q175"/>
    <mergeCell ref="R175:S175"/>
    <mergeCell ref="BN165:BO165"/>
    <mergeCell ref="BQ170:BR172"/>
    <mergeCell ref="P180:Q180"/>
    <mergeCell ref="BL173:BM173"/>
    <mergeCell ref="BS173:BS175"/>
    <mergeCell ref="W173:W175"/>
    <mergeCell ref="AG173:AH175"/>
    <mergeCell ref="AI173:AI175"/>
    <mergeCell ref="AP174:AQ174"/>
    <mergeCell ref="AD165:AE165"/>
    <mergeCell ref="AD166:AE166"/>
    <mergeCell ref="R174:S174"/>
    <mergeCell ref="AD163:AE163"/>
    <mergeCell ref="C158:E158"/>
    <mergeCell ref="A163:A177"/>
    <mergeCell ref="B163:C165"/>
    <mergeCell ref="D163:E163"/>
    <mergeCell ref="F163:G163"/>
    <mergeCell ref="D165:E165"/>
    <mergeCell ref="D173:E173"/>
    <mergeCell ref="D169:E169"/>
    <mergeCell ref="F169:G169"/>
    <mergeCell ref="D170:E170"/>
    <mergeCell ref="F170:G170"/>
    <mergeCell ref="I163:I166"/>
    <mergeCell ref="J163:J164"/>
    <mergeCell ref="K163:K164"/>
    <mergeCell ref="M163:M177"/>
    <mergeCell ref="J165:J166"/>
    <mergeCell ref="K165:K166"/>
    <mergeCell ref="I170:J172"/>
    <mergeCell ref="K170:K172"/>
    <mergeCell ref="N163:O165"/>
    <mergeCell ref="P163:Q163"/>
    <mergeCell ref="R163:S163"/>
    <mergeCell ref="N175:O176"/>
    <mergeCell ref="B177:E177"/>
    <mergeCell ref="F177:G177"/>
    <mergeCell ref="I177:J179"/>
    <mergeCell ref="K177:K179"/>
    <mergeCell ref="F176:G176"/>
    <mergeCell ref="D171:E171"/>
    <mergeCell ref="F171:G171"/>
    <mergeCell ref="P178:Q178"/>
    <mergeCell ref="I173:J175"/>
    <mergeCell ref="A178:C181"/>
    <mergeCell ref="D164:E164"/>
    <mergeCell ref="F164:G164"/>
    <mergeCell ref="P164:Q164"/>
    <mergeCell ref="R164:S164"/>
    <mergeCell ref="B168:C171"/>
    <mergeCell ref="N168:O171"/>
    <mergeCell ref="K173:K175"/>
    <mergeCell ref="P171:Q171"/>
    <mergeCell ref="F172:G172"/>
    <mergeCell ref="D167:E167"/>
    <mergeCell ref="F167:G167"/>
    <mergeCell ref="I167:J169"/>
    <mergeCell ref="N172:O174"/>
    <mergeCell ref="K167:K169"/>
    <mergeCell ref="F173:G173"/>
    <mergeCell ref="B166:C167"/>
    <mergeCell ref="B172:C174"/>
    <mergeCell ref="R177:S177"/>
    <mergeCell ref="P173:Q173"/>
    <mergeCell ref="R173:S173"/>
    <mergeCell ref="N166:O167"/>
    <mergeCell ref="B175:C176"/>
    <mergeCell ref="D178:E178"/>
    <mergeCell ref="D180:E180"/>
    <mergeCell ref="D176:E176"/>
    <mergeCell ref="P165:Q165"/>
    <mergeCell ref="R165:S165"/>
    <mergeCell ref="P170:Q170"/>
    <mergeCell ref="F165:G165"/>
    <mergeCell ref="D175:E175"/>
    <mergeCell ref="F178:G178"/>
    <mergeCell ref="F175:G175"/>
    <mergeCell ref="F179:G179"/>
    <mergeCell ref="P168:Q168"/>
    <mergeCell ref="R176:S176"/>
    <mergeCell ref="I159:I162"/>
    <mergeCell ref="J159:J160"/>
    <mergeCell ref="K159:K160"/>
    <mergeCell ref="DJ159:DK159"/>
    <mergeCell ref="DM159:DM162"/>
    <mergeCell ref="DN159:DN160"/>
    <mergeCell ref="DE160:DG162"/>
    <mergeCell ref="DH160:DI160"/>
    <mergeCell ref="DJ160:DK160"/>
    <mergeCell ref="DH161:DI161"/>
    <mergeCell ref="DJ161:DK161"/>
    <mergeCell ref="DN161:DN162"/>
    <mergeCell ref="CL174:CM174"/>
    <mergeCell ref="CL175:CM175"/>
    <mergeCell ref="CH163:CI165"/>
    <mergeCell ref="CO163:CO166"/>
    <mergeCell ref="CJ163:CK163"/>
    <mergeCell ref="CJ173:CK173"/>
    <mergeCell ref="R168:S168"/>
    <mergeCell ref="AS173:AT175"/>
    <mergeCell ref="CQ167:CQ169"/>
    <mergeCell ref="DJ167:DK167"/>
    <mergeCell ref="BZ163:CA163"/>
    <mergeCell ref="D166:E166"/>
    <mergeCell ref="F166:G166"/>
    <mergeCell ref="DB165:DB166"/>
    <mergeCell ref="D172:E172"/>
    <mergeCell ref="AH161:AH162"/>
    <mergeCell ref="D168:E168"/>
    <mergeCell ref="AD167:AE167"/>
    <mergeCell ref="DJ173:DK173"/>
    <mergeCell ref="BB161:BC161"/>
    <mergeCell ref="AP159:AQ159"/>
    <mergeCell ref="AU163:AU164"/>
    <mergeCell ref="AZ161:BA161"/>
    <mergeCell ref="Y159:AC159"/>
    <mergeCell ref="AI161:AI162"/>
    <mergeCell ref="J161:J162"/>
    <mergeCell ref="K161:K162"/>
    <mergeCell ref="D162:E162"/>
    <mergeCell ref="F162:G162"/>
    <mergeCell ref="P160:Q160"/>
    <mergeCell ref="P161:Q161"/>
    <mergeCell ref="P162:Q162"/>
    <mergeCell ref="D174:E174"/>
    <mergeCell ref="F174:G174"/>
    <mergeCell ref="P174:Q174"/>
    <mergeCell ref="P167:Q167"/>
    <mergeCell ref="R167:S167"/>
    <mergeCell ref="DH178:DI178"/>
    <mergeCell ref="DF163:DG165"/>
    <mergeCell ref="CX163:CY163"/>
    <mergeCell ref="CV164:CW164"/>
    <mergeCell ref="CX164:CY164"/>
    <mergeCell ref="CL176:CM176"/>
    <mergeCell ref="CE170:CE172"/>
    <mergeCell ref="N177:Q177"/>
    <mergeCell ref="P166:Q166"/>
    <mergeCell ref="W170:W172"/>
    <mergeCell ref="M178:O181"/>
    <mergeCell ref="DO159:DO160"/>
    <mergeCell ref="BF159:BF160"/>
    <mergeCell ref="BG159:BG160"/>
    <mergeCell ref="AP160:AQ160"/>
    <mergeCell ref="T158:U158"/>
    <mergeCell ref="DA154:DB156"/>
    <mergeCell ref="DC154:DC156"/>
    <mergeCell ref="CV155:CW155"/>
    <mergeCell ref="BI156:BI157"/>
    <mergeCell ref="U154:V156"/>
    <mergeCell ref="M159:Q159"/>
    <mergeCell ref="CD161:CD162"/>
    <mergeCell ref="CE161:CE162"/>
    <mergeCell ref="R160:S160"/>
    <mergeCell ref="AB161:AC161"/>
    <mergeCell ref="V161:V162"/>
    <mergeCell ref="W161:W162"/>
    <mergeCell ref="A160:C162"/>
    <mergeCell ref="D160:E160"/>
    <mergeCell ref="CL154:CM154"/>
    <mergeCell ref="CJ155:CK155"/>
    <mergeCell ref="CZ158:DA158"/>
    <mergeCell ref="AW156:AW157"/>
    <mergeCell ref="BL161:BM161"/>
    <mergeCell ref="CX161:CY161"/>
    <mergeCell ref="CX159:CY159"/>
    <mergeCell ref="AT161:AT162"/>
    <mergeCell ref="AW159:BA159"/>
    <mergeCell ref="BB159:BC159"/>
    <mergeCell ref="R161:S161"/>
    <mergeCell ref="BN162:BO162"/>
    <mergeCell ref="F160:G160"/>
    <mergeCell ref="M160:O162"/>
    <mergeCell ref="V159:V160"/>
    <mergeCell ref="W159:W160"/>
    <mergeCell ref="A156:A157"/>
    <mergeCell ref="M156:M157"/>
    <mergeCell ref="D161:E161"/>
    <mergeCell ref="F161:G161"/>
    <mergeCell ref="BG161:BG162"/>
    <mergeCell ref="BB162:BC162"/>
    <mergeCell ref="BF161:BF162"/>
    <mergeCell ref="CI158:CK158"/>
    <mergeCell ref="CN158:CO158"/>
    <mergeCell ref="CJ160:CK160"/>
    <mergeCell ref="CG159:CK159"/>
    <mergeCell ref="AN155:AO155"/>
    <mergeCell ref="AP155:AQ155"/>
    <mergeCell ref="Y160:AA162"/>
    <mergeCell ref="BD158:BE158"/>
    <mergeCell ref="BB160:BC160"/>
    <mergeCell ref="CX155:CY155"/>
    <mergeCell ref="CV161:CW161"/>
    <mergeCell ref="CS159:CW159"/>
    <mergeCell ref="CS160:CU162"/>
    <mergeCell ref="BI159:BM159"/>
    <mergeCell ref="BN159:BO159"/>
    <mergeCell ref="AU161:AU162"/>
    <mergeCell ref="BK158:BM158"/>
    <mergeCell ref="BP158:BQ158"/>
    <mergeCell ref="BE159:BE162"/>
    <mergeCell ref="AW160:AY162"/>
    <mergeCell ref="A159:E159"/>
    <mergeCell ref="F159:G159"/>
    <mergeCell ref="BX146:BY146"/>
    <mergeCell ref="CQ139:CQ140"/>
    <mergeCell ref="CH140:CI141"/>
    <mergeCell ref="BX153:BY153"/>
    <mergeCell ref="DO161:DO162"/>
    <mergeCell ref="BQ159:BQ162"/>
    <mergeCell ref="BR159:BR160"/>
    <mergeCell ref="CL161:CM161"/>
    <mergeCell ref="AZ155:BA155"/>
    <mergeCell ref="BB155:BC155"/>
    <mergeCell ref="DO154:DO156"/>
    <mergeCell ref="H158:I158"/>
    <mergeCell ref="O158:Q158"/>
    <mergeCell ref="CL155:CM155"/>
    <mergeCell ref="CS156:CS157"/>
    <mergeCell ref="CV154:CW154"/>
    <mergeCell ref="CV153:CW153"/>
    <mergeCell ref="BR161:BR162"/>
    <mergeCell ref="BS159:BS160"/>
    <mergeCell ref="R159:S159"/>
    <mergeCell ref="U159:U162"/>
    <mergeCell ref="DA159:DA162"/>
    <mergeCell ref="DB159:DB160"/>
    <mergeCell ref="CP159:CP160"/>
    <mergeCell ref="CQ159:CQ160"/>
    <mergeCell ref="CG160:CI162"/>
    <mergeCell ref="CV162:CW162"/>
    <mergeCell ref="BI160:BK162"/>
    <mergeCell ref="BL160:BM160"/>
    <mergeCell ref="BN160:BO160"/>
    <mergeCell ref="DH162:DI162"/>
    <mergeCell ref="DJ162:DK162"/>
    <mergeCell ref="BI152:BK155"/>
    <mergeCell ref="BL152:BM152"/>
    <mergeCell ref="BB153:BC153"/>
    <mergeCell ref="BL153:BM153"/>
    <mergeCell ref="BL154:BM154"/>
    <mergeCell ref="BL155:BM155"/>
    <mergeCell ref="BZ155:CA155"/>
    <mergeCell ref="DE156:DE157"/>
    <mergeCell ref="BN155:BO155"/>
    <mergeCell ref="BX155:BY155"/>
    <mergeCell ref="R162:S162"/>
    <mergeCell ref="AB162:AC162"/>
    <mergeCell ref="CJ162:CK162"/>
    <mergeCell ref="CL162:CM162"/>
    <mergeCell ref="AP161:AQ161"/>
    <mergeCell ref="DG158:DI158"/>
    <mergeCell ref="AD159:AE159"/>
    <mergeCell ref="AB160:AC160"/>
    <mergeCell ref="Y156:Y157"/>
    <mergeCell ref="AK152:AM155"/>
    <mergeCell ref="AN152:AO152"/>
    <mergeCell ref="AW152:AY155"/>
    <mergeCell ref="AZ152:BA152"/>
    <mergeCell ref="DM151:DN153"/>
    <mergeCell ref="BX162:BY162"/>
    <mergeCell ref="BZ162:CA162"/>
    <mergeCell ref="BN161:BO161"/>
    <mergeCell ref="DC159:DC160"/>
    <mergeCell ref="DL158:DM158"/>
    <mergeCell ref="CU158:CW158"/>
    <mergeCell ref="CX160:CY160"/>
    <mergeCell ref="CB158:CC158"/>
    <mergeCell ref="BS147:BS149"/>
    <mergeCell ref="CV145:CW145"/>
    <mergeCell ref="DJ140:DK140"/>
    <mergeCell ref="DJ141:DK141"/>
    <mergeCell ref="CV160:CW160"/>
    <mergeCell ref="BZ160:CA160"/>
    <mergeCell ref="BS161:BS162"/>
    <mergeCell ref="BX161:BY161"/>
    <mergeCell ref="BZ161:CA161"/>
    <mergeCell ref="CL160:CM160"/>
    <mergeCell ref="DJ147:DK147"/>
    <mergeCell ref="CX154:CY154"/>
    <mergeCell ref="BN150:BO150"/>
    <mergeCell ref="BX150:BY150"/>
    <mergeCell ref="BZ150:CA150"/>
    <mergeCell ref="BU137:BU151"/>
    <mergeCell ref="CD137:CD138"/>
    <mergeCell ref="BZ141:CA141"/>
    <mergeCell ref="CE139:CE140"/>
    <mergeCell ref="BZ154:CA154"/>
    <mergeCell ref="DM147:DN149"/>
    <mergeCell ref="CE137:CE138"/>
    <mergeCell ref="BZ142:CA142"/>
    <mergeCell ref="BZ143:CA143"/>
    <mergeCell ref="CX148:CY148"/>
    <mergeCell ref="CJ150:CK150"/>
    <mergeCell ref="BS144:BS146"/>
    <mergeCell ref="CL148:CM148"/>
    <mergeCell ref="BN143:BO143"/>
    <mergeCell ref="CT142:CU145"/>
    <mergeCell ref="CV142:CW142"/>
    <mergeCell ref="CX141:CY141"/>
    <mergeCell ref="DF137:DG139"/>
    <mergeCell ref="DH137:DI137"/>
    <mergeCell ref="BU152:BW155"/>
    <mergeCell ref="BX152:BY152"/>
    <mergeCell ref="DJ154:DK154"/>
    <mergeCell ref="CX152:CY152"/>
    <mergeCell ref="DE152:DG155"/>
    <mergeCell ref="DH152:DI152"/>
    <mergeCell ref="BQ144:BR146"/>
    <mergeCell ref="CE159:CE160"/>
    <mergeCell ref="CD159:CD160"/>
    <mergeCell ref="BZ159:CA159"/>
    <mergeCell ref="CO159:CO162"/>
    <mergeCell ref="BU160:BW162"/>
    <mergeCell ref="BX160:BY160"/>
    <mergeCell ref="CC159:CC162"/>
    <mergeCell ref="DB161:DB162"/>
    <mergeCell ref="DC161:DC162"/>
    <mergeCell ref="DE159:DI159"/>
    <mergeCell ref="CX162:CY162"/>
    <mergeCell ref="DH149:DI149"/>
    <mergeCell ref="CJ153:CK153"/>
    <mergeCell ref="CL151:CM151"/>
    <mergeCell ref="DM137:DM140"/>
    <mergeCell ref="DH153:DI153"/>
    <mergeCell ref="BZ151:CA151"/>
    <mergeCell ref="CJ146:CK146"/>
    <mergeCell ref="CJ149:CK149"/>
    <mergeCell ref="DF146:DG148"/>
    <mergeCell ref="BU159:BY159"/>
    <mergeCell ref="BW158:BY158"/>
    <mergeCell ref="DN137:DN138"/>
    <mergeCell ref="D141:E141"/>
    <mergeCell ref="EF150:EG150"/>
    <mergeCell ref="EH150:EI150"/>
    <mergeCell ref="ED149:EE150"/>
    <mergeCell ref="CC154:CD156"/>
    <mergeCell ref="CE154:CE156"/>
    <mergeCell ref="BU156:BU157"/>
    <mergeCell ref="BN137:BO137"/>
    <mergeCell ref="DM154:DN156"/>
    <mergeCell ref="BQ147:BR149"/>
    <mergeCell ref="BN146:BO146"/>
    <mergeCell ref="CL141:CM141"/>
    <mergeCell ref="CX153:CY153"/>
    <mergeCell ref="BX142:BY142"/>
    <mergeCell ref="CL146:CM146"/>
    <mergeCell ref="DE137:DE151"/>
    <mergeCell ref="DO147:DO149"/>
    <mergeCell ref="DJ146:DK146"/>
    <mergeCell ref="BX147:BY147"/>
    <mergeCell ref="CL144:CM144"/>
    <mergeCell ref="DA151:DB153"/>
    <mergeCell ref="CD139:CD140"/>
    <mergeCell ref="DH138:DI138"/>
    <mergeCell ref="DJ138:DK138"/>
    <mergeCell ref="DH139:DI139"/>
    <mergeCell ref="DO141:DO143"/>
    <mergeCell ref="BZ147:CA147"/>
    <mergeCell ref="BN145:BO145"/>
    <mergeCell ref="DO144:DO146"/>
    <mergeCell ref="CJ154:CK154"/>
    <mergeCell ref="BQ154:BR156"/>
    <mergeCell ref="BS154:BS156"/>
    <mergeCell ref="BX154:BY154"/>
    <mergeCell ref="CT146:CU148"/>
    <mergeCell ref="BQ151:BR153"/>
    <mergeCell ref="BS151:BS153"/>
    <mergeCell ref="DJ148:DK148"/>
    <mergeCell ref="BN148:BO148"/>
    <mergeCell ref="BX148:BY148"/>
    <mergeCell ref="CX145:CY145"/>
    <mergeCell ref="DJ150:DK150"/>
    <mergeCell ref="DJ144:DK144"/>
    <mergeCell ref="DJ137:DK137"/>
    <mergeCell ref="DC151:DC153"/>
    <mergeCell ref="DN139:DN140"/>
    <mergeCell ref="CX142:CY142"/>
    <mergeCell ref="DJ142:DK142"/>
    <mergeCell ref="BZ148:CA148"/>
    <mergeCell ref="BX145:BY145"/>
    <mergeCell ref="BZ145:CA145"/>
    <mergeCell ref="DJ149:DK149"/>
    <mergeCell ref="CE141:CE143"/>
    <mergeCell ref="CV143:CW143"/>
    <mergeCell ref="CX143:CY143"/>
    <mergeCell ref="CV144:CW144"/>
    <mergeCell ref="CX144:CY144"/>
    <mergeCell ref="DM144:DN146"/>
    <mergeCell ref="DH154:DI154"/>
    <mergeCell ref="CX139:CY139"/>
    <mergeCell ref="DJ151:DK151"/>
    <mergeCell ref="DJ152:DK152"/>
    <mergeCell ref="DJ153:DK153"/>
    <mergeCell ref="CJ148:CK148"/>
    <mergeCell ref="DJ145:DK145"/>
    <mergeCell ref="DO151:DO153"/>
    <mergeCell ref="DO137:DO138"/>
    <mergeCell ref="DA147:DB149"/>
    <mergeCell ref="DC147:DC149"/>
    <mergeCell ref="CT151:CW151"/>
    <mergeCell ref="CL152:CM152"/>
    <mergeCell ref="CJ152:CK152"/>
    <mergeCell ref="DJ139:DK139"/>
    <mergeCell ref="BZ137:CA137"/>
    <mergeCell ref="ET155:EU155"/>
    <mergeCell ref="ER155:ES155"/>
    <mergeCell ref="EH155:EI155"/>
    <mergeCell ref="DV143:DW143"/>
    <mergeCell ref="DT144:DU144"/>
    <mergeCell ref="EH147:EI147"/>
    <mergeCell ref="EK147:EL149"/>
    <mergeCell ref="DV155:DW155"/>
    <mergeCell ref="DV154:DW154"/>
    <mergeCell ref="EA144:EA146"/>
    <mergeCell ref="DY151:DZ153"/>
    <mergeCell ref="DR137:DS139"/>
    <mergeCell ref="DV151:DW151"/>
    <mergeCell ref="DV152:DW152"/>
    <mergeCell ref="DZ137:DZ138"/>
    <mergeCell ref="EW137:EW140"/>
    <mergeCell ref="EX137:EX138"/>
    <mergeCell ref="EY137:EY138"/>
    <mergeCell ref="D138:E138"/>
    <mergeCell ref="F138:G138"/>
    <mergeCell ref="P138:Q138"/>
    <mergeCell ref="R138:S138"/>
    <mergeCell ref="AB138:AC138"/>
    <mergeCell ref="AD138:AE138"/>
    <mergeCell ref="AN138:AO138"/>
    <mergeCell ref="EX139:EX140"/>
    <mergeCell ref="EY139:EY140"/>
    <mergeCell ref="D140:E140"/>
    <mergeCell ref="F140:G140"/>
    <mergeCell ref="N140:O141"/>
    <mergeCell ref="P140:Q140"/>
    <mergeCell ref="R140:S140"/>
    <mergeCell ref="AB140:AC140"/>
    <mergeCell ref="BN140:BO140"/>
    <mergeCell ref="BB141:BC141"/>
    <mergeCell ref="BL141:BM141"/>
    <mergeCell ref="BN141:BO141"/>
    <mergeCell ref="BB142:BC142"/>
    <mergeCell ref="BB143:BC143"/>
    <mergeCell ref="DH144:DI144"/>
    <mergeCell ref="BZ140:CA140"/>
    <mergeCell ref="CJ140:CK140"/>
    <mergeCell ref="CL140:CM140"/>
    <mergeCell ref="CJ141:CK141"/>
    <mergeCell ref="CT140:CU141"/>
    <mergeCell ref="CV140:CW140"/>
    <mergeCell ref="CX140:CY140"/>
    <mergeCell ref="CL137:CM137"/>
    <mergeCell ref="CL138:CM138"/>
    <mergeCell ref="CL139:CM139"/>
    <mergeCell ref="EH140:EI140"/>
    <mergeCell ref="BZ138:CA138"/>
    <mergeCell ref="BX139:BY139"/>
    <mergeCell ref="BZ139:CA139"/>
    <mergeCell ref="BX140:BY140"/>
    <mergeCell ref="ET149:EU149"/>
    <mergeCell ref="ED146:EE148"/>
    <mergeCell ref="EF146:EG146"/>
    <mergeCell ref="DV147:DW147"/>
    <mergeCell ref="DY147:DZ149"/>
    <mergeCell ref="EA147:EA149"/>
    <mergeCell ref="EF147:EG147"/>
    <mergeCell ref="DV148:DW148"/>
    <mergeCell ref="EF148:EG148"/>
    <mergeCell ref="DY144:DZ146"/>
    <mergeCell ref="ER148:ES148"/>
    <mergeCell ref="EP149:EQ150"/>
    <mergeCell ref="ER146:ES146"/>
    <mergeCell ref="ET146:EU146"/>
    <mergeCell ref="DT146:DU146"/>
    <mergeCell ref="ET150:EU150"/>
    <mergeCell ref="EH148:EI148"/>
    <mergeCell ref="ET144:EU144"/>
    <mergeCell ref="EO137:EO151"/>
    <mergeCell ref="EP137:EQ139"/>
    <mergeCell ref="ER137:ES137"/>
    <mergeCell ref="ET137:EU137"/>
    <mergeCell ref="ER138:ES138"/>
    <mergeCell ref="ET138:EU138"/>
    <mergeCell ref="EP146:EQ148"/>
    <mergeCell ref="ET147:EU147"/>
    <mergeCell ref="EM147:EM149"/>
    <mergeCell ref="ER147:ES147"/>
    <mergeCell ref="EF140:EG140"/>
    <mergeCell ref="DY137:DY140"/>
    <mergeCell ref="DT138:DU138"/>
    <mergeCell ref="ED142:EE145"/>
    <mergeCell ref="EC137:EC151"/>
    <mergeCell ref="DT142:DU142"/>
    <mergeCell ref="DV138:DW138"/>
    <mergeCell ref="EA141:EA143"/>
    <mergeCell ref="DV142:DW142"/>
    <mergeCell ref="DV144:DW144"/>
    <mergeCell ref="DV139:DW139"/>
    <mergeCell ref="DT143:DU143"/>
    <mergeCell ref="DT137:DU137"/>
    <mergeCell ref="DT145:DU145"/>
    <mergeCell ref="DT149:DU149"/>
    <mergeCell ref="DT150:DU150"/>
    <mergeCell ref="DZ139:DZ140"/>
    <mergeCell ref="EA139:EA140"/>
    <mergeCell ref="DT147:DU147"/>
    <mergeCell ref="DR151:DU151"/>
    <mergeCell ref="DV146:DW146"/>
    <mergeCell ref="DV145:DW145"/>
    <mergeCell ref="DV149:DW149"/>
    <mergeCell ref="DR149:DS150"/>
    <mergeCell ref="DR146:DS148"/>
    <mergeCell ref="DV150:DW150"/>
    <mergeCell ref="EA137:EA138"/>
    <mergeCell ref="DT139:DU139"/>
    <mergeCell ref="CT149:CU150"/>
    <mergeCell ref="BN147:BO147"/>
    <mergeCell ref="BS139:BS140"/>
    <mergeCell ref="BV149:BW150"/>
    <mergeCell ref="R145:S145"/>
    <mergeCell ref="AI147:AI149"/>
    <mergeCell ref="AZ146:BA146"/>
    <mergeCell ref="W144:W146"/>
    <mergeCell ref="CH146:CI148"/>
    <mergeCell ref="CO147:CP149"/>
    <mergeCell ref="CQ147:CQ149"/>
    <mergeCell ref="CH149:CI150"/>
    <mergeCell ref="CV137:CW137"/>
    <mergeCell ref="BL142:BM142"/>
    <mergeCell ref="DA141:DB143"/>
    <mergeCell ref="DC141:DC143"/>
    <mergeCell ref="AD149:AE149"/>
    <mergeCell ref="AP138:AQ138"/>
    <mergeCell ref="BL148:BM148"/>
    <mergeCell ref="AZ144:BA144"/>
    <mergeCell ref="V137:V138"/>
    <mergeCell ref="W137:W138"/>
    <mergeCell ref="V139:V140"/>
    <mergeCell ref="W139:W140"/>
    <mergeCell ref="W147:W149"/>
    <mergeCell ref="AB137:AC137"/>
    <mergeCell ref="BG139:BG140"/>
    <mergeCell ref="DH141:DI141"/>
    <mergeCell ref="BN144:BO144"/>
    <mergeCell ref="BQ137:BQ140"/>
    <mergeCell ref="DC139:DC140"/>
    <mergeCell ref="CL147:CM147"/>
    <mergeCell ref="BX149:BY149"/>
    <mergeCell ref="BZ149:CA149"/>
    <mergeCell ref="CX137:CY137"/>
    <mergeCell ref="AN140:AO140"/>
    <mergeCell ref="BB144:BC144"/>
    <mergeCell ref="AZ143:BA143"/>
    <mergeCell ref="BG141:BG143"/>
    <mergeCell ref="BE141:BF143"/>
    <mergeCell ref="CJ143:CK143"/>
    <mergeCell ref="CC147:CD149"/>
    <mergeCell ref="BS141:BS143"/>
    <mergeCell ref="DH148:DI148"/>
    <mergeCell ref="DB137:DB138"/>
    <mergeCell ref="AZ149:BA149"/>
    <mergeCell ref="BB149:BC149"/>
    <mergeCell ref="BB150:BC150"/>
    <mergeCell ref="AP150:AQ150"/>
    <mergeCell ref="AP146:AQ146"/>
    <mergeCell ref="AP140:AQ140"/>
    <mergeCell ref="BJ142:BK145"/>
    <mergeCell ref="BJ146:BK148"/>
    <mergeCell ref="BV142:BW145"/>
    <mergeCell ref="CV139:CW139"/>
    <mergeCell ref="DA137:DA140"/>
    <mergeCell ref="BL140:BM140"/>
    <mergeCell ref="DH143:DI143"/>
    <mergeCell ref="DH146:DI146"/>
    <mergeCell ref="CV147:CW147"/>
    <mergeCell ref="BL146:BM146"/>
    <mergeCell ref="DF140:DG141"/>
    <mergeCell ref="CJ137:CK137"/>
    <mergeCell ref="CC141:CD143"/>
    <mergeCell ref="DH145:DI145"/>
    <mergeCell ref="DA144:DB146"/>
    <mergeCell ref="CL142:CM142"/>
    <mergeCell ref="BX143:BY143"/>
    <mergeCell ref="DH142:DI142"/>
    <mergeCell ref="CJ142:CK142"/>
    <mergeCell ref="BV151:BY151"/>
    <mergeCell ref="CC151:CD153"/>
    <mergeCell ref="CX147:CY147"/>
    <mergeCell ref="BZ146:CA146"/>
    <mergeCell ref="DC144:DC146"/>
    <mergeCell ref="DH150:DI150"/>
    <mergeCell ref="BN149:BO149"/>
    <mergeCell ref="DM141:DN143"/>
    <mergeCell ref="DB139:DB140"/>
    <mergeCell ref="BX138:BY138"/>
    <mergeCell ref="BR139:BR140"/>
    <mergeCell ref="BE147:BF149"/>
    <mergeCell ref="AL149:AM150"/>
    <mergeCell ref="BL149:BM149"/>
    <mergeCell ref="BL150:BM150"/>
    <mergeCell ref="BV140:BW141"/>
    <mergeCell ref="BJ151:BM151"/>
    <mergeCell ref="CC144:CD146"/>
    <mergeCell ref="CE144:CE146"/>
    <mergeCell ref="BV146:BW148"/>
    <mergeCell ref="DF151:DI151"/>
    <mergeCell ref="CE147:CE149"/>
    <mergeCell ref="CE151:CE153"/>
    <mergeCell ref="CX151:CY151"/>
    <mergeCell ref="BL147:BM147"/>
    <mergeCell ref="BL143:BM143"/>
    <mergeCell ref="BL144:BM144"/>
    <mergeCell ref="CS137:CS151"/>
    <mergeCell ref="CV150:CW150"/>
    <mergeCell ref="BL137:BM137"/>
    <mergeCell ref="BZ152:CA152"/>
    <mergeCell ref="BZ153:CA153"/>
    <mergeCell ref="BZ144:CA144"/>
    <mergeCell ref="CS152:CU155"/>
    <mergeCell ref="CV152:CW152"/>
    <mergeCell ref="DH155:DI155"/>
    <mergeCell ref="DJ155:DK155"/>
    <mergeCell ref="CH151:CK151"/>
    <mergeCell ref="CO144:CP146"/>
    <mergeCell ref="BN153:BO153"/>
    <mergeCell ref="BN142:BO142"/>
    <mergeCell ref="BS137:BS138"/>
    <mergeCell ref="BJ149:BK150"/>
    <mergeCell ref="CV146:CW146"/>
    <mergeCell ref="CX146:CY146"/>
    <mergeCell ref="BR137:BR138"/>
    <mergeCell ref="BL145:BM145"/>
    <mergeCell ref="CL145:CM145"/>
    <mergeCell ref="CV149:CW149"/>
    <mergeCell ref="CX149:CY149"/>
    <mergeCell ref="DF149:DG150"/>
    <mergeCell ref="AN147:AO147"/>
    <mergeCell ref="BN139:BO139"/>
    <mergeCell ref="BX144:BY144"/>
    <mergeCell ref="DF142:DG145"/>
    <mergeCell ref="CX150:CY150"/>
    <mergeCell ref="DH147:DI147"/>
    <mergeCell ref="CV148:CW148"/>
    <mergeCell ref="BN151:BO151"/>
    <mergeCell ref="BN152:BO152"/>
    <mergeCell ref="BQ141:BR143"/>
    <mergeCell ref="R154:S154"/>
    <mergeCell ref="M137:M151"/>
    <mergeCell ref="AK137:AK151"/>
    <mergeCell ref="AS141:AT143"/>
    <mergeCell ref="BE137:BE140"/>
    <mergeCell ref="BF137:BF138"/>
    <mergeCell ref="J139:J140"/>
    <mergeCell ref="K139:K140"/>
    <mergeCell ref="I144:J146"/>
    <mergeCell ref="K144:K146"/>
    <mergeCell ref="N137:O139"/>
    <mergeCell ref="P137:Q137"/>
    <mergeCell ref="R137:S137"/>
    <mergeCell ref="U137:U140"/>
    <mergeCell ref="P139:Q139"/>
    <mergeCell ref="R139:S139"/>
    <mergeCell ref="AT137:AT138"/>
    <mergeCell ref="D148:E148"/>
    <mergeCell ref="F148:G148"/>
    <mergeCell ref="P148:Q148"/>
    <mergeCell ref="R148:S148"/>
    <mergeCell ref="D150:E150"/>
    <mergeCell ref="F150:G150"/>
    <mergeCell ref="D145:E145"/>
    <mergeCell ref="AD148:AE148"/>
    <mergeCell ref="AB147:AC147"/>
    <mergeCell ref="AD147:AE147"/>
    <mergeCell ref="AU137:AU138"/>
    <mergeCell ref="AU139:AU140"/>
    <mergeCell ref="AU141:AU143"/>
    <mergeCell ref="AZ137:BA137"/>
    <mergeCell ref="BB137:BC137"/>
    <mergeCell ref="AZ138:BA138"/>
    <mergeCell ref="AD140:AE140"/>
    <mergeCell ref="AB141:AC141"/>
    <mergeCell ref="AD141:AE141"/>
    <mergeCell ref="Y137:Y151"/>
    <mergeCell ref="D146:E146"/>
    <mergeCell ref="F146:G146"/>
    <mergeCell ref="N146:O148"/>
    <mergeCell ref="AD151:AE151"/>
    <mergeCell ref="D144:E144"/>
    <mergeCell ref="F144:G144"/>
    <mergeCell ref="F143:G143"/>
    <mergeCell ref="AN142:AO142"/>
    <mergeCell ref="AN143:AO143"/>
    <mergeCell ref="AN144:AO144"/>
    <mergeCell ref="AL146:AM148"/>
    <mergeCell ref="AG144:AH146"/>
    <mergeCell ref="AG147:AH149"/>
    <mergeCell ref="AG151:AH153"/>
    <mergeCell ref="F145:G145"/>
    <mergeCell ref="D153:E153"/>
    <mergeCell ref="F153:G153"/>
    <mergeCell ref="AP148:AQ148"/>
    <mergeCell ref="AP149:AQ149"/>
    <mergeCell ref="AP143:AQ143"/>
    <mergeCell ref="BG147:BG149"/>
    <mergeCell ref="AX149:AY150"/>
    <mergeCell ref="D154:E154"/>
    <mergeCell ref="AB143:AC143"/>
    <mergeCell ref="P150:Q150"/>
    <mergeCell ref="F154:G154"/>
    <mergeCell ref="AS147:AT149"/>
    <mergeCell ref="AS137:AS140"/>
    <mergeCell ref="BB151:BC151"/>
    <mergeCell ref="F137:G137"/>
    <mergeCell ref="AB145:AC145"/>
    <mergeCell ref="AU144:AU146"/>
    <mergeCell ref="F152:G152"/>
    <mergeCell ref="K154:K156"/>
    <mergeCell ref="P154:Q154"/>
    <mergeCell ref="AL137:AM139"/>
    <mergeCell ref="AP145:AQ145"/>
    <mergeCell ref="AN145:AO145"/>
    <mergeCell ref="AP147:AQ147"/>
    <mergeCell ref="R143:S143"/>
    <mergeCell ref="I141:J143"/>
    <mergeCell ref="K141:K143"/>
    <mergeCell ref="P145:Q145"/>
    <mergeCell ref="I137:I140"/>
    <mergeCell ref="J137:J138"/>
    <mergeCell ref="K137:K138"/>
    <mergeCell ref="Z149:AA150"/>
    <mergeCell ref="Z151:AC151"/>
    <mergeCell ref="AB144:AC144"/>
    <mergeCell ref="F151:G151"/>
    <mergeCell ref="I151:J153"/>
    <mergeCell ref="K151:K153"/>
    <mergeCell ref="N151:Q151"/>
    <mergeCell ref="AB139:AC139"/>
    <mergeCell ref="P141:Q141"/>
    <mergeCell ref="R141:S141"/>
    <mergeCell ref="U141:V143"/>
    <mergeCell ref="W141:W143"/>
    <mergeCell ref="P143:Q143"/>
    <mergeCell ref="AB150:AC150"/>
    <mergeCell ref="R153:S153"/>
    <mergeCell ref="M152:O155"/>
    <mergeCell ref="P152:Q152"/>
    <mergeCell ref="R152:S152"/>
    <mergeCell ref="AN148:AO148"/>
    <mergeCell ref="AL142:AM145"/>
    <mergeCell ref="AP151:AQ151"/>
    <mergeCell ref="BB140:BC140"/>
    <mergeCell ref="AN150:AO150"/>
    <mergeCell ref="AN154:AO154"/>
    <mergeCell ref="BB154:BC154"/>
    <mergeCell ref="AX140:AY141"/>
    <mergeCell ref="AP142:AQ142"/>
    <mergeCell ref="AP153:AQ153"/>
    <mergeCell ref="AP152:AQ152"/>
    <mergeCell ref="AN139:AO139"/>
    <mergeCell ref="AL151:AO151"/>
    <mergeCell ref="AL140:AM141"/>
    <mergeCell ref="AN149:AO149"/>
    <mergeCell ref="AX142:AY145"/>
    <mergeCell ref="AN137:AO137"/>
    <mergeCell ref="AI144:AI146"/>
    <mergeCell ref="F141:G141"/>
    <mergeCell ref="AD139:AE139"/>
    <mergeCell ref="AD152:AE152"/>
    <mergeCell ref="AD153:AE153"/>
    <mergeCell ref="AI139:AI140"/>
    <mergeCell ref="AN153:AO153"/>
    <mergeCell ref="ET135:EU135"/>
    <mergeCell ref="EX135:EX136"/>
    <mergeCell ref="EY135:EY136"/>
    <mergeCell ref="ET134:EU134"/>
    <mergeCell ref="R134:S134"/>
    <mergeCell ref="AB135:AC135"/>
    <mergeCell ref="R135:S135"/>
    <mergeCell ref="V135:V136"/>
    <mergeCell ref="W135:W136"/>
    <mergeCell ref="R136:S136"/>
    <mergeCell ref="AB136:AC136"/>
    <mergeCell ref="BX136:BY136"/>
    <mergeCell ref="BZ136:CA136"/>
    <mergeCell ref="BN134:BO134"/>
    <mergeCell ref="BL135:BM135"/>
    <mergeCell ref="AK133:AO133"/>
    <mergeCell ref="AP133:AQ133"/>
    <mergeCell ref="AS133:AS136"/>
    <mergeCell ref="AT133:AT134"/>
    <mergeCell ref="AU133:AU134"/>
    <mergeCell ref="AK134:AM136"/>
    <mergeCell ref="AN134:AO134"/>
    <mergeCell ref="AT135:AT136"/>
    <mergeCell ref="AU135:AU136"/>
    <mergeCell ref="CG133:CK133"/>
    <mergeCell ref="CL133:CM133"/>
    <mergeCell ref="CO133:CO136"/>
    <mergeCell ref="CP133:CP134"/>
    <mergeCell ref="CQ133:CQ134"/>
    <mergeCell ref="CG134:CI136"/>
    <mergeCell ref="CJ134:CK134"/>
    <mergeCell ref="CP135:CP136"/>
    <mergeCell ref="CQ135:CQ136"/>
    <mergeCell ref="CX135:CY135"/>
    <mergeCell ref="CX133:CY133"/>
    <mergeCell ref="DA133:DA136"/>
    <mergeCell ref="DB133:DB134"/>
    <mergeCell ref="DC133:DC134"/>
    <mergeCell ref="DO135:DO136"/>
    <mergeCell ref="DH136:DI136"/>
    <mergeCell ref="DJ136:DK136"/>
    <mergeCell ref="CV135:CW135"/>
    <mergeCell ref="CS133:CW133"/>
    <mergeCell ref="AI133:AI134"/>
    <mergeCell ref="AD135:AE135"/>
    <mergeCell ref="AB134:AC134"/>
    <mergeCell ref="BB135:BC135"/>
    <mergeCell ref="BI133:BM133"/>
    <mergeCell ref="AD133:AE133"/>
    <mergeCell ref="AH133:AH134"/>
    <mergeCell ref="ET133:EU133"/>
    <mergeCell ref="AZ135:BA135"/>
    <mergeCell ref="AP136:AQ136"/>
    <mergeCell ref="AZ136:BA136"/>
    <mergeCell ref="CL135:CM135"/>
    <mergeCell ref="AD136:AE136"/>
    <mergeCell ref="AN136:AO136"/>
    <mergeCell ref="AW134:AY136"/>
    <mergeCell ref="AZ134:BA134"/>
    <mergeCell ref="U133:U136"/>
    <mergeCell ref="AN135:AO135"/>
    <mergeCell ref="AH135:AH136"/>
    <mergeCell ref="AI135:AI136"/>
    <mergeCell ref="DH135:DI135"/>
    <mergeCell ref="B146:C148"/>
    <mergeCell ref="R151:S151"/>
    <mergeCell ref="U151:V153"/>
    <mergeCell ref="W151:W153"/>
    <mergeCell ref="B151:E151"/>
    <mergeCell ref="A152:C155"/>
    <mergeCell ref="Z146:AA148"/>
    <mergeCell ref="B142:C145"/>
    <mergeCell ref="D142:E142"/>
    <mergeCell ref="F142:G142"/>
    <mergeCell ref="N142:O145"/>
    <mergeCell ref="P142:Q142"/>
    <mergeCell ref="R142:S142"/>
    <mergeCell ref="AB142:AC142"/>
    <mergeCell ref="A137:A151"/>
    <mergeCell ref="B137:C139"/>
    <mergeCell ref="D137:E137"/>
    <mergeCell ref="CJ136:CK136"/>
    <mergeCell ref="CL136:CM136"/>
    <mergeCell ref="CV136:CW136"/>
    <mergeCell ref="CX136:CY136"/>
    <mergeCell ref="BL136:BM136"/>
    <mergeCell ref="I154:J156"/>
    <mergeCell ref="R146:S146"/>
    <mergeCell ref="AB146:AC146"/>
    <mergeCell ref="AN141:AO141"/>
    <mergeCell ref="AD142:AE142"/>
    <mergeCell ref="W154:W156"/>
    <mergeCell ref="AB154:AC154"/>
    <mergeCell ref="P153:Q153"/>
    <mergeCell ref="AD143:AE143"/>
    <mergeCell ref="AD144:AE144"/>
    <mergeCell ref="AD146:AE146"/>
    <mergeCell ref="P146:Q146"/>
    <mergeCell ref="B149:C150"/>
    <mergeCell ref="D149:E149"/>
    <mergeCell ref="F149:G149"/>
    <mergeCell ref="N149:O150"/>
    <mergeCell ref="P149:Q149"/>
    <mergeCell ref="R149:S149"/>
    <mergeCell ref="D147:E147"/>
    <mergeCell ref="F147:G147"/>
    <mergeCell ref="I147:J149"/>
    <mergeCell ref="K147:K149"/>
    <mergeCell ref="P147:Q147"/>
    <mergeCell ref="R147:S147"/>
    <mergeCell ref="U147:V149"/>
    <mergeCell ref="D152:E152"/>
    <mergeCell ref="R150:S150"/>
    <mergeCell ref="AN146:AO146"/>
    <mergeCell ref="B140:C141"/>
    <mergeCell ref="P144:Q144"/>
    <mergeCell ref="R144:S144"/>
    <mergeCell ref="U144:V146"/>
    <mergeCell ref="D155:E155"/>
    <mergeCell ref="F155:G155"/>
    <mergeCell ref="P155:Q155"/>
    <mergeCell ref="R155:S155"/>
    <mergeCell ref="AD150:AE150"/>
    <mergeCell ref="AD155:AE155"/>
    <mergeCell ref="AI151:AI153"/>
    <mergeCell ref="Y152:AA155"/>
    <mergeCell ref="AB152:AC152"/>
    <mergeCell ref="AG154:AH156"/>
    <mergeCell ref="BG137:BG138"/>
    <mergeCell ref="EH141:EI141"/>
    <mergeCell ref="DT141:DU141"/>
    <mergeCell ref="DV141:DW141"/>
    <mergeCell ref="DY141:DZ143"/>
    <mergeCell ref="ED137:EE139"/>
    <mergeCell ref="EF137:EG137"/>
    <mergeCell ref="EF138:EG138"/>
    <mergeCell ref="EF139:EG139"/>
    <mergeCell ref="ET139:EU139"/>
    <mergeCell ref="EP140:EQ141"/>
    <mergeCell ref="ER140:ES140"/>
    <mergeCell ref="ET140:EU140"/>
    <mergeCell ref="EH137:EI137"/>
    <mergeCell ref="EK137:EK140"/>
    <mergeCell ref="EH138:EI138"/>
    <mergeCell ref="EH139:EI139"/>
    <mergeCell ref="DV140:DW140"/>
    <mergeCell ref="DV137:DW137"/>
    <mergeCell ref="DJ129:DK129"/>
    <mergeCell ref="DV129:DW129"/>
    <mergeCell ref="DX132:DY132"/>
    <mergeCell ref="EE132:EG132"/>
    <mergeCell ref="BB134:BC134"/>
    <mergeCell ref="ED140:EE141"/>
    <mergeCell ref="DT140:DU140"/>
    <mergeCell ref="DR140:DS141"/>
    <mergeCell ref="EM137:EM138"/>
    <mergeCell ref="EL137:EL138"/>
    <mergeCell ref="DH140:DI140"/>
    <mergeCell ref="BX137:BY137"/>
    <mergeCell ref="CV138:CW138"/>
    <mergeCell ref="CX138:CY138"/>
    <mergeCell ref="BL138:BM138"/>
    <mergeCell ref="BN138:BO138"/>
    <mergeCell ref="BL139:BM139"/>
    <mergeCell ref="CV141:CW141"/>
    <mergeCell ref="DC137:DC138"/>
    <mergeCell ref="CT137:CU139"/>
    <mergeCell ref="BV137:BW139"/>
    <mergeCell ref="BG135:BG136"/>
    <mergeCell ref="DJ143:DK143"/>
    <mergeCell ref="BX141:BY141"/>
    <mergeCell ref="DO139:DO140"/>
    <mergeCell ref="BI134:BK136"/>
    <mergeCell ref="CU132:CW132"/>
    <mergeCell ref="BG133:BG134"/>
    <mergeCell ref="BL134:BM134"/>
    <mergeCell ref="CP139:CP140"/>
    <mergeCell ref="CL143:CM143"/>
    <mergeCell ref="BW132:BY132"/>
    <mergeCell ref="BB136:BC136"/>
    <mergeCell ref="BU133:BY133"/>
    <mergeCell ref="BZ133:CA133"/>
    <mergeCell ref="CS134:CU136"/>
    <mergeCell ref="CV134:CW134"/>
    <mergeCell ref="BZ134:CA134"/>
    <mergeCell ref="BS135:BS136"/>
    <mergeCell ref="BX135:BY135"/>
    <mergeCell ref="DM133:DM136"/>
    <mergeCell ref="DN133:DN134"/>
    <mergeCell ref="DE134:DG136"/>
    <mergeCell ref="DH134:DI134"/>
    <mergeCell ref="DJ134:DK134"/>
    <mergeCell ref="DO133:DO134"/>
    <mergeCell ref="DZ133:DZ134"/>
    <mergeCell ref="EA133:EA134"/>
    <mergeCell ref="EJ132:EK132"/>
    <mergeCell ref="AP135:AQ135"/>
    <mergeCell ref="BD132:BE132"/>
    <mergeCell ref="DZ135:DZ136"/>
    <mergeCell ref="DT129:DU129"/>
    <mergeCell ref="DJ128:DK128"/>
    <mergeCell ref="DA128:DB130"/>
    <mergeCell ref="DC128:DC130"/>
    <mergeCell ref="CV129:CW129"/>
    <mergeCell ref="CL128:CM128"/>
    <mergeCell ref="EA135:EA136"/>
    <mergeCell ref="DT135:DU135"/>
    <mergeCell ref="DV135:DW135"/>
    <mergeCell ref="CJ129:CK129"/>
    <mergeCell ref="CL129:CM129"/>
    <mergeCell ref="CX129:CY129"/>
    <mergeCell ref="CJ128:CK128"/>
    <mergeCell ref="BQ128:BR130"/>
    <mergeCell ref="BS128:BS130"/>
    <mergeCell ref="BX128:BY128"/>
    <mergeCell ref="BZ128:CA128"/>
    <mergeCell ref="AP129:AQ129"/>
    <mergeCell ref="DV128:DW128"/>
    <mergeCell ref="EF128:EG128"/>
    <mergeCell ref="CC128:CD130"/>
    <mergeCell ref="CE128:CE130"/>
    <mergeCell ref="BZ135:CA135"/>
    <mergeCell ref="CL134:CM134"/>
    <mergeCell ref="CJ135:CK135"/>
    <mergeCell ref="DB135:DB136"/>
    <mergeCell ref="DC135:DC136"/>
    <mergeCell ref="DE133:DI133"/>
    <mergeCell ref="DJ133:DK133"/>
    <mergeCell ref="BF135:BF136"/>
    <mergeCell ref="CC133:CC136"/>
    <mergeCell ref="CD133:CD134"/>
    <mergeCell ref="CE133:CE134"/>
    <mergeCell ref="BU134:BW136"/>
    <mergeCell ref="BX134:BY134"/>
    <mergeCell ref="CD135:CD136"/>
    <mergeCell ref="EC134:EE136"/>
    <mergeCell ref="BQ133:BQ136"/>
    <mergeCell ref="BR133:BR134"/>
    <mergeCell ref="AR132:AS132"/>
    <mergeCell ref="CB132:CC132"/>
    <mergeCell ref="AY132:BA132"/>
    <mergeCell ref="AZ129:BA129"/>
    <mergeCell ref="BB129:BC129"/>
    <mergeCell ref="CN132:CO132"/>
    <mergeCell ref="CI132:CK132"/>
    <mergeCell ref="CS126:CU129"/>
    <mergeCell ref="DN135:DN136"/>
    <mergeCell ref="DT126:DU126"/>
    <mergeCell ref="DV127:DW127"/>
    <mergeCell ref="DY128:DZ130"/>
    <mergeCell ref="DT136:DU136"/>
    <mergeCell ref="DV136:DW136"/>
    <mergeCell ref="DQ133:DU133"/>
    <mergeCell ref="DV133:DW133"/>
    <mergeCell ref="DY133:DY136"/>
    <mergeCell ref="DQ134:DS136"/>
    <mergeCell ref="EW128:EX130"/>
    <mergeCell ref="EX133:EX134"/>
    <mergeCell ref="D139:E139"/>
    <mergeCell ref="F139:G139"/>
    <mergeCell ref="D143:E143"/>
    <mergeCell ref="F133:G133"/>
    <mergeCell ref="I133:I136"/>
    <mergeCell ref="EQ132:ES132"/>
    <mergeCell ref="ET129:EU129"/>
    <mergeCell ref="ER129:ES129"/>
    <mergeCell ref="EH129:EI129"/>
    <mergeCell ref="EF129:EG129"/>
    <mergeCell ref="R129:S129"/>
    <mergeCell ref="A126:C129"/>
    <mergeCell ref="AD129:AE129"/>
    <mergeCell ref="CZ132:DA132"/>
    <mergeCell ref="DG132:DI132"/>
    <mergeCell ref="DL132:DM132"/>
    <mergeCell ref="U128:V130"/>
    <mergeCell ref="W128:W130"/>
    <mergeCell ref="AB128:AC128"/>
    <mergeCell ref="CX128:CY128"/>
    <mergeCell ref="AZ128:BA128"/>
    <mergeCell ref="BN128:BO128"/>
    <mergeCell ref="A130:A131"/>
    <mergeCell ref="M130:M131"/>
    <mergeCell ref="DH127:DI127"/>
    <mergeCell ref="DH128:DI128"/>
    <mergeCell ref="DS132:DU132"/>
    <mergeCell ref="CV126:CW126"/>
    <mergeCell ref="CL127:CM127"/>
    <mergeCell ref="CV127:CW127"/>
    <mergeCell ref="CX126:CY126"/>
    <mergeCell ref="DE126:DG129"/>
    <mergeCell ref="DH126:DI126"/>
    <mergeCell ref="CX127:CY127"/>
    <mergeCell ref="AA132:AC132"/>
    <mergeCell ref="AP134:AQ134"/>
    <mergeCell ref="DM128:DN130"/>
    <mergeCell ref="DO128:DO130"/>
    <mergeCell ref="DT128:DU128"/>
    <mergeCell ref="BL129:BM129"/>
    <mergeCell ref="BZ129:CA129"/>
    <mergeCell ref="EO130:EO131"/>
    <mergeCell ref="DE130:DE131"/>
    <mergeCell ref="DQ130:DQ131"/>
    <mergeCell ref="EC130:EC131"/>
    <mergeCell ref="EA128:EA130"/>
    <mergeCell ref="DH129:DI129"/>
    <mergeCell ref="CS130:CS131"/>
    <mergeCell ref="CV128:CW128"/>
    <mergeCell ref="ER128:ES128"/>
    <mergeCell ref="EM128:EM130"/>
    <mergeCell ref="EK128:EL130"/>
    <mergeCell ref="F135:G135"/>
    <mergeCell ref="J135:J136"/>
    <mergeCell ref="K135:K136"/>
    <mergeCell ref="A133:E133"/>
    <mergeCell ref="BN136:BO136"/>
    <mergeCell ref="BN133:BO133"/>
    <mergeCell ref="AB129:AC129"/>
    <mergeCell ref="R133:S133"/>
    <mergeCell ref="BR135:BR136"/>
    <mergeCell ref="BS133:BS134"/>
    <mergeCell ref="N111:O113"/>
    <mergeCell ref="P111:Q111"/>
    <mergeCell ref="R111:S111"/>
    <mergeCell ref="U111:U114"/>
    <mergeCell ref="P113:Q113"/>
    <mergeCell ref="R113:S113"/>
    <mergeCell ref="V111:V112"/>
    <mergeCell ref="W111:W112"/>
    <mergeCell ref="V113:V114"/>
    <mergeCell ref="W113:W114"/>
    <mergeCell ref="W121:W123"/>
    <mergeCell ref="AB111:AC111"/>
    <mergeCell ref="B114:C115"/>
    <mergeCell ref="AN117:AO117"/>
    <mergeCell ref="AN118:AO118"/>
    <mergeCell ref="AD117:AE117"/>
    <mergeCell ref="AB115:AC115"/>
    <mergeCell ref="P115:Q115"/>
    <mergeCell ref="R115:S115"/>
    <mergeCell ref="U115:V117"/>
    <mergeCell ref="W115:W117"/>
    <mergeCell ref="P117:Q117"/>
    <mergeCell ref="AN115:AO115"/>
    <mergeCell ref="I115:J117"/>
    <mergeCell ref="K115:K117"/>
    <mergeCell ref="B120:C122"/>
    <mergeCell ref="R125:S125"/>
    <mergeCell ref="D124:E124"/>
    <mergeCell ref="F124:G124"/>
    <mergeCell ref="D116:E116"/>
    <mergeCell ref="N116:O119"/>
    <mergeCell ref="P116:Q116"/>
    <mergeCell ref="R116:S116"/>
    <mergeCell ref="AB116:AC116"/>
    <mergeCell ref="U118:V120"/>
    <mergeCell ref="AG125:AH127"/>
    <mergeCell ref="AI125:AI127"/>
    <mergeCell ref="F116:G116"/>
    <mergeCell ref="I121:J123"/>
    <mergeCell ref="EY111:EY112"/>
    <mergeCell ref="DJ118:DK118"/>
    <mergeCell ref="BS118:BS120"/>
    <mergeCell ref="DJ123:DK123"/>
    <mergeCell ref="D136:E136"/>
    <mergeCell ref="F136:G136"/>
    <mergeCell ref="P134:Q134"/>
    <mergeCell ref="P135:Q135"/>
    <mergeCell ref="C132:E132"/>
    <mergeCell ref="AD128:AE128"/>
    <mergeCell ref="H132:I132"/>
    <mergeCell ref="O132:Q132"/>
    <mergeCell ref="T132:U132"/>
    <mergeCell ref="BI130:BI131"/>
    <mergeCell ref="BK132:BM132"/>
    <mergeCell ref="BP132:BQ132"/>
    <mergeCell ref="BN129:BO129"/>
    <mergeCell ref="AW133:BA133"/>
    <mergeCell ref="BB133:BC133"/>
    <mergeCell ref="BE133:BE136"/>
    <mergeCell ref="BG125:BG127"/>
    <mergeCell ref="BE128:BF130"/>
    <mergeCell ref="BG128:BG130"/>
    <mergeCell ref="AW130:AW131"/>
    <mergeCell ref="BF133:BF134"/>
    <mergeCell ref="AZ115:BA115"/>
    <mergeCell ref="AZ116:BA116"/>
    <mergeCell ref="BX112:BY112"/>
    <mergeCell ref="BZ112:CA112"/>
    <mergeCell ref="BX113:BY113"/>
    <mergeCell ref="BZ113:CA113"/>
    <mergeCell ref="BX114:BY114"/>
    <mergeCell ref="DC113:DC114"/>
    <mergeCell ref="DA118:DB120"/>
    <mergeCell ref="DC118:DC120"/>
    <mergeCell ref="CV113:CW113"/>
    <mergeCell ref="A134:C136"/>
    <mergeCell ref="D134:E134"/>
    <mergeCell ref="F134:G134"/>
    <mergeCell ref="D120:E120"/>
    <mergeCell ref="F120:G120"/>
    <mergeCell ref="D112:E112"/>
    <mergeCell ref="R122:S122"/>
    <mergeCell ref="AB122:AC122"/>
    <mergeCell ref="P122:Q122"/>
    <mergeCell ref="P118:Q118"/>
    <mergeCell ref="F122:G122"/>
    <mergeCell ref="P136:Q136"/>
    <mergeCell ref="D126:E126"/>
    <mergeCell ref="P127:Q127"/>
    <mergeCell ref="R127:S127"/>
    <mergeCell ref="D128:E128"/>
    <mergeCell ref="CX134:CY134"/>
    <mergeCell ref="CE135:CE136"/>
    <mergeCell ref="AZ127:BA127"/>
    <mergeCell ref="I128:J130"/>
    <mergeCell ref="K128:K130"/>
    <mergeCell ref="P128:Q128"/>
    <mergeCell ref="R128:S128"/>
    <mergeCell ref="EH133:EI133"/>
    <mergeCell ref="EC133:EG133"/>
    <mergeCell ref="A111:A125"/>
    <mergeCell ref="D135:E135"/>
    <mergeCell ref="ED120:EE122"/>
    <mergeCell ref="CJ117:CK117"/>
    <mergeCell ref="CJ112:CK112"/>
    <mergeCell ref="DV117:DW117"/>
    <mergeCell ref="BZ126:CA126"/>
    <mergeCell ref="EF122:EG122"/>
    <mergeCell ref="J133:J134"/>
    <mergeCell ref="K133:K134"/>
    <mergeCell ref="M133:Q133"/>
    <mergeCell ref="M134:O136"/>
    <mergeCell ref="V133:V134"/>
    <mergeCell ref="W133:W134"/>
    <mergeCell ref="AD134:AE134"/>
    <mergeCell ref="BB128:BC128"/>
    <mergeCell ref="AF132:AG132"/>
    <mergeCell ref="Y130:Y131"/>
    <mergeCell ref="AU125:AU127"/>
    <mergeCell ref="AK126:AM129"/>
    <mergeCell ref="AN126:AO126"/>
    <mergeCell ref="AS128:AT130"/>
    <mergeCell ref="P119:Q119"/>
    <mergeCell ref="R119:S119"/>
    <mergeCell ref="R120:S120"/>
    <mergeCell ref="BN135:BO135"/>
    <mergeCell ref="CX118:CY118"/>
    <mergeCell ref="CT120:CU122"/>
    <mergeCell ref="CL121:CM121"/>
    <mergeCell ref="BX123:BY123"/>
    <mergeCell ref="BZ123:CA123"/>
    <mergeCell ref="CL112:CM112"/>
    <mergeCell ref="CL113:CM113"/>
    <mergeCell ref="BZ125:CA125"/>
    <mergeCell ref="EA125:EA127"/>
    <mergeCell ref="DV123:DW123"/>
    <mergeCell ref="ED123:EE124"/>
    <mergeCell ref="CX124:CY124"/>
    <mergeCell ref="DH124:DI124"/>
    <mergeCell ref="CG126:CI129"/>
    <mergeCell ref="CJ126:CK126"/>
    <mergeCell ref="CG130:CG131"/>
    <mergeCell ref="DJ114:DK114"/>
    <mergeCell ref="DJ115:DK115"/>
    <mergeCell ref="Y111:Y125"/>
    <mergeCell ref="Z111:AA113"/>
    <mergeCell ref="Z114:AA115"/>
    <mergeCell ref="Z116:AA119"/>
    <mergeCell ref="DO121:DO123"/>
    <mergeCell ref="DT121:DU121"/>
    <mergeCell ref="EF113:EG113"/>
    <mergeCell ref="EF112:EG112"/>
    <mergeCell ref="DV124:DW124"/>
    <mergeCell ref="EF111:EG111"/>
    <mergeCell ref="CO115:CP117"/>
    <mergeCell ref="U125:V127"/>
    <mergeCell ref="BL111:BM111"/>
    <mergeCell ref="BN111:BO111"/>
    <mergeCell ref="DH117:DI117"/>
    <mergeCell ref="DH122:DI122"/>
    <mergeCell ref="DJ122:DK122"/>
    <mergeCell ref="DR111:DS113"/>
    <mergeCell ref="AP115:AQ115"/>
    <mergeCell ref="DV119:DW119"/>
    <mergeCell ref="DV115:DW115"/>
    <mergeCell ref="DJ135:DK135"/>
    <mergeCell ref="EF116:EG116"/>
    <mergeCell ref="ER127:ES127"/>
    <mergeCell ref="EH127:EI127"/>
    <mergeCell ref="EF127:EG127"/>
    <mergeCell ref="ET126:EU126"/>
    <mergeCell ref="ER126:ES126"/>
    <mergeCell ref="EO126:EQ129"/>
    <mergeCell ref="EH126:EI126"/>
    <mergeCell ref="EF126:EG126"/>
    <mergeCell ref="EC126:EE129"/>
    <mergeCell ref="EY125:EY127"/>
    <mergeCell ref="EW125:EX127"/>
    <mergeCell ref="ET125:EU125"/>
    <mergeCell ref="EP125:ES125"/>
    <mergeCell ref="EM125:EM127"/>
    <mergeCell ref="EK125:EL127"/>
    <mergeCell ref="EH125:EI125"/>
    <mergeCell ref="ED125:EG125"/>
    <mergeCell ref="CQ125:CQ127"/>
    <mergeCell ref="CO128:CP130"/>
    <mergeCell ref="DV121:DW121"/>
    <mergeCell ref="DA115:DB117"/>
    <mergeCell ref="DC115:DC117"/>
    <mergeCell ref="EC111:EC125"/>
    <mergeCell ref="DM125:DN127"/>
    <mergeCell ref="DO111:DO112"/>
    <mergeCell ref="BX126:BY126"/>
    <mergeCell ref="BZ127:CA127"/>
    <mergeCell ref="EW121:EX123"/>
    <mergeCell ref="EY121:EY123"/>
    <mergeCell ref="EW118:EX120"/>
    <mergeCell ref="EY118:EY120"/>
    <mergeCell ref="EH123:EI123"/>
    <mergeCell ref="ET122:EU122"/>
    <mergeCell ref="ET123:EU123"/>
    <mergeCell ref="ER120:ES120"/>
    <mergeCell ref="ET120:EU120"/>
    <mergeCell ref="ER121:ES121"/>
    <mergeCell ref="EM121:EM123"/>
    <mergeCell ref="EK121:EL123"/>
    <mergeCell ref="EP120:EQ122"/>
    <mergeCell ref="DH119:DI119"/>
    <mergeCell ref="DR116:DS119"/>
    <mergeCell ref="DT116:DU116"/>
    <mergeCell ref="CJ127:CK127"/>
    <mergeCell ref="CL125:CM125"/>
    <mergeCell ref="CT125:CW125"/>
    <mergeCell ref="CL126:CM126"/>
    <mergeCell ref="DF120:DG122"/>
    <mergeCell ref="DH120:DI120"/>
    <mergeCell ref="CV121:CW121"/>
    <mergeCell ref="CX121:CY121"/>
    <mergeCell ref="DV122:DW122"/>
    <mergeCell ref="DT120:DU120"/>
    <mergeCell ref="DM121:DN123"/>
    <mergeCell ref="DO113:DO114"/>
    <mergeCell ref="DR114:DS115"/>
    <mergeCell ref="DT119:DU119"/>
    <mergeCell ref="CL117:CM117"/>
    <mergeCell ref="DN113:DN114"/>
    <mergeCell ref="ET118:EU118"/>
    <mergeCell ref="CX125:CY125"/>
    <mergeCell ref="DA125:DB127"/>
    <mergeCell ref="DC125:DC127"/>
    <mergeCell ref="EH128:EI128"/>
    <mergeCell ref="EF114:EG114"/>
    <mergeCell ref="ET124:EU124"/>
    <mergeCell ref="CG111:CG125"/>
    <mergeCell ref="CH111:CI113"/>
    <mergeCell ref="CO111:CO114"/>
    <mergeCell ref="CP111:CP112"/>
    <mergeCell ref="DJ126:DK126"/>
    <mergeCell ref="BR113:BR114"/>
    <mergeCell ref="BS113:BS114"/>
    <mergeCell ref="DJ127:DK127"/>
    <mergeCell ref="CH123:CI124"/>
    <mergeCell ref="DQ111:DQ125"/>
    <mergeCell ref="DT111:DU111"/>
    <mergeCell ref="ER124:ES124"/>
    <mergeCell ref="ER123:ES123"/>
    <mergeCell ref="EP123:EQ124"/>
    <mergeCell ref="ER122:ES122"/>
    <mergeCell ref="ET113:EU113"/>
    <mergeCell ref="EP114:EQ115"/>
    <mergeCell ref="ER116:ES116"/>
    <mergeCell ref="ET116:EU116"/>
    <mergeCell ref="EH117:EI117"/>
    <mergeCell ref="ER117:ES117"/>
    <mergeCell ref="ET117:EU117"/>
    <mergeCell ref="EK118:EL120"/>
    <mergeCell ref="EM118:EM120"/>
    <mergeCell ref="ER118:ES118"/>
    <mergeCell ref="EK115:EL117"/>
    <mergeCell ref="EF115:EG115"/>
    <mergeCell ref="EF119:EG119"/>
    <mergeCell ref="EH118:EI118"/>
    <mergeCell ref="EF118:EG118"/>
    <mergeCell ref="EF117:EG117"/>
    <mergeCell ref="DO125:DO127"/>
    <mergeCell ref="EH122:EI122"/>
    <mergeCell ref="EF124:EG124"/>
    <mergeCell ref="EH124:EI124"/>
    <mergeCell ref="CV123:CW123"/>
    <mergeCell ref="DV120:DW120"/>
    <mergeCell ref="DF123:DG124"/>
    <mergeCell ref="DH123:DI123"/>
    <mergeCell ref="CV124:CW124"/>
    <mergeCell ref="CO125:CP127"/>
    <mergeCell ref="DH115:DI115"/>
    <mergeCell ref="DF116:DG119"/>
    <mergeCell ref="DQ126:DS129"/>
    <mergeCell ref="DT127:DU127"/>
    <mergeCell ref="DT114:DU114"/>
    <mergeCell ref="DJ124:DK124"/>
    <mergeCell ref="DT117:DU117"/>
    <mergeCell ref="DE111:DE125"/>
    <mergeCell ref="DF125:DI125"/>
    <mergeCell ref="BX124:BY124"/>
    <mergeCell ref="BZ124:CA124"/>
    <mergeCell ref="BQ121:BR123"/>
    <mergeCell ref="DM118:DN120"/>
    <mergeCell ref="DO118:DO120"/>
    <mergeCell ref="DJ120:DK120"/>
    <mergeCell ref="BX117:BY117"/>
    <mergeCell ref="BX127:BY127"/>
    <mergeCell ref="BX129:BY129"/>
    <mergeCell ref="CJ123:CK123"/>
    <mergeCell ref="CJ124:CK124"/>
    <mergeCell ref="DM115:DN117"/>
    <mergeCell ref="ET127:EU127"/>
    <mergeCell ref="EM111:EM112"/>
    <mergeCell ref="Z123:AA124"/>
    <mergeCell ref="Z125:AC125"/>
    <mergeCell ref="AB119:AC119"/>
    <mergeCell ref="AB120:AC120"/>
    <mergeCell ref="AW111:AW125"/>
    <mergeCell ref="AX111:AY113"/>
    <mergeCell ref="BE111:BE114"/>
    <mergeCell ref="BF111:BF112"/>
    <mergeCell ref="BG111:BG112"/>
    <mergeCell ref="BE125:BF127"/>
    <mergeCell ref="AZ114:BA114"/>
    <mergeCell ref="BG118:BG120"/>
    <mergeCell ref="AX120:AY122"/>
    <mergeCell ref="BE121:BF123"/>
    <mergeCell ref="BG121:BG123"/>
    <mergeCell ref="DA121:DB123"/>
    <mergeCell ref="BN126:BO126"/>
    <mergeCell ref="N120:O122"/>
    <mergeCell ref="P120:Q120"/>
    <mergeCell ref="AN120:AO120"/>
    <mergeCell ref="AN123:AO123"/>
    <mergeCell ref="Z120:AA122"/>
    <mergeCell ref="R118:S118"/>
    <mergeCell ref="BQ111:BQ114"/>
    <mergeCell ref="BL112:BM112"/>
    <mergeCell ref="BN112:BO112"/>
    <mergeCell ref="BN124:BO124"/>
    <mergeCell ref="BL123:BM123"/>
    <mergeCell ref="BL124:BM124"/>
    <mergeCell ref="BN117:BO117"/>
    <mergeCell ref="BN127:BO127"/>
    <mergeCell ref="BN123:BO123"/>
    <mergeCell ref="BX111:BY111"/>
    <mergeCell ref="DM111:DM114"/>
    <mergeCell ref="DH112:DI112"/>
    <mergeCell ref="DJ112:DK112"/>
    <mergeCell ref="DH113:DI113"/>
    <mergeCell ref="DJ113:DK113"/>
    <mergeCell ref="DF114:DG115"/>
    <mergeCell ref="DH114:DI114"/>
    <mergeCell ref="DN111:DN112"/>
    <mergeCell ref="BN119:BO119"/>
    <mergeCell ref="DH116:DI116"/>
    <mergeCell ref="BZ114:CA114"/>
    <mergeCell ref="CJ114:CK114"/>
    <mergeCell ref="CL114:CM114"/>
    <mergeCell ref="CJ115:CK115"/>
    <mergeCell ref="DJ125:DK125"/>
    <mergeCell ref="DA111:DA114"/>
    <mergeCell ref="DB111:DB112"/>
    <mergeCell ref="DC111:DC112"/>
    <mergeCell ref="CT111:CU113"/>
    <mergeCell ref="CV111:CW111"/>
    <mergeCell ref="CX111:CY111"/>
    <mergeCell ref="CJ113:CK113"/>
    <mergeCell ref="CJ116:CK116"/>
    <mergeCell ref="CJ118:CK118"/>
    <mergeCell ref="CV119:CW119"/>
    <mergeCell ref="CV120:CW120"/>
    <mergeCell ref="EH116:EI116"/>
    <mergeCell ref="Y126:AA129"/>
    <mergeCell ref="AB126:AC126"/>
    <mergeCell ref="CJ119:CK119"/>
    <mergeCell ref="CJ120:CK120"/>
    <mergeCell ref="AZ119:BA119"/>
    <mergeCell ref="BB119:BC119"/>
    <mergeCell ref="CD113:CD114"/>
    <mergeCell ref="BJ111:BK113"/>
    <mergeCell ref="BZ111:CA111"/>
    <mergeCell ref="BV123:BW124"/>
    <mergeCell ref="BL117:BM117"/>
    <mergeCell ref="BX122:BY122"/>
    <mergeCell ref="BZ122:CA122"/>
    <mergeCell ref="BZ116:CA116"/>
    <mergeCell ref="BZ117:CA117"/>
    <mergeCell ref="DY111:DY114"/>
    <mergeCell ref="DY118:DZ120"/>
    <mergeCell ref="DZ113:DZ114"/>
    <mergeCell ref="EA113:EA114"/>
    <mergeCell ref="DV112:DW112"/>
    <mergeCell ref="EA118:EA120"/>
    <mergeCell ref="F126:G126"/>
    <mergeCell ref="M126:O129"/>
    <mergeCell ref="R121:S121"/>
    <mergeCell ref="U121:V123"/>
    <mergeCell ref="AZ126:BA126"/>
    <mergeCell ref="CQ128:CQ130"/>
    <mergeCell ref="AU128:AU130"/>
    <mergeCell ref="BX115:BY115"/>
    <mergeCell ref="BZ115:CA115"/>
    <mergeCell ref="BX116:BY116"/>
    <mergeCell ref="AZ123:BA123"/>
    <mergeCell ref="CL115:CM115"/>
    <mergeCell ref="CL118:CM118"/>
    <mergeCell ref="CL119:CM119"/>
    <mergeCell ref="CL120:CM120"/>
    <mergeCell ref="CH125:CK125"/>
    <mergeCell ref="BS125:BS127"/>
    <mergeCell ref="BV125:BY125"/>
    <mergeCell ref="CE125:CE127"/>
    <mergeCell ref="BU126:BW129"/>
    <mergeCell ref="CV115:CW115"/>
    <mergeCell ref="CX115:CY115"/>
    <mergeCell ref="CS111:CS125"/>
    <mergeCell ref="BQ125:BR127"/>
    <mergeCell ref="CX113:CY113"/>
    <mergeCell ref="BL128:BM128"/>
    <mergeCell ref="CV112:CW112"/>
    <mergeCell ref="CX112:CY112"/>
    <mergeCell ref="CQ111:CQ112"/>
    <mergeCell ref="CP113:CP114"/>
    <mergeCell ref="CQ113:CQ114"/>
    <mergeCell ref="CH114:CI115"/>
    <mergeCell ref="BU130:BU131"/>
    <mergeCell ref="AP124:AQ124"/>
    <mergeCell ref="AZ124:BA124"/>
    <mergeCell ref="CQ121:CQ123"/>
    <mergeCell ref="AU121:AU123"/>
    <mergeCell ref="BZ120:CA120"/>
    <mergeCell ref="AZ121:BA121"/>
    <mergeCell ref="BL118:BM118"/>
    <mergeCell ref="BN118:BO118"/>
    <mergeCell ref="BX118:BY118"/>
    <mergeCell ref="AU111:AU112"/>
    <mergeCell ref="AU113:AU114"/>
    <mergeCell ref="AU115:AU117"/>
    <mergeCell ref="DJ116:DK116"/>
    <mergeCell ref="AP116:AQ116"/>
    <mergeCell ref="B111:C113"/>
    <mergeCell ref="D111:E111"/>
    <mergeCell ref="F111:G111"/>
    <mergeCell ref="D113:E113"/>
    <mergeCell ref="F113:G113"/>
    <mergeCell ref="D117:E117"/>
    <mergeCell ref="F117:G117"/>
    <mergeCell ref="D118:E118"/>
    <mergeCell ref="BB127:BC127"/>
    <mergeCell ref="BL127:BM127"/>
    <mergeCell ref="BL119:BM119"/>
    <mergeCell ref="BB121:BC121"/>
    <mergeCell ref="BB125:BC125"/>
    <mergeCell ref="P126:Q126"/>
    <mergeCell ref="R126:S126"/>
    <mergeCell ref="CC125:CD127"/>
    <mergeCell ref="BB111:BC111"/>
    <mergeCell ref="AZ112:BA112"/>
    <mergeCell ref="CX119:CY119"/>
    <mergeCell ref="CD111:CD112"/>
    <mergeCell ref="CE111:CE112"/>
    <mergeCell ref="AD116:AE116"/>
    <mergeCell ref="F112:G112"/>
    <mergeCell ref="P112:Q112"/>
    <mergeCell ref="R112:S112"/>
    <mergeCell ref="AB112:AC112"/>
    <mergeCell ref="AD112:AE112"/>
    <mergeCell ref="AN112:AO112"/>
    <mergeCell ref="BF113:BF114"/>
    <mergeCell ref="BG113:BG114"/>
    <mergeCell ref="AX114:AY115"/>
    <mergeCell ref="BE115:BF117"/>
    <mergeCell ref="BG115:BG117"/>
    <mergeCell ref="BJ125:BM125"/>
    <mergeCell ref="BN125:BO125"/>
    <mergeCell ref="D114:E114"/>
    <mergeCell ref="F114:G114"/>
    <mergeCell ref="N114:O115"/>
    <mergeCell ref="P114:Q114"/>
    <mergeCell ref="R114:S114"/>
    <mergeCell ref="AB114:AC114"/>
    <mergeCell ref="BN114:BO114"/>
    <mergeCell ref="BB115:BC115"/>
    <mergeCell ref="BL115:BM115"/>
    <mergeCell ref="BN115:BO115"/>
    <mergeCell ref="BB116:BC116"/>
    <mergeCell ref="BB117:BC117"/>
    <mergeCell ref="AB123:AC123"/>
    <mergeCell ref="AD125:AE125"/>
    <mergeCell ref="AP120:AQ120"/>
    <mergeCell ref="BJ120:BK122"/>
    <mergeCell ref="CT114:CU115"/>
    <mergeCell ref="CV114:CW114"/>
    <mergeCell ref="CX114:CY114"/>
    <mergeCell ref="CL111:CM111"/>
    <mergeCell ref="BB123:BC123"/>
    <mergeCell ref="BJ123:BK124"/>
    <mergeCell ref="P124:Q124"/>
    <mergeCell ref="AX116:AY119"/>
    <mergeCell ref="BE118:BF120"/>
    <mergeCell ref="BB124:BC124"/>
    <mergeCell ref="D115:E115"/>
    <mergeCell ref="BL113:BM113"/>
    <mergeCell ref="CC121:CD123"/>
    <mergeCell ref="CE121:CE123"/>
    <mergeCell ref="AS125:AT127"/>
    <mergeCell ref="AP127:AQ127"/>
    <mergeCell ref="B125:E125"/>
    <mergeCell ref="F125:G125"/>
    <mergeCell ref="I125:J127"/>
    <mergeCell ref="AK111:AK125"/>
    <mergeCell ref="AL111:AM113"/>
    <mergeCell ref="AL114:AM115"/>
    <mergeCell ref="AL116:AM119"/>
    <mergeCell ref="AL120:AM122"/>
    <mergeCell ref="AP121:AQ121"/>
    <mergeCell ref="AP122:AQ122"/>
    <mergeCell ref="B116:C119"/>
    <mergeCell ref="AZ117:BA117"/>
    <mergeCell ref="BJ114:BK115"/>
    <mergeCell ref="BL114:BM114"/>
    <mergeCell ref="BU111:BU125"/>
    <mergeCell ref="BV111:BW113"/>
    <mergeCell ref="AD113:AE113"/>
    <mergeCell ref="AD114:AE114"/>
    <mergeCell ref="AN121:AO121"/>
    <mergeCell ref="AI121:AI123"/>
    <mergeCell ref="BL121:BM121"/>
    <mergeCell ref="BS115:BS117"/>
    <mergeCell ref="AD119:AE119"/>
    <mergeCell ref="AN119:AO119"/>
    <mergeCell ref="BB118:BC118"/>
    <mergeCell ref="B123:C124"/>
    <mergeCell ref="D123:E123"/>
    <mergeCell ref="F123:G123"/>
    <mergeCell ref="N123:O124"/>
    <mergeCell ref="P123:Q123"/>
    <mergeCell ref="R123:S123"/>
    <mergeCell ref="D121:E121"/>
    <mergeCell ref="F121:G121"/>
    <mergeCell ref="AG111:AG114"/>
    <mergeCell ref="AH111:AH112"/>
    <mergeCell ref="F115:G115"/>
    <mergeCell ref="AB124:AC124"/>
    <mergeCell ref="AX123:AY124"/>
    <mergeCell ref="AX125:BA125"/>
    <mergeCell ref="N125:Q125"/>
    <mergeCell ref="BN122:BO122"/>
    <mergeCell ref="AZ111:BA111"/>
    <mergeCell ref="AB117:AC117"/>
    <mergeCell ref="AB118:AC118"/>
    <mergeCell ref="BX119:BY119"/>
    <mergeCell ref="BZ119:CA119"/>
    <mergeCell ref="AU118:AU120"/>
    <mergeCell ref="BB112:BC112"/>
    <mergeCell ref="AZ113:BA113"/>
    <mergeCell ref="BB113:BC113"/>
    <mergeCell ref="F118:G118"/>
    <mergeCell ref="I111:I114"/>
    <mergeCell ref="J111:J112"/>
    <mergeCell ref="K111:K112"/>
    <mergeCell ref="M111:M125"/>
    <mergeCell ref="J113:J114"/>
    <mergeCell ref="K113:K114"/>
    <mergeCell ref="I118:J120"/>
    <mergeCell ref="K118:K120"/>
    <mergeCell ref="D129:E129"/>
    <mergeCell ref="F129:G129"/>
    <mergeCell ref="P129:Q129"/>
    <mergeCell ref="BJ116:BK119"/>
    <mergeCell ref="AB127:AC127"/>
    <mergeCell ref="AD126:AE126"/>
    <mergeCell ref="AD127:AE127"/>
    <mergeCell ref="F128:G128"/>
    <mergeCell ref="W125:W127"/>
    <mergeCell ref="BV114:BW115"/>
    <mergeCell ref="BV116:BW119"/>
    <mergeCell ref="BV120:BW122"/>
    <mergeCell ref="K125:K127"/>
    <mergeCell ref="CU106:CW106"/>
    <mergeCell ref="BS107:BS108"/>
    <mergeCell ref="R108:S108"/>
    <mergeCell ref="R109:S109"/>
    <mergeCell ref="V109:V110"/>
    <mergeCell ref="W109:W110"/>
    <mergeCell ref="AP110:AQ110"/>
    <mergeCell ref="AZ110:BA110"/>
    <mergeCell ref="CL109:CM109"/>
    <mergeCell ref="CV109:CW109"/>
    <mergeCell ref="CS107:CW107"/>
    <mergeCell ref="CS108:CU110"/>
    <mergeCell ref="CV108:CW108"/>
    <mergeCell ref="H106:I106"/>
    <mergeCell ref="O106:Q106"/>
    <mergeCell ref="CP109:CP110"/>
    <mergeCell ref="AP123:AQ123"/>
    <mergeCell ref="AS121:AT123"/>
    <mergeCell ref="AG115:AH117"/>
    <mergeCell ref="AS115:AT117"/>
    <mergeCell ref="AW126:AY129"/>
    <mergeCell ref="BX121:BY121"/>
    <mergeCell ref="AI115:AI117"/>
    <mergeCell ref="AG118:AH120"/>
    <mergeCell ref="AI118:AI120"/>
    <mergeCell ref="BL120:BM120"/>
    <mergeCell ref="BN120:BO120"/>
    <mergeCell ref="BX120:BY120"/>
    <mergeCell ref="BQ115:BR117"/>
    <mergeCell ref="AP125:AQ125"/>
    <mergeCell ref="BI111:BI125"/>
    <mergeCell ref="AD124:AE124"/>
    <mergeCell ref="AN124:AO124"/>
    <mergeCell ref="AP128:AQ128"/>
    <mergeCell ref="AG128:AH130"/>
    <mergeCell ref="AI128:AI130"/>
    <mergeCell ref="CG107:CK107"/>
    <mergeCell ref="AD111:AE111"/>
    <mergeCell ref="AP119:AQ119"/>
    <mergeCell ref="BI107:BM107"/>
    <mergeCell ref="BN107:BO107"/>
    <mergeCell ref="BQ107:BQ110"/>
    <mergeCell ref="BR107:BR108"/>
    <mergeCell ref="BI108:BK110"/>
    <mergeCell ref="BL108:BM108"/>
    <mergeCell ref="BQ118:BR120"/>
    <mergeCell ref="AN122:AO122"/>
    <mergeCell ref="C106:E106"/>
    <mergeCell ref="T106:U106"/>
    <mergeCell ref="BK106:BM106"/>
    <mergeCell ref="BP106:BQ106"/>
    <mergeCell ref="BN116:BO116"/>
    <mergeCell ref="AZ109:BA109"/>
    <mergeCell ref="AI111:AI112"/>
    <mergeCell ref="DB113:DB114"/>
    <mergeCell ref="CC111:CC114"/>
    <mergeCell ref="CV117:CW117"/>
    <mergeCell ref="CX120:CY120"/>
    <mergeCell ref="CT116:CU119"/>
    <mergeCell ref="CV116:CW116"/>
    <mergeCell ref="CX116:CY116"/>
    <mergeCell ref="BZ118:CA118"/>
    <mergeCell ref="DQ104:DQ105"/>
    <mergeCell ref="CD107:CD108"/>
    <mergeCell ref="CJ103:CK103"/>
    <mergeCell ref="CL116:CM116"/>
    <mergeCell ref="BX109:BY109"/>
    <mergeCell ref="BZ109:CA109"/>
    <mergeCell ref="CL108:CM108"/>
    <mergeCell ref="CJ109:CK109"/>
    <mergeCell ref="AD110:AE110"/>
    <mergeCell ref="AN110:AO110"/>
    <mergeCell ref="AN109:AO109"/>
    <mergeCell ref="AD109:AE109"/>
    <mergeCell ref="CB106:CC106"/>
    <mergeCell ref="AH109:AH110"/>
    <mergeCell ref="CQ115:CQ117"/>
    <mergeCell ref="DO115:DO117"/>
    <mergeCell ref="DR120:DS122"/>
    <mergeCell ref="DC121:DC123"/>
    <mergeCell ref="DH121:DI121"/>
    <mergeCell ref="CV122:CW122"/>
    <mergeCell ref="CT123:CU124"/>
    <mergeCell ref="CL124:CM124"/>
    <mergeCell ref="CL122:CM122"/>
    <mergeCell ref="AP117:AQ117"/>
    <mergeCell ref="AS118:AT120"/>
    <mergeCell ref="AZ122:BA122"/>
    <mergeCell ref="BB122:BC122"/>
    <mergeCell ref="AZ118:BA118"/>
    <mergeCell ref="BW106:BY106"/>
    <mergeCell ref="AY106:BA106"/>
    <mergeCell ref="BD106:BE106"/>
    <mergeCell ref="AF106:AG106"/>
    <mergeCell ref="CO118:CP120"/>
    <mergeCell ref="CQ118:CQ120"/>
    <mergeCell ref="CH120:CI122"/>
    <mergeCell ref="AP118:AQ118"/>
    <mergeCell ref="BS121:BS123"/>
    <mergeCell ref="DJ121:DK121"/>
    <mergeCell ref="CX122:CY122"/>
    <mergeCell ref="CX123:CY123"/>
    <mergeCell ref="CX117:CY117"/>
    <mergeCell ref="CV118:CW118"/>
    <mergeCell ref="BN113:BO113"/>
    <mergeCell ref="BR111:BR112"/>
    <mergeCell ref="BS111:BS112"/>
    <mergeCell ref="CJ122:CK122"/>
    <mergeCell ref="BZ121:CA121"/>
    <mergeCell ref="BB114:BC114"/>
    <mergeCell ref="AI102:AI104"/>
    <mergeCell ref="DJ119:DK119"/>
    <mergeCell ref="BL122:BM122"/>
    <mergeCell ref="CJ111:CK111"/>
    <mergeCell ref="CJ121:CK121"/>
    <mergeCell ref="ET110:EU110"/>
    <mergeCell ref="ER110:ES110"/>
    <mergeCell ref="EH110:EI110"/>
    <mergeCell ref="EF110:EG110"/>
    <mergeCell ref="EM109:EM110"/>
    <mergeCell ref="EL109:EL110"/>
    <mergeCell ref="AK107:AO107"/>
    <mergeCell ref="AP107:AQ107"/>
    <mergeCell ref="AS107:AS110"/>
    <mergeCell ref="AT107:AT108"/>
    <mergeCell ref="AT109:AT110"/>
    <mergeCell ref="DY107:DY110"/>
    <mergeCell ref="DQ108:DS110"/>
    <mergeCell ref="DT108:DU108"/>
    <mergeCell ref="DV108:DW108"/>
    <mergeCell ref="CD109:CD110"/>
    <mergeCell ref="CE109:CE110"/>
    <mergeCell ref="BB107:BC107"/>
    <mergeCell ref="BE107:BE110"/>
    <mergeCell ref="BF107:BF108"/>
    <mergeCell ref="BG107:BG108"/>
    <mergeCell ref="AW108:AY110"/>
    <mergeCell ref="AZ108:BA108"/>
    <mergeCell ref="BF109:BF110"/>
    <mergeCell ref="DJ107:DK107"/>
    <mergeCell ref="DV110:DW110"/>
    <mergeCell ref="DM107:DM110"/>
    <mergeCell ref="DN107:DN108"/>
    <mergeCell ref="DE108:DG110"/>
    <mergeCell ref="DH108:DI108"/>
    <mergeCell ref="DJ108:DK108"/>
    <mergeCell ref="CX109:CY109"/>
    <mergeCell ref="CX107:CY107"/>
    <mergeCell ref="DA107:DA110"/>
    <mergeCell ref="ER109:ES109"/>
    <mergeCell ref="DB107:DB108"/>
    <mergeCell ref="DC107:DC108"/>
    <mergeCell ref="CX108:CY108"/>
    <mergeCell ref="BB108:BC108"/>
    <mergeCell ref="BB109:BC109"/>
    <mergeCell ref="DH109:DI109"/>
    <mergeCell ref="DJ109:DK109"/>
    <mergeCell ref="DN109:DN110"/>
    <mergeCell ref="AW107:BA107"/>
    <mergeCell ref="CO107:CO110"/>
    <mergeCell ref="CP107:CP108"/>
    <mergeCell ref="BL109:BM109"/>
    <mergeCell ref="DH110:DI110"/>
    <mergeCell ref="DJ110:DK110"/>
    <mergeCell ref="BU107:BY107"/>
    <mergeCell ref="BZ107:CA107"/>
    <mergeCell ref="CC107:CC110"/>
    <mergeCell ref="BN108:BO108"/>
    <mergeCell ref="EX107:EX108"/>
    <mergeCell ref="CJ110:CK110"/>
    <mergeCell ref="CL110:CM110"/>
    <mergeCell ref="CV110:CW110"/>
    <mergeCell ref="CX110:CY110"/>
    <mergeCell ref="BL110:BM110"/>
    <mergeCell ref="BN110:BO110"/>
    <mergeCell ref="BX110:BY110"/>
    <mergeCell ref="BZ110:CA110"/>
    <mergeCell ref="AD122:AE122"/>
    <mergeCell ref="R124:S124"/>
    <mergeCell ref="CO121:CP123"/>
    <mergeCell ref="K121:K123"/>
    <mergeCell ref="AB121:AC121"/>
    <mergeCell ref="P121:Q121"/>
    <mergeCell ref="AG121:AH123"/>
    <mergeCell ref="AD118:AE118"/>
    <mergeCell ref="AD120:AE120"/>
    <mergeCell ref="CH116:CI119"/>
    <mergeCell ref="D119:E119"/>
    <mergeCell ref="F119:G119"/>
    <mergeCell ref="AP126:AQ126"/>
    <mergeCell ref="AL123:AM124"/>
    <mergeCell ref="AD115:AE115"/>
    <mergeCell ref="AD123:AE123"/>
    <mergeCell ref="R117:S117"/>
    <mergeCell ref="AN127:AO127"/>
    <mergeCell ref="BB126:BC126"/>
    <mergeCell ref="BI126:BK129"/>
    <mergeCell ref="BL126:BM126"/>
    <mergeCell ref="AG107:AG110"/>
    <mergeCell ref="AH107:AH108"/>
    <mergeCell ref="AI107:AI108"/>
    <mergeCell ref="Y108:AA110"/>
    <mergeCell ref="AB108:AC108"/>
    <mergeCell ref="CQ107:CQ108"/>
    <mergeCell ref="CG108:CI110"/>
    <mergeCell ref="CJ108:CK108"/>
    <mergeCell ref="BG109:BG110"/>
    <mergeCell ref="CL107:CM107"/>
    <mergeCell ref="DV111:DW111"/>
    <mergeCell ref="DR125:DU125"/>
    <mergeCell ref="DT122:DU122"/>
    <mergeCell ref="DR123:DS124"/>
    <mergeCell ref="DY115:DZ117"/>
    <mergeCell ref="EH109:EI109"/>
    <mergeCell ref="BZ108:CA108"/>
    <mergeCell ref="BS109:BS110"/>
    <mergeCell ref="EF109:EG109"/>
    <mergeCell ref="ET107:EU107"/>
    <mergeCell ref="DB109:DB110"/>
    <mergeCell ref="DC109:DC110"/>
    <mergeCell ref="DO109:DO110"/>
    <mergeCell ref="DT109:DU109"/>
    <mergeCell ref="DV109:DW109"/>
    <mergeCell ref="DZ107:DZ108"/>
    <mergeCell ref="EA107:EA108"/>
    <mergeCell ref="BB110:BC110"/>
    <mergeCell ref="EC108:EE110"/>
    <mergeCell ref="AU107:AU108"/>
    <mergeCell ref="AU109:AU110"/>
    <mergeCell ref="CE107:CE108"/>
    <mergeCell ref="BU108:BW110"/>
    <mergeCell ref="BX108:BY108"/>
    <mergeCell ref="R110:S110"/>
    <mergeCell ref="CQ109:CQ110"/>
    <mergeCell ref="Y107:AC107"/>
    <mergeCell ref="AD107:AE107"/>
    <mergeCell ref="DX106:DY106"/>
    <mergeCell ref="P109:Q109"/>
    <mergeCell ref="P110:Q110"/>
    <mergeCell ref="EH103:EI103"/>
    <mergeCell ref="ER101:ES101"/>
    <mergeCell ref="EM102:EM104"/>
    <mergeCell ref="D127:E127"/>
    <mergeCell ref="F127:G127"/>
    <mergeCell ref="D122:E122"/>
    <mergeCell ref="BN121:BO121"/>
    <mergeCell ref="F109:G109"/>
    <mergeCell ref="J109:J110"/>
    <mergeCell ref="K109:K110"/>
    <mergeCell ref="D110:E110"/>
    <mergeCell ref="F110:G110"/>
    <mergeCell ref="P108:Q108"/>
    <mergeCell ref="AK108:AM110"/>
    <mergeCell ref="AN108:AO108"/>
    <mergeCell ref="DZ109:DZ110"/>
    <mergeCell ref="EA109:EA110"/>
    <mergeCell ref="DQ107:DU107"/>
    <mergeCell ref="DV107:DW107"/>
    <mergeCell ref="AD108:AE108"/>
    <mergeCell ref="DT103:DU103"/>
    <mergeCell ref="DM102:DN104"/>
    <mergeCell ref="DO102:DO104"/>
    <mergeCell ref="AZ120:BA120"/>
    <mergeCell ref="BB120:BC120"/>
    <mergeCell ref="DH118:DI118"/>
    <mergeCell ref="DF111:DG113"/>
    <mergeCell ref="DH111:DI111"/>
    <mergeCell ref="DJ111:DK111"/>
    <mergeCell ref="AT113:AT114"/>
    <mergeCell ref="BX101:BY101"/>
    <mergeCell ref="CE113:CE114"/>
    <mergeCell ref="CC115:CD117"/>
    <mergeCell ref="CE115:CE117"/>
    <mergeCell ref="CC118:CD120"/>
    <mergeCell ref="CE118:CE120"/>
    <mergeCell ref="AP114:AQ114"/>
    <mergeCell ref="AM106:AO106"/>
    <mergeCell ref="AN111:AO111"/>
    <mergeCell ref="AN113:AO113"/>
    <mergeCell ref="AN114:AO114"/>
    <mergeCell ref="EC104:EC105"/>
    <mergeCell ref="AW104:AW105"/>
    <mergeCell ref="DT123:DU123"/>
    <mergeCell ref="DV125:DW125"/>
    <mergeCell ref="DY125:DZ127"/>
    <mergeCell ref="DV126:DW126"/>
    <mergeCell ref="W118:W120"/>
    <mergeCell ref="DZ111:DZ112"/>
    <mergeCell ref="EA111:EA112"/>
    <mergeCell ref="DV113:DW113"/>
    <mergeCell ref="DT115:DU115"/>
    <mergeCell ref="DT118:DU118"/>
    <mergeCell ref="DJ117:DK117"/>
    <mergeCell ref="DT112:DU112"/>
    <mergeCell ref="DT113:DU113"/>
    <mergeCell ref="BL116:BM116"/>
    <mergeCell ref="P100:Q100"/>
    <mergeCell ref="R100:S100"/>
    <mergeCell ref="AB101:AC101"/>
    <mergeCell ref="AD100:AE100"/>
    <mergeCell ref="AN101:AO101"/>
    <mergeCell ref="AD102:AE102"/>
    <mergeCell ref="AN102:AO102"/>
    <mergeCell ref="AB103:AC103"/>
    <mergeCell ref="ET100:EU100"/>
    <mergeCell ref="D101:E101"/>
    <mergeCell ref="F101:G101"/>
    <mergeCell ref="P101:Q101"/>
    <mergeCell ref="R101:S101"/>
    <mergeCell ref="ET96:EU96"/>
    <mergeCell ref="DT96:DU96"/>
    <mergeCell ref="CT94:CU96"/>
    <mergeCell ref="CL95:CM95"/>
    <mergeCell ref="BX97:BY97"/>
    <mergeCell ref="BZ97:CA97"/>
    <mergeCell ref="AI109:AI110"/>
    <mergeCell ref="BI104:BI105"/>
    <mergeCell ref="Y100:AA103"/>
    <mergeCell ref="AB100:AC100"/>
    <mergeCell ref="AG102:AH104"/>
    <mergeCell ref="EQ106:ES106"/>
    <mergeCell ref="EW107:EW110"/>
    <mergeCell ref="EO107:ES107"/>
    <mergeCell ref="EO108:EQ110"/>
    <mergeCell ref="ER108:ES108"/>
    <mergeCell ref="DO107:DO108"/>
    <mergeCell ref="DT110:DU110"/>
    <mergeCell ref="R107:S107"/>
    <mergeCell ref="U107:U110"/>
    <mergeCell ref="A107:E107"/>
    <mergeCell ref="F107:G107"/>
    <mergeCell ref="I107:I110"/>
    <mergeCell ref="J107:J108"/>
    <mergeCell ref="K107:K108"/>
    <mergeCell ref="M107:Q107"/>
    <mergeCell ref="D109:E109"/>
    <mergeCell ref="DE107:DI107"/>
    <mergeCell ref="AP108:AQ108"/>
    <mergeCell ref="AP109:AQ109"/>
    <mergeCell ref="BN109:BO109"/>
    <mergeCell ref="BR109:BR110"/>
    <mergeCell ref="EF108:EG108"/>
    <mergeCell ref="EH107:EI107"/>
    <mergeCell ref="EC107:EG107"/>
    <mergeCell ref="EH108:EI108"/>
    <mergeCell ref="EE106:EG106"/>
    <mergeCell ref="CZ106:DA106"/>
    <mergeCell ref="DG106:DI106"/>
    <mergeCell ref="DL106:DM106"/>
    <mergeCell ref="DS106:DU106"/>
    <mergeCell ref="CI106:CK106"/>
    <mergeCell ref="CN106:CO106"/>
    <mergeCell ref="AA106:AC106"/>
    <mergeCell ref="D95:E95"/>
    <mergeCell ref="A108:C110"/>
    <mergeCell ref="D108:E108"/>
    <mergeCell ref="F108:G108"/>
    <mergeCell ref="M108:O110"/>
    <mergeCell ref="V107:V108"/>
    <mergeCell ref="W107:W108"/>
    <mergeCell ref="CX90:CY90"/>
    <mergeCell ref="DH90:DI90"/>
    <mergeCell ref="DB87:DB88"/>
    <mergeCell ref="CC95:CD97"/>
    <mergeCell ref="CE95:CE97"/>
    <mergeCell ref="BV97:BW98"/>
    <mergeCell ref="BQ102:BR104"/>
    <mergeCell ref="BS102:BS104"/>
    <mergeCell ref="BX102:BY102"/>
    <mergeCell ref="BZ102:CA102"/>
    <mergeCell ref="AN103:AO103"/>
    <mergeCell ref="AP103:AQ103"/>
    <mergeCell ref="AZ103:BA103"/>
    <mergeCell ref="BB103:BC103"/>
    <mergeCell ref="DA102:DB104"/>
    <mergeCell ref="DC102:DC104"/>
    <mergeCell ref="BU104:BU105"/>
    <mergeCell ref="B97:C98"/>
    <mergeCell ref="D97:E97"/>
    <mergeCell ref="F97:G97"/>
    <mergeCell ref="ET99:EU99"/>
    <mergeCell ref="EF102:EG102"/>
    <mergeCell ref="D102:E102"/>
    <mergeCell ref="F102:G102"/>
    <mergeCell ref="I102:J104"/>
    <mergeCell ref="K102:K104"/>
    <mergeCell ref="P102:Q102"/>
    <mergeCell ref="R102:S102"/>
    <mergeCell ref="ER103:ES103"/>
    <mergeCell ref="ET103:EU103"/>
    <mergeCell ref="CG85:CG99"/>
    <mergeCell ref="CH85:CI87"/>
    <mergeCell ref="ER98:ES98"/>
    <mergeCell ref="ER97:ES97"/>
    <mergeCell ref="EP97:EQ98"/>
    <mergeCell ref="ER96:ES96"/>
    <mergeCell ref="ET95:EU95"/>
    <mergeCell ref="DJ90:DK90"/>
    <mergeCell ref="DT90:DU90"/>
    <mergeCell ref="ET86:EU86"/>
    <mergeCell ref="DV91:DW91"/>
    <mergeCell ref="DQ85:DQ99"/>
    <mergeCell ref="DR85:DS87"/>
    <mergeCell ref="DN87:DN88"/>
    <mergeCell ref="DJ103:DK103"/>
    <mergeCell ref="BZ101:CA101"/>
    <mergeCell ref="ET87:EU87"/>
    <mergeCell ref="EP88:EQ89"/>
    <mergeCell ref="ER88:ES88"/>
    <mergeCell ref="ET88:EU88"/>
    <mergeCell ref="EH85:EI85"/>
    <mergeCell ref="EK85:EK88"/>
    <mergeCell ref="EH86:EI86"/>
    <mergeCell ref="EH87:EI87"/>
    <mergeCell ref="EH99:EI99"/>
    <mergeCell ref="ER102:ES102"/>
    <mergeCell ref="ET102:EU102"/>
    <mergeCell ref="EO104:EO105"/>
    <mergeCell ref="EH97:EI97"/>
    <mergeCell ref="EK92:EL94"/>
    <mergeCell ref="DT94:DU94"/>
    <mergeCell ref="AD92:AE92"/>
    <mergeCell ref="D100:E100"/>
    <mergeCell ref="F100:G100"/>
    <mergeCell ref="DF97:DG98"/>
    <mergeCell ref="DH97:DI97"/>
    <mergeCell ref="CV98:CW98"/>
    <mergeCell ref="AD98:AE98"/>
    <mergeCell ref="AN98:AO98"/>
    <mergeCell ref="AP98:AQ98"/>
    <mergeCell ref="AZ98:BA98"/>
    <mergeCell ref="DV97:DW97"/>
    <mergeCell ref="BX94:BY94"/>
    <mergeCell ref="BZ95:CA95"/>
    <mergeCell ref="AD94:AE94"/>
    <mergeCell ref="CO95:CP97"/>
    <mergeCell ref="F98:G98"/>
    <mergeCell ref="P98:Q98"/>
    <mergeCell ref="R98:S98"/>
    <mergeCell ref="AB98:AC98"/>
    <mergeCell ref="AB95:AC95"/>
    <mergeCell ref="AP94:AQ94"/>
    <mergeCell ref="AZ94:BA94"/>
    <mergeCell ref="BQ95:BR97"/>
    <mergeCell ref="BL96:BM96"/>
    <mergeCell ref="A100:C103"/>
    <mergeCell ref="AD103:AE103"/>
    <mergeCell ref="U102:V104"/>
    <mergeCell ref="W102:W104"/>
    <mergeCell ref="AB102:AC102"/>
    <mergeCell ref="CX102:CY102"/>
    <mergeCell ref="AZ102:BA102"/>
    <mergeCell ref="BN102:BO102"/>
    <mergeCell ref="A104:A105"/>
    <mergeCell ref="M104:M105"/>
    <mergeCell ref="DH101:DI101"/>
    <mergeCell ref="DH102:DI102"/>
    <mergeCell ref="CV100:CW100"/>
    <mergeCell ref="CL101:CM101"/>
    <mergeCell ref="CV101:CW101"/>
    <mergeCell ref="CX100:CY100"/>
    <mergeCell ref="DE100:DG103"/>
    <mergeCell ref="DH100:DI100"/>
    <mergeCell ref="CX101:CY101"/>
    <mergeCell ref="F103:G103"/>
    <mergeCell ref="P103:Q103"/>
    <mergeCell ref="R103:S103"/>
    <mergeCell ref="CX103:CY103"/>
    <mergeCell ref="CJ102:CK102"/>
    <mergeCell ref="BV99:BY99"/>
    <mergeCell ref="BU100:BW103"/>
    <mergeCell ref="BX100:BY100"/>
    <mergeCell ref="CQ99:CQ101"/>
    <mergeCell ref="CG100:CI103"/>
    <mergeCell ref="CJ100:CK100"/>
    <mergeCell ref="CO102:CP104"/>
    <mergeCell ref="CQ102:CQ104"/>
    <mergeCell ref="CG104:CG105"/>
    <mergeCell ref="CV103:CW103"/>
    <mergeCell ref="BN103:BO103"/>
    <mergeCell ref="BX103:BY103"/>
    <mergeCell ref="CL102:CM102"/>
    <mergeCell ref="D96:E96"/>
    <mergeCell ref="F95:G95"/>
    <mergeCell ref="I95:J97"/>
    <mergeCell ref="D98:E98"/>
    <mergeCell ref="CS85:CS99"/>
    <mergeCell ref="BI85:BI99"/>
    <mergeCell ref="DH103:DI103"/>
    <mergeCell ref="CJ101:CK101"/>
    <mergeCell ref="DT102:DU102"/>
    <mergeCell ref="EA102:EA104"/>
    <mergeCell ref="DV102:DW102"/>
    <mergeCell ref="DE104:DE105"/>
    <mergeCell ref="BN99:BO99"/>
    <mergeCell ref="BQ99:BR101"/>
    <mergeCell ref="F96:G96"/>
    <mergeCell ref="P96:Q96"/>
    <mergeCell ref="R96:S96"/>
    <mergeCell ref="AB96:AC96"/>
    <mergeCell ref="AD96:AE96"/>
    <mergeCell ref="AN96:AO96"/>
    <mergeCell ref="AD97:AE97"/>
    <mergeCell ref="CX96:CY96"/>
    <mergeCell ref="DH96:DI96"/>
    <mergeCell ref="DJ96:DK96"/>
    <mergeCell ref="BN96:BO96"/>
    <mergeCell ref="BX96:BY96"/>
    <mergeCell ref="BZ96:CA96"/>
    <mergeCell ref="AN97:AO97"/>
    <mergeCell ref="AB94:AC94"/>
    <mergeCell ref="BB93:BC93"/>
    <mergeCell ref="BL93:BM93"/>
    <mergeCell ref="AZ92:BA92"/>
    <mergeCell ref="D94:E94"/>
    <mergeCell ref="AZ95:BA95"/>
    <mergeCell ref="BS92:BS94"/>
    <mergeCell ref="D93:E93"/>
    <mergeCell ref="Z90:AA93"/>
    <mergeCell ref="Z94:AA96"/>
    <mergeCell ref="DV103:DW103"/>
    <mergeCell ref="BN100:BO100"/>
    <mergeCell ref="BN101:BO101"/>
    <mergeCell ref="AD99:AE99"/>
    <mergeCell ref="CL103:CM103"/>
    <mergeCell ref="CV102:CW102"/>
    <mergeCell ref="CC102:CD104"/>
    <mergeCell ref="CE102:CE104"/>
    <mergeCell ref="AD90:AE90"/>
    <mergeCell ref="AS102:AT104"/>
    <mergeCell ref="AU102:AU104"/>
    <mergeCell ref="AK104:AK105"/>
    <mergeCell ref="AD101:AE101"/>
    <mergeCell ref="AG89:AH91"/>
    <mergeCell ref="AI89:AI91"/>
    <mergeCell ref="AG92:AH94"/>
    <mergeCell ref="AI92:AI94"/>
    <mergeCell ref="AG95:AH97"/>
    <mergeCell ref="AI95:AI97"/>
    <mergeCell ref="BI100:BK103"/>
    <mergeCell ref="BL100:BM100"/>
    <mergeCell ref="BL101:BM101"/>
    <mergeCell ref="BL102:BM102"/>
    <mergeCell ref="N97:O98"/>
    <mergeCell ref="P97:Q97"/>
    <mergeCell ref="R97:S97"/>
    <mergeCell ref="AP97:AQ97"/>
    <mergeCell ref="AP102:AQ102"/>
    <mergeCell ref="BG99:BG101"/>
    <mergeCell ref="AW100:AY103"/>
    <mergeCell ref="CV97:CW97"/>
    <mergeCell ref="CX97:CY97"/>
    <mergeCell ref="DN85:DN86"/>
    <mergeCell ref="DO85:DO86"/>
    <mergeCell ref="DT88:DU88"/>
    <mergeCell ref="DT91:DU91"/>
    <mergeCell ref="DT85:DU85"/>
    <mergeCell ref="CV87:CW87"/>
    <mergeCell ref="CX87:CY87"/>
    <mergeCell ref="DF85:DG87"/>
    <mergeCell ref="DH85:DI85"/>
    <mergeCell ref="DJ85:DK85"/>
    <mergeCell ref="DM85:DM88"/>
    <mergeCell ref="DH86:DI86"/>
    <mergeCell ref="DJ86:DK86"/>
    <mergeCell ref="DH87:DI87"/>
    <mergeCell ref="DJ87:DK87"/>
    <mergeCell ref="DH88:DI88"/>
    <mergeCell ref="DA95:DB97"/>
    <mergeCell ref="EF97:EG97"/>
    <mergeCell ref="EF100:EG100"/>
    <mergeCell ref="EM99:EM101"/>
    <mergeCell ref="EK99:EL101"/>
    <mergeCell ref="F94:G94"/>
    <mergeCell ref="N94:O96"/>
    <mergeCell ref="P94:Q94"/>
    <mergeCell ref="BN95:BO95"/>
    <mergeCell ref="BJ94:BK96"/>
    <mergeCell ref="BN93:BO93"/>
    <mergeCell ref="DV94:DW94"/>
    <mergeCell ref="ED94:EE96"/>
    <mergeCell ref="EF94:EG94"/>
    <mergeCell ref="DV95:DW95"/>
    <mergeCell ref="DY95:DZ97"/>
    <mergeCell ref="DM99:DN101"/>
    <mergeCell ref="DO99:DO101"/>
    <mergeCell ref="DR99:DU99"/>
    <mergeCell ref="DQ100:DS103"/>
    <mergeCell ref="DT101:DU101"/>
    <mergeCell ref="CL99:CM99"/>
    <mergeCell ref="CT99:CW99"/>
    <mergeCell ref="CL100:CM100"/>
    <mergeCell ref="CS100:CU103"/>
    <mergeCell ref="CJ95:CK95"/>
    <mergeCell ref="CJ98:CK98"/>
    <mergeCell ref="CJ94:CK94"/>
    <mergeCell ref="BZ94:CA94"/>
    <mergeCell ref="DC95:DC97"/>
    <mergeCell ref="DH95:DI95"/>
    <mergeCell ref="CV96:CW96"/>
    <mergeCell ref="CT97:CU98"/>
    <mergeCell ref="CL98:CM98"/>
    <mergeCell ref="CL96:CM96"/>
    <mergeCell ref="EF96:EG96"/>
    <mergeCell ref="DY92:DZ94"/>
    <mergeCell ref="BZ99:CA99"/>
    <mergeCell ref="F93:G93"/>
    <mergeCell ref="P93:Q93"/>
    <mergeCell ref="R93:S93"/>
    <mergeCell ref="AB93:AC93"/>
    <mergeCell ref="AD93:AE93"/>
    <mergeCell ref="AN93:AO93"/>
    <mergeCell ref="BB92:BC92"/>
    <mergeCell ref="AS99:AT101"/>
    <mergeCell ref="EK102:EL104"/>
    <mergeCell ref="CJ93:CK93"/>
    <mergeCell ref="CO89:CP91"/>
    <mergeCell ref="CQ89:CQ91"/>
    <mergeCell ref="CH90:CI93"/>
    <mergeCell ref="CO92:CP94"/>
    <mergeCell ref="CQ92:CQ94"/>
    <mergeCell ref="CH94:CI96"/>
    <mergeCell ref="D103:E103"/>
    <mergeCell ref="BS95:BS97"/>
    <mergeCell ref="CL97:CM97"/>
    <mergeCell ref="CV89:CW89"/>
    <mergeCell ref="BS99:BS101"/>
    <mergeCell ref="BX89:BY89"/>
    <mergeCell ref="BX90:BY90"/>
    <mergeCell ref="BR85:BR86"/>
    <mergeCell ref="BS85:BS86"/>
    <mergeCell ref="BR87:BR88"/>
    <mergeCell ref="BS87:BS88"/>
    <mergeCell ref="BQ89:BR91"/>
    <mergeCell ref="BS89:BS91"/>
    <mergeCell ref="EF93:EG93"/>
    <mergeCell ref="EM92:EM94"/>
    <mergeCell ref="ER92:ES92"/>
    <mergeCell ref="EH93:EI93"/>
    <mergeCell ref="EH94:EI94"/>
    <mergeCell ref="ER90:ES90"/>
    <mergeCell ref="CV90:CW90"/>
    <mergeCell ref="CL89:CM89"/>
    <mergeCell ref="EH96:EI96"/>
    <mergeCell ref="ER95:ES95"/>
    <mergeCell ref="EM95:EM97"/>
    <mergeCell ref="EK95:EL97"/>
    <mergeCell ref="EH95:EI95"/>
    <mergeCell ref="EP94:EQ96"/>
    <mergeCell ref="EH92:EI92"/>
    <mergeCell ref="EM87:EM88"/>
    <mergeCell ref="EL87:EL88"/>
    <mergeCell ref="EO85:EO99"/>
    <mergeCell ref="EP85:EQ87"/>
    <mergeCell ref="ER85:ES85"/>
    <mergeCell ref="ER86:ES86"/>
    <mergeCell ref="EC85:EC99"/>
    <mergeCell ref="ED85:EE87"/>
    <mergeCell ref="DT98:DU98"/>
    <mergeCell ref="DF88:DG89"/>
    <mergeCell ref="DJ95:DK95"/>
    <mergeCell ref="DT93:DU93"/>
    <mergeCell ref="DR90:DS93"/>
    <mergeCell ref="DH91:DI91"/>
    <mergeCell ref="EA92:EA94"/>
    <mergeCell ref="EF92:EG92"/>
    <mergeCell ref="DJ93:DK93"/>
    <mergeCell ref="DE85:DE99"/>
    <mergeCell ref="DF99:DI99"/>
    <mergeCell ref="DF90:DG93"/>
    <mergeCell ref="CX89:CY89"/>
    <mergeCell ref="EA89:EA91"/>
    <mergeCell ref="DV90:DW90"/>
    <mergeCell ref="EA85:EA86"/>
    <mergeCell ref="EF85:EG85"/>
    <mergeCell ref="EF86:EG86"/>
    <mergeCell ref="EF87:EG87"/>
    <mergeCell ref="CX93:CY93"/>
    <mergeCell ref="EP90:EQ93"/>
    <mergeCell ref="CQ87:CQ88"/>
    <mergeCell ref="DJ102:DK102"/>
    <mergeCell ref="DV99:DW99"/>
    <mergeCell ref="DY99:DZ101"/>
    <mergeCell ref="EA99:EA101"/>
    <mergeCell ref="ED99:EG99"/>
    <mergeCell ref="DV100:DW100"/>
    <mergeCell ref="EC100:EE103"/>
    <mergeCell ref="DV101:DW101"/>
    <mergeCell ref="EF101:EG101"/>
    <mergeCell ref="DY102:DZ104"/>
    <mergeCell ref="ED90:EE93"/>
    <mergeCell ref="EF90:EG90"/>
    <mergeCell ref="EF91:EG91"/>
    <mergeCell ref="EH90:EI90"/>
    <mergeCell ref="DO87:DO88"/>
    <mergeCell ref="DR88:DS89"/>
    <mergeCell ref="DM89:DN91"/>
    <mergeCell ref="DO89:DO91"/>
    <mergeCell ref="DR94:DS96"/>
    <mergeCell ref="AD95:AE95"/>
    <mergeCell ref="AB97:AC97"/>
    <mergeCell ref="CJ97:CK97"/>
    <mergeCell ref="BL91:BM91"/>
    <mergeCell ref="BN91:BO91"/>
    <mergeCell ref="BX91:BY91"/>
    <mergeCell ref="BJ90:BK93"/>
    <mergeCell ref="BL90:BM90"/>
    <mergeCell ref="BN90:BO90"/>
    <mergeCell ref="BZ90:CA90"/>
    <mergeCell ref="BZ91:CA91"/>
    <mergeCell ref="CJ91:CK91"/>
    <mergeCell ref="CL91:CM91"/>
    <mergeCell ref="CV91:CW91"/>
    <mergeCell ref="CX91:CY91"/>
    <mergeCell ref="CV92:CW92"/>
    <mergeCell ref="DJ92:DK92"/>
    <mergeCell ref="DM92:DN94"/>
    <mergeCell ref="DO92:DO94"/>
    <mergeCell ref="DJ94:DK94"/>
    <mergeCell ref="DT92:DU92"/>
    <mergeCell ref="DH93:DI93"/>
    <mergeCell ref="AU99:AU101"/>
    <mergeCell ref="AK100:AM103"/>
    <mergeCell ref="AN100:AO100"/>
    <mergeCell ref="BJ99:BM99"/>
    <mergeCell ref="BB100:BC100"/>
    <mergeCell ref="EF103:EG103"/>
    <mergeCell ref="BZ100:CA100"/>
    <mergeCell ref="EH102:EI102"/>
    <mergeCell ref="BL103:BM103"/>
    <mergeCell ref="BZ103:CA103"/>
    <mergeCell ref="AZ100:BA100"/>
    <mergeCell ref="BE102:BF104"/>
    <mergeCell ref="BV94:BW96"/>
    <mergeCell ref="BX93:BY93"/>
    <mergeCell ref="BZ93:CA93"/>
    <mergeCell ref="BX95:BY95"/>
    <mergeCell ref="BZ89:CA89"/>
    <mergeCell ref="BZ92:CA92"/>
    <mergeCell ref="BB95:BC95"/>
    <mergeCell ref="BG102:BG104"/>
    <mergeCell ref="DV98:DW98"/>
    <mergeCell ref="EF98:EG98"/>
    <mergeCell ref="EH98:EI98"/>
    <mergeCell ref="CJ85:CK85"/>
    <mergeCell ref="CJ86:CK86"/>
    <mergeCell ref="CL90:CM90"/>
    <mergeCell ref="CJ96:CK96"/>
    <mergeCell ref="CJ92:CK92"/>
    <mergeCell ref="AN94:AO94"/>
    <mergeCell ref="AL99:AO99"/>
    <mergeCell ref="AX99:BA99"/>
    <mergeCell ref="BE99:BF101"/>
    <mergeCell ref="CC85:CC88"/>
    <mergeCell ref="CD85:CD86"/>
    <mergeCell ref="CE85:CE86"/>
    <mergeCell ref="CD87:CD88"/>
    <mergeCell ref="CE87:CE88"/>
    <mergeCell ref="CC89:CD91"/>
    <mergeCell ref="CE89:CE91"/>
    <mergeCell ref="CC92:CD94"/>
    <mergeCell ref="CE92:CE94"/>
    <mergeCell ref="AN85:AO85"/>
    <mergeCell ref="AN87:AO87"/>
    <mergeCell ref="AN88:AO88"/>
    <mergeCell ref="BN98:BO98"/>
    <mergeCell ref="BX98:BY98"/>
    <mergeCell ref="BZ98:CA98"/>
    <mergeCell ref="AZ97:BA97"/>
    <mergeCell ref="BB97:BC97"/>
    <mergeCell ref="BJ97:BK98"/>
    <mergeCell ref="BL97:BM97"/>
    <mergeCell ref="BB98:BC98"/>
    <mergeCell ref="BL98:BM98"/>
    <mergeCell ref="BJ85:BK87"/>
    <mergeCell ref="AN95:AO95"/>
    <mergeCell ref="AP95:AQ95"/>
    <mergeCell ref="AN86:AO86"/>
    <mergeCell ref="BN86:BO86"/>
    <mergeCell ref="BL92:BM92"/>
    <mergeCell ref="BL85:BM85"/>
    <mergeCell ref="BN85:BO85"/>
    <mergeCell ref="BQ85:BQ88"/>
    <mergeCell ref="BL86:BM86"/>
    <mergeCell ref="BJ88:BK89"/>
    <mergeCell ref="AX88:AY89"/>
    <mergeCell ref="BE92:BF94"/>
    <mergeCell ref="BG92:BG94"/>
    <mergeCell ref="AX94:AY96"/>
    <mergeCell ref="BE95:BF97"/>
    <mergeCell ref="BG95:BG97"/>
    <mergeCell ref="AX97:AY98"/>
    <mergeCell ref="AN89:AO89"/>
    <mergeCell ref="BB86:BC86"/>
    <mergeCell ref="BB101:BC101"/>
    <mergeCell ref="BB94:BC94"/>
    <mergeCell ref="BB87:BC87"/>
    <mergeCell ref="AZ87:BA87"/>
    <mergeCell ref="AN91:AO91"/>
    <mergeCell ref="AN92:AO92"/>
    <mergeCell ref="AL94:AM96"/>
    <mergeCell ref="CP85:CP86"/>
    <mergeCell ref="BL87:BM87"/>
    <mergeCell ref="CL92:CM92"/>
    <mergeCell ref="CL93:CM93"/>
    <mergeCell ref="CL94:CM94"/>
    <mergeCell ref="CQ95:CQ97"/>
    <mergeCell ref="CH97:CI98"/>
    <mergeCell ref="CJ87:CK87"/>
    <mergeCell ref="CJ90:CK90"/>
    <mergeCell ref="BX85:BY85"/>
    <mergeCell ref="BZ85:CA85"/>
    <mergeCell ref="BX86:BY86"/>
    <mergeCell ref="BZ86:CA86"/>
    <mergeCell ref="BX87:BY87"/>
    <mergeCell ref="BZ87:CA87"/>
    <mergeCell ref="BX88:BY88"/>
    <mergeCell ref="BQ92:BR94"/>
    <mergeCell ref="BU85:BU99"/>
    <mergeCell ref="AP87:AQ87"/>
    <mergeCell ref="BV85:BW87"/>
    <mergeCell ref="BV88:BW89"/>
    <mergeCell ref="BV90:BW93"/>
    <mergeCell ref="AP93:AQ93"/>
    <mergeCell ref="AZ93:BA93"/>
    <mergeCell ref="AP99:AQ99"/>
    <mergeCell ref="AS89:AT91"/>
    <mergeCell ref="AU89:AU91"/>
    <mergeCell ref="AS92:AT94"/>
    <mergeCell ref="AP88:AQ88"/>
    <mergeCell ref="BN92:BO92"/>
    <mergeCell ref="BX92:BY92"/>
    <mergeCell ref="CP87:CP88"/>
    <mergeCell ref="CH88:CI89"/>
    <mergeCell ref="CC99:CD101"/>
    <mergeCell ref="CE99:CE101"/>
    <mergeCell ref="CH99:CK99"/>
    <mergeCell ref="CO99:CP101"/>
    <mergeCell ref="BE85:BE88"/>
    <mergeCell ref="BF85:BF86"/>
    <mergeCell ref="BG85:BG86"/>
    <mergeCell ref="BF87:BF88"/>
    <mergeCell ref="BG87:BG88"/>
    <mergeCell ref="AP92:AQ92"/>
    <mergeCell ref="AT85:AT86"/>
    <mergeCell ref="AU85:AU86"/>
    <mergeCell ref="AT87:AT88"/>
    <mergeCell ref="AZ88:BA88"/>
    <mergeCell ref="BB88:BC88"/>
    <mergeCell ref="BB96:BC96"/>
    <mergeCell ref="BN87:BO87"/>
    <mergeCell ref="BL95:BM95"/>
    <mergeCell ref="AP101:AQ101"/>
    <mergeCell ref="BN97:BO97"/>
    <mergeCell ref="AZ91:BA91"/>
    <mergeCell ref="AP96:AQ96"/>
    <mergeCell ref="AU92:AU94"/>
    <mergeCell ref="AW85:AW99"/>
    <mergeCell ref="AX85:AY87"/>
    <mergeCell ref="BE89:BF91"/>
    <mergeCell ref="BG89:BG91"/>
    <mergeCell ref="AX90:AY93"/>
    <mergeCell ref="AZ85:BA85"/>
    <mergeCell ref="BB85:BC85"/>
    <mergeCell ref="AZ86:BA86"/>
    <mergeCell ref="EY92:EY94"/>
    <mergeCell ref="ET98:EU98"/>
    <mergeCell ref="CQ85:CQ86"/>
    <mergeCell ref="ER93:ES93"/>
    <mergeCell ref="ET93:EU93"/>
    <mergeCell ref="DT87:DU87"/>
    <mergeCell ref="DV87:DW87"/>
    <mergeCell ref="CX99:CY99"/>
    <mergeCell ref="DA99:DB101"/>
    <mergeCell ref="DC99:DC101"/>
    <mergeCell ref="DJ99:DK99"/>
    <mergeCell ref="DJ100:DK100"/>
    <mergeCell ref="DJ101:DK101"/>
    <mergeCell ref="ET92:EU92"/>
    <mergeCell ref="ET90:EU90"/>
    <mergeCell ref="EH91:EI91"/>
    <mergeCell ref="ER91:ES91"/>
    <mergeCell ref="ET91:EU91"/>
    <mergeCell ref="DA85:DA88"/>
    <mergeCell ref="DB85:DB86"/>
    <mergeCell ref="DC85:DC86"/>
    <mergeCell ref="CT85:CU87"/>
    <mergeCell ref="CV85:CW85"/>
    <mergeCell ref="EK89:EL91"/>
    <mergeCell ref="ED88:EE89"/>
    <mergeCell ref="EF89:EG89"/>
    <mergeCell ref="CX85:CY85"/>
    <mergeCell ref="CV86:CW86"/>
    <mergeCell ref="CX86:CY86"/>
    <mergeCell ref="EM85:EM86"/>
    <mergeCell ref="EL85:EL86"/>
    <mergeCell ref="ET101:EU101"/>
    <mergeCell ref="ED97:EE98"/>
    <mergeCell ref="CX98:CY98"/>
    <mergeCell ref="DH98:DI98"/>
    <mergeCell ref="ET97:EU97"/>
    <mergeCell ref="ET94:EU94"/>
    <mergeCell ref="DV85:DW85"/>
    <mergeCell ref="DZ87:DZ88"/>
    <mergeCell ref="DV92:DW92"/>
    <mergeCell ref="DV93:DW93"/>
    <mergeCell ref="ER94:ES94"/>
    <mergeCell ref="CX92:CY92"/>
    <mergeCell ref="CX94:CY94"/>
    <mergeCell ref="DF94:DG96"/>
    <mergeCell ref="DH94:DI94"/>
    <mergeCell ref="CX95:CY95"/>
    <mergeCell ref="DM95:DN97"/>
    <mergeCell ref="DO95:DO97"/>
    <mergeCell ref="DT95:DU95"/>
    <mergeCell ref="DJ97:DK97"/>
    <mergeCell ref="DR97:DS98"/>
    <mergeCell ref="DT97:DU97"/>
    <mergeCell ref="DJ98:DK98"/>
    <mergeCell ref="ER87:ES87"/>
    <mergeCell ref="DV96:DW96"/>
    <mergeCell ref="EA87:EA88"/>
    <mergeCell ref="DT100:DU100"/>
    <mergeCell ref="EA95:EA97"/>
    <mergeCell ref="DZ85:DZ86"/>
    <mergeCell ref="CV93:CW93"/>
    <mergeCell ref="CV94:CW94"/>
    <mergeCell ref="CT90:CU93"/>
    <mergeCell ref="CV95:CW95"/>
    <mergeCell ref="EW102:EX104"/>
    <mergeCell ref="EW99:EX101"/>
    <mergeCell ref="EW95:EX97"/>
    <mergeCell ref="EW92:EX94"/>
    <mergeCell ref="EW85:EW88"/>
    <mergeCell ref="DJ91:DK91"/>
    <mergeCell ref="CS104:CS105"/>
    <mergeCell ref="CO85:CO88"/>
    <mergeCell ref="DY85:DY88"/>
    <mergeCell ref="DT86:DU86"/>
    <mergeCell ref="DV86:DW86"/>
    <mergeCell ref="D88:E88"/>
    <mergeCell ref="F88:G88"/>
    <mergeCell ref="N88:O89"/>
    <mergeCell ref="P88:Q88"/>
    <mergeCell ref="R88:S88"/>
    <mergeCell ref="AB88:AC88"/>
    <mergeCell ref="BN88:BO88"/>
    <mergeCell ref="BB89:BC89"/>
    <mergeCell ref="BL89:BM89"/>
    <mergeCell ref="BN89:BO89"/>
    <mergeCell ref="BB90:BC90"/>
    <mergeCell ref="BB91:BC91"/>
    <mergeCell ref="DH92:DI92"/>
    <mergeCell ref="BZ88:CA88"/>
    <mergeCell ref="CJ88:CK88"/>
    <mergeCell ref="CL88:CM88"/>
    <mergeCell ref="CJ89:CK89"/>
    <mergeCell ref="CT88:CU89"/>
    <mergeCell ref="CV88:CW88"/>
    <mergeCell ref="CX88:CY88"/>
    <mergeCell ref="CL85:CM85"/>
    <mergeCell ref="CL86:CM86"/>
    <mergeCell ref="CL87:CM87"/>
    <mergeCell ref="EH88:EI88"/>
    <mergeCell ref="EH89:EI89"/>
    <mergeCell ref="DJ88:DK88"/>
    <mergeCell ref="DJ89:DK89"/>
    <mergeCell ref="DT89:DU89"/>
    <mergeCell ref="DV89:DW89"/>
    <mergeCell ref="DY89:DZ91"/>
    <mergeCell ref="R91:S91"/>
    <mergeCell ref="D89:E89"/>
    <mergeCell ref="F89:G89"/>
    <mergeCell ref="I89:J91"/>
    <mergeCell ref="K89:K91"/>
    <mergeCell ref="DV88:DW88"/>
    <mergeCell ref="DA89:DB91"/>
    <mergeCell ref="DC89:DC91"/>
    <mergeCell ref="DH89:DI89"/>
    <mergeCell ref="DC87:DC88"/>
    <mergeCell ref="DA92:DB94"/>
    <mergeCell ref="DC92:DC94"/>
    <mergeCell ref="BL88:BM88"/>
    <mergeCell ref="BL94:BM94"/>
    <mergeCell ref="BN94:BO94"/>
    <mergeCell ref="AB89:AC89"/>
    <mergeCell ref="AD89:AE89"/>
    <mergeCell ref="AD91:AE91"/>
    <mergeCell ref="AP89:AQ89"/>
    <mergeCell ref="AZ89:BA89"/>
    <mergeCell ref="AP90:AQ90"/>
    <mergeCell ref="AZ90:BA90"/>
    <mergeCell ref="AP91:AQ91"/>
    <mergeCell ref="A85:A99"/>
    <mergeCell ref="B85:C87"/>
    <mergeCell ref="D85:E85"/>
    <mergeCell ref="F85:G85"/>
    <mergeCell ref="D87:E87"/>
    <mergeCell ref="F87:G87"/>
    <mergeCell ref="D91:E91"/>
    <mergeCell ref="F91:G91"/>
    <mergeCell ref="D92:E92"/>
    <mergeCell ref="F92:G92"/>
    <mergeCell ref="I85:I88"/>
    <mergeCell ref="J85:J86"/>
    <mergeCell ref="K85:K86"/>
    <mergeCell ref="M85:M99"/>
    <mergeCell ref="J87:J88"/>
    <mergeCell ref="K87:K88"/>
    <mergeCell ref="I92:J94"/>
    <mergeCell ref="K92:K94"/>
    <mergeCell ref="N85:O87"/>
    <mergeCell ref="P85:Q85"/>
    <mergeCell ref="R85:S85"/>
    <mergeCell ref="U85:U88"/>
    <mergeCell ref="P87:Q87"/>
    <mergeCell ref="R87:S87"/>
    <mergeCell ref="V85:V86"/>
    <mergeCell ref="W85:W86"/>
    <mergeCell ref="V87:V88"/>
    <mergeCell ref="W87:W88"/>
    <mergeCell ref="W95:W97"/>
    <mergeCell ref="AB85:AC85"/>
    <mergeCell ref="B88:C89"/>
    <mergeCell ref="P92:Q92"/>
    <mergeCell ref="R92:S92"/>
    <mergeCell ref="U92:V94"/>
    <mergeCell ref="W92:W94"/>
    <mergeCell ref="B94:C96"/>
    <mergeCell ref="R99:S99"/>
    <mergeCell ref="U99:V101"/>
    <mergeCell ref="B99:E99"/>
    <mergeCell ref="F99:G99"/>
    <mergeCell ref="I99:J101"/>
    <mergeCell ref="K99:K101"/>
    <mergeCell ref="N99:Q99"/>
    <mergeCell ref="P89:Q89"/>
    <mergeCell ref="R89:S89"/>
    <mergeCell ref="U89:V91"/>
    <mergeCell ref="W89:W91"/>
    <mergeCell ref="P91:Q91"/>
    <mergeCell ref="K95:K97"/>
    <mergeCell ref="P95:Q95"/>
    <mergeCell ref="R95:S95"/>
    <mergeCell ref="U95:V97"/>
    <mergeCell ref="Z97:AA98"/>
    <mergeCell ref="B90:C93"/>
    <mergeCell ref="D86:E86"/>
    <mergeCell ref="F86:G86"/>
    <mergeCell ref="P86:Q86"/>
    <mergeCell ref="R94:S94"/>
    <mergeCell ref="M100:O103"/>
    <mergeCell ref="D90:E90"/>
    <mergeCell ref="F90:G90"/>
    <mergeCell ref="N90:O93"/>
    <mergeCell ref="P90:Q90"/>
    <mergeCell ref="R90:S90"/>
    <mergeCell ref="EH82:EI82"/>
    <mergeCell ref="AT81:AT82"/>
    <mergeCell ref="AU81:AU82"/>
    <mergeCell ref="AT83:AT84"/>
    <mergeCell ref="AU83:AU84"/>
    <mergeCell ref="DZ83:DZ84"/>
    <mergeCell ref="EA83:EA84"/>
    <mergeCell ref="DZ81:DZ82"/>
    <mergeCell ref="BB81:BC81"/>
    <mergeCell ref="AN84:AO84"/>
    <mergeCell ref="AN83:AO83"/>
    <mergeCell ref="AD83:AE83"/>
    <mergeCell ref="DB83:DB84"/>
    <mergeCell ref="DE81:DI81"/>
    <mergeCell ref="AP82:AQ82"/>
    <mergeCell ref="AP83:AQ83"/>
    <mergeCell ref="AK82:AM84"/>
    <mergeCell ref="BX82:BY82"/>
    <mergeCell ref="CD83:CD84"/>
    <mergeCell ref="CE83:CE84"/>
    <mergeCell ref="BB82:BC82"/>
    <mergeCell ref="BB83:BC83"/>
    <mergeCell ref="BI81:BM81"/>
    <mergeCell ref="BN81:BO81"/>
    <mergeCell ref="BQ81:BQ84"/>
    <mergeCell ref="BR81:BR82"/>
    <mergeCell ref="BI82:BK84"/>
    <mergeCell ref="BL82:BM82"/>
    <mergeCell ref="EK81:EK84"/>
    <mergeCell ref="EL81:EL82"/>
    <mergeCell ref="EM81:EM82"/>
    <mergeCell ref="EO81:ES81"/>
    <mergeCell ref="CP81:CP82"/>
    <mergeCell ref="CQ81:CQ82"/>
    <mergeCell ref="CG82:CI84"/>
    <mergeCell ref="CJ82:CK82"/>
    <mergeCell ref="CP83:CP84"/>
    <mergeCell ref="CQ83:CQ84"/>
    <mergeCell ref="AG81:AG84"/>
    <mergeCell ref="R86:S86"/>
    <mergeCell ref="EO82:EQ84"/>
    <mergeCell ref="ER82:ES82"/>
    <mergeCell ref="F83:G83"/>
    <mergeCell ref="J83:J84"/>
    <mergeCell ref="K83:K84"/>
    <mergeCell ref="AK85:AK99"/>
    <mergeCell ref="AL85:AM87"/>
    <mergeCell ref="DV81:DW81"/>
    <mergeCell ref="DY81:DY84"/>
    <mergeCell ref="DQ82:DS84"/>
    <mergeCell ref="DT82:DU82"/>
    <mergeCell ref="DV82:DW82"/>
    <mergeCell ref="DO83:DO84"/>
    <mergeCell ref="DT83:DU83"/>
    <mergeCell ref="DV83:DW83"/>
    <mergeCell ref="Y81:AC81"/>
    <mergeCell ref="AD81:AE81"/>
    <mergeCell ref="M82:O84"/>
    <mergeCell ref="EW76:EX78"/>
    <mergeCell ref="R84:S84"/>
    <mergeCell ref="AB84:AC84"/>
    <mergeCell ref="EX81:EX82"/>
    <mergeCell ref="CJ84:CK84"/>
    <mergeCell ref="CL84:CM84"/>
    <mergeCell ref="CV84:CW84"/>
    <mergeCell ref="CX84:CY84"/>
    <mergeCell ref="BL84:BM84"/>
    <mergeCell ref="BN84:BO84"/>
    <mergeCell ref="BX84:BY84"/>
    <mergeCell ref="BZ84:CA84"/>
    <mergeCell ref="EV80:EW80"/>
    <mergeCell ref="DT77:DU77"/>
    <mergeCell ref="DM76:DN78"/>
    <mergeCell ref="DO76:DO78"/>
    <mergeCell ref="DT76:DU76"/>
    <mergeCell ref="BL77:BM77"/>
    <mergeCell ref="EO78:EO79"/>
    <mergeCell ref="DE78:DE79"/>
    <mergeCell ref="DQ78:DQ79"/>
    <mergeCell ref="EC78:EC79"/>
    <mergeCell ref="EA76:EA78"/>
    <mergeCell ref="DH77:DI77"/>
    <mergeCell ref="DJ77:DK77"/>
    <mergeCell ref="DV77:DW77"/>
    <mergeCell ref="DV76:DW76"/>
    <mergeCell ref="EF76:EG76"/>
    <mergeCell ref="EE80:EG80"/>
    <mergeCell ref="BF83:BF84"/>
    <mergeCell ref="BG83:BG84"/>
    <mergeCell ref="BE81:BE84"/>
    <mergeCell ref="BL83:BM83"/>
    <mergeCell ref="AA80:AC80"/>
    <mergeCell ref="AF80:AG80"/>
    <mergeCell ref="AH81:AH82"/>
    <mergeCell ref="BD80:BE80"/>
    <mergeCell ref="AW81:BA81"/>
    <mergeCell ref="R82:S82"/>
    <mergeCell ref="AB83:AC83"/>
    <mergeCell ref="M81:Q81"/>
    <mergeCell ref="CN80:CO80"/>
    <mergeCell ref="CG81:CK81"/>
    <mergeCell ref="CL81:CM81"/>
    <mergeCell ref="CO81:CO84"/>
    <mergeCell ref="EW73:EX75"/>
    <mergeCell ref="EJ80:EK80"/>
    <mergeCell ref="CU80:CW80"/>
    <mergeCell ref="BN82:BO82"/>
    <mergeCell ref="EH81:EI81"/>
    <mergeCell ref="EC81:EG81"/>
    <mergeCell ref="EQ80:ES80"/>
    <mergeCell ref="EM76:EM78"/>
    <mergeCell ref="ER75:ES75"/>
    <mergeCell ref="EH75:EI75"/>
    <mergeCell ref="EF75:EG75"/>
    <mergeCell ref="ER74:ES74"/>
    <mergeCell ref="EO74:EQ77"/>
    <mergeCell ref="A81:E81"/>
    <mergeCell ref="F81:G81"/>
    <mergeCell ref="I81:I84"/>
    <mergeCell ref="J81:J82"/>
    <mergeCell ref="K81:K82"/>
    <mergeCell ref="ET75:EU75"/>
    <mergeCell ref="DH84:DI84"/>
    <mergeCell ref="DJ84:DK84"/>
    <mergeCell ref="DT84:DU84"/>
    <mergeCell ref="DV84:DW84"/>
    <mergeCell ref="DQ81:DU81"/>
    <mergeCell ref="C80:E80"/>
    <mergeCell ref="BN83:BO83"/>
    <mergeCell ref="BR83:BR84"/>
    <mergeCell ref="BS81:BS82"/>
    <mergeCell ref="D83:E83"/>
    <mergeCell ref="BW80:BY80"/>
    <mergeCell ref="CB80:CC80"/>
    <mergeCell ref="BU81:BY81"/>
    <mergeCell ref="BZ81:CA81"/>
    <mergeCell ref="CC81:CC84"/>
    <mergeCell ref="CD81:CD82"/>
    <mergeCell ref="CE81:CE82"/>
    <mergeCell ref="BU82:BW84"/>
    <mergeCell ref="H80:I80"/>
    <mergeCell ref="O80:Q80"/>
    <mergeCell ref="T80:U80"/>
    <mergeCell ref="AM80:AO80"/>
    <mergeCell ref="AR80:AS80"/>
    <mergeCell ref="D84:E84"/>
    <mergeCell ref="F84:G84"/>
    <mergeCell ref="P82:Q82"/>
    <mergeCell ref="P83:Q83"/>
    <mergeCell ref="P84:Q84"/>
    <mergeCell ref="BN76:BO76"/>
    <mergeCell ref="AZ83:BA83"/>
    <mergeCell ref="AP84:AQ84"/>
    <mergeCell ref="AZ84:BA84"/>
    <mergeCell ref="CL83:CM83"/>
    <mergeCell ref="DC83:DC84"/>
    <mergeCell ref="AN82:AO82"/>
    <mergeCell ref="BF81:BF82"/>
    <mergeCell ref="BG81:BG82"/>
    <mergeCell ref="AW82:AY84"/>
    <mergeCell ref="AZ82:BA82"/>
    <mergeCell ref="ET84:EU84"/>
    <mergeCell ref="ER84:ES84"/>
    <mergeCell ref="EH84:EI84"/>
    <mergeCell ref="EF84:EG84"/>
    <mergeCell ref="EM83:EM84"/>
    <mergeCell ref="EL83:EL84"/>
    <mergeCell ref="A82:C84"/>
    <mergeCell ref="D82:E82"/>
    <mergeCell ref="F82:G82"/>
    <mergeCell ref="A78:A79"/>
    <mergeCell ref="M78:M79"/>
    <mergeCell ref="AN76:AO76"/>
    <mergeCell ref="CV82:CW82"/>
    <mergeCell ref="AB77:AC77"/>
    <mergeCell ref="EA73:EA75"/>
    <mergeCell ref="DV63:DW63"/>
    <mergeCell ref="EA59:EA60"/>
    <mergeCell ref="EA63:EA65"/>
    <mergeCell ref="DT72:DU72"/>
    <mergeCell ref="DY69:DZ71"/>
    <mergeCell ref="DY66:DZ68"/>
    <mergeCell ref="DT63:DU63"/>
    <mergeCell ref="DV59:DW59"/>
    <mergeCell ref="CD61:CD62"/>
    <mergeCell ref="BV62:BW63"/>
    <mergeCell ref="BX64:BY64"/>
    <mergeCell ref="BV71:BW72"/>
    <mergeCell ref="BX77:BY77"/>
    <mergeCell ref="BL62:BM62"/>
    <mergeCell ref="BU74:BW77"/>
    <mergeCell ref="BX74:BY74"/>
    <mergeCell ref="CC76:CD78"/>
    <mergeCell ref="CE76:CE78"/>
    <mergeCell ref="BU78:BU79"/>
    <mergeCell ref="BZ77:CA77"/>
    <mergeCell ref="CX83:CY83"/>
    <mergeCell ref="CX81:CY81"/>
    <mergeCell ref="DA81:DA84"/>
    <mergeCell ref="DB81:DB82"/>
    <mergeCell ref="DC81:DC82"/>
    <mergeCell ref="CX82:CY82"/>
    <mergeCell ref="R81:S81"/>
    <mergeCell ref="U81:U84"/>
    <mergeCell ref="BB84:BC84"/>
    <mergeCell ref="DH75:DI75"/>
    <mergeCell ref="DH76:DI76"/>
    <mergeCell ref="DS80:DU80"/>
    <mergeCell ref="DM59:DM62"/>
    <mergeCell ref="DH60:DI60"/>
    <mergeCell ref="DJ60:DK60"/>
    <mergeCell ref="DH61:DI61"/>
    <mergeCell ref="DJ61:DK61"/>
    <mergeCell ref="DF62:DG63"/>
    <mergeCell ref="DH62:DI62"/>
    <mergeCell ref="DM63:DN65"/>
    <mergeCell ref="DB59:DB60"/>
    <mergeCell ref="DC59:DC60"/>
    <mergeCell ref="CT59:CU61"/>
    <mergeCell ref="CV59:CW59"/>
    <mergeCell ref="DA66:DB68"/>
    <mergeCell ref="BL65:BM65"/>
    <mergeCell ref="CG74:CI77"/>
    <mergeCell ref="CJ74:CK74"/>
    <mergeCell ref="D75:E75"/>
    <mergeCell ref="F75:G75"/>
    <mergeCell ref="P75:Q75"/>
    <mergeCell ref="R75:S75"/>
    <mergeCell ref="AD75:AE75"/>
    <mergeCell ref="AP75:AQ75"/>
    <mergeCell ref="DX80:DY80"/>
    <mergeCell ref="BK80:BM80"/>
    <mergeCell ref="BP80:BQ80"/>
    <mergeCell ref="CI80:CK80"/>
    <mergeCell ref="DG80:DI80"/>
    <mergeCell ref="DL80:DM80"/>
    <mergeCell ref="CV83:CW83"/>
    <mergeCell ref="CS81:CW81"/>
    <mergeCell ref="CS82:CU84"/>
    <mergeCell ref="R76:S76"/>
    <mergeCell ref="BZ82:CA82"/>
    <mergeCell ref="BS83:BS84"/>
    <mergeCell ref="BX83:BY83"/>
    <mergeCell ref="BZ83:CA83"/>
    <mergeCell ref="CL82:CM82"/>
    <mergeCell ref="CJ83:CK83"/>
    <mergeCell ref="EA81:EA82"/>
    <mergeCell ref="DJ81:DK81"/>
    <mergeCell ref="DM81:DM84"/>
    <mergeCell ref="DN81:DN82"/>
    <mergeCell ref="DE82:DG84"/>
    <mergeCell ref="DH82:DI82"/>
    <mergeCell ref="DJ82:DK82"/>
    <mergeCell ref="DH83:DI83"/>
    <mergeCell ref="DJ83:DK83"/>
    <mergeCell ref="DN83:DN84"/>
    <mergeCell ref="DO81:DO82"/>
    <mergeCell ref="BX76:BY76"/>
    <mergeCell ref="BV73:BY73"/>
    <mergeCell ref="ER60:ES60"/>
    <mergeCell ref="DH63:DI63"/>
    <mergeCell ref="DC63:DC65"/>
    <mergeCell ref="DR62:DS63"/>
    <mergeCell ref="DO63:DO65"/>
    <mergeCell ref="DR68:DS70"/>
    <mergeCell ref="DV66:DW66"/>
    <mergeCell ref="DV67:DW67"/>
    <mergeCell ref="DT65:DU65"/>
    <mergeCell ref="CV74:CW74"/>
    <mergeCell ref="CX76:CY76"/>
    <mergeCell ref="CJ75:CK75"/>
    <mergeCell ref="CX74:CY74"/>
    <mergeCell ref="CH62:CI63"/>
    <mergeCell ref="CO63:CP65"/>
    <mergeCell ref="CQ63:CQ65"/>
    <mergeCell ref="CH64:CI67"/>
    <mergeCell ref="CO66:CP68"/>
    <mergeCell ref="CV77:CW77"/>
    <mergeCell ref="DT60:DU60"/>
    <mergeCell ref="DV60:DW60"/>
    <mergeCell ref="DT61:DU61"/>
    <mergeCell ref="DV61:DW61"/>
    <mergeCell ref="CV65:CW65"/>
    <mergeCell ref="CX65:CY65"/>
    <mergeCell ref="CL63:CM63"/>
    <mergeCell ref="DH69:DI69"/>
    <mergeCell ref="CV69:CW69"/>
    <mergeCell ref="CX69:CY69"/>
    <mergeCell ref="CJ63:CK63"/>
    <mergeCell ref="CL71:CM71"/>
    <mergeCell ref="DZ61:DZ62"/>
    <mergeCell ref="CZ80:DA80"/>
    <mergeCell ref="V81:V82"/>
    <mergeCell ref="W81:W82"/>
    <mergeCell ref="EO59:EO73"/>
    <mergeCell ref="EM59:EM60"/>
    <mergeCell ref="EL59:EL60"/>
    <mergeCell ref="EF60:EG60"/>
    <mergeCell ref="EH64:EI64"/>
    <mergeCell ref="DV73:DW73"/>
    <mergeCell ref="DV74:DW74"/>
    <mergeCell ref="DV75:DW75"/>
    <mergeCell ref="DH66:DI66"/>
    <mergeCell ref="DJ66:DK66"/>
    <mergeCell ref="DM66:DN68"/>
    <mergeCell ref="DJ68:DK68"/>
    <mergeCell ref="DT66:DU66"/>
    <mergeCell ref="DO66:DO68"/>
    <mergeCell ref="DH65:DI65"/>
    <mergeCell ref="DM69:DN71"/>
    <mergeCell ref="DO69:DO71"/>
    <mergeCell ref="DC73:DC75"/>
    <mergeCell ref="DJ73:DK73"/>
    <mergeCell ref="DJ74:DK74"/>
    <mergeCell ref="DV62:DW62"/>
    <mergeCell ref="CQ61:CQ62"/>
    <mergeCell ref="DC66:DC68"/>
    <mergeCell ref="CV61:CW61"/>
    <mergeCell ref="CX61:CY61"/>
    <mergeCell ref="CT71:CU72"/>
    <mergeCell ref="CL72:CM72"/>
    <mergeCell ref="CL70:CM70"/>
    <mergeCell ref="DV68:DW68"/>
    <mergeCell ref="DV69:DW69"/>
    <mergeCell ref="EH72:EI72"/>
    <mergeCell ref="DF59:DG61"/>
    <mergeCell ref="EK63:EL65"/>
    <mergeCell ref="EA66:EA68"/>
    <mergeCell ref="DT67:DU67"/>
    <mergeCell ref="DR64:DS67"/>
    <mergeCell ref="DT64:DU64"/>
    <mergeCell ref="DF64:DG67"/>
    <mergeCell ref="DH72:DI72"/>
    <mergeCell ref="EH67:EI67"/>
    <mergeCell ref="EH68:EI68"/>
    <mergeCell ref="EF64:EG64"/>
    <mergeCell ref="EF65:EG65"/>
    <mergeCell ref="DN59:DN60"/>
    <mergeCell ref="DO59:DO60"/>
    <mergeCell ref="DQ59:DQ73"/>
    <mergeCell ref="DR59:DS61"/>
    <mergeCell ref="DH70:DI70"/>
    <mergeCell ref="DJ70:DK70"/>
    <mergeCell ref="DT68:DU68"/>
    <mergeCell ref="DV65:DW65"/>
    <mergeCell ref="DY63:DZ65"/>
    <mergeCell ref="DV64:DW64"/>
    <mergeCell ref="DZ59:DZ60"/>
    <mergeCell ref="DY59:DY62"/>
    <mergeCell ref="DV71:DW71"/>
    <mergeCell ref="DV72:DW72"/>
    <mergeCell ref="DT69:DU69"/>
    <mergeCell ref="DO73:DO75"/>
    <mergeCell ref="DR73:DU73"/>
    <mergeCell ref="DQ74:DS77"/>
    <mergeCell ref="DT75:DU75"/>
    <mergeCell ref="CO76:CP78"/>
    <mergeCell ref="CQ76:CQ78"/>
    <mergeCell ref="DY73:DZ75"/>
    <mergeCell ref="BQ73:BR75"/>
    <mergeCell ref="BS73:BS75"/>
    <mergeCell ref="DY76:DZ78"/>
    <mergeCell ref="CT64:CU67"/>
    <mergeCell ref="CV64:CW64"/>
    <mergeCell ref="CX64:CY64"/>
    <mergeCell ref="DH64:DI64"/>
    <mergeCell ref="DJ64:DK64"/>
    <mergeCell ref="CX73:CY73"/>
    <mergeCell ref="DA73:DB75"/>
    <mergeCell ref="CJ69:CK69"/>
    <mergeCell ref="CQ66:CQ68"/>
    <mergeCell ref="CH68:CI70"/>
    <mergeCell ref="DH68:DI68"/>
    <mergeCell ref="DJ62:DK62"/>
    <mergeCell ref="DH59:DI59"/>
    <mergeCell ref="DJ59:DK59"/>
    <mergeCell ref="DJ72:DK72"/>
    <mergeCell ref="DC76:DC78"/>
    <mergeCell ref="DF71:DG72"/>
    <mergeCell ref="DH71:DI71"/>
    <mergeCell ref="DR71:DS72"/>
    <mergeCell ref="DT71:DU71"/>
    <mergeCell ref="DC61:DC62"/>
    <mergeCell ref="CS74:CU77"/>
    <mergeCell ref="CE59:CE60"/>
    <mergeCell ref="CE61:CE62"/>
    <mergeCell ref="CE69:CE71"/>
    <mergeCell ref="CE73:CE75"/>
    <mergeCell ref="CX62:CY62"/>
    <mergeCell ref="CL59:CM59"/>
    <mergeCell ref="DJ63:DK63"/>
    <mergeCell ref="DJ71:DK71"/>
    <mergeCell ref="CJ62:CK62"/>
    <mergeCell ref="CL62:CM62"/>
    <mergeCell ref="DJ67:DK67"/>
    <mergeCell ref="CJ60:CK60"/>
    <mergeCell ref="CJ61:CK61"/>
    <mergeCell ref="DT59:DU59"/>
    <mergeCell ref="DT70:DU70"/>
    <mergeCell ref="DJ75:DK75"/>
    <mergeCell ref="DJ76:DK76"/>
    <mergeCell ref="CV75:CW75"/>
    <mergeCell ref="CP59:CP60"/>
    <mergeCell ref="CQ59:CQ60"/>
    <mergeCell ref="CX77:CY77"/>
    <mergeCell ref="CH59:CI61"/>
    <mergeCell ref="CO59:CO62"/>
    <mergeCell ref="CV68:CW68"/>
    <mergeCell ref="CX68:CY68"/>
    <mergeCell ref="CD59:CD60"/>
    <mergeCell ref="BZ66:CA66"/>
    <mergeCell ref="DB61:DB62"/>
    <mergeCell ref="DT62:DU62"/>
    <mergeCell ref="DA69:DB71"/>
    <mergeCell ref="DC69:DC71"/>
    <mergeCell ref="CX59:CY59"/>
    <mergeCell ref="CV60:CW60"/>
    <mergeCell ref="DM73:DN75"/>
    <mergeCell ref="CC59:CC62"/>
    <mergeCell ref="CH73:CK73"/>
    <mergeCell ref="CO73:CP75"/>
    <mergeCell ref="CJ71:CK71"/>
    <mergeCell ref="CJ72:CK72"/>
    <mergeCell ref="BS69:BS71"/>
    <mergeCell ref="BV64:BW67"/>
    <mergeCell ref="BV68:BW70"/>
    <mergeCell ref="CL74:CM74"/>
    <mergeCell ref="CX67:CY67"/>
    <mergeCell ref="DH67:DI67"/>
    <mergeCell ref="CV66:CW66"/>
    <mergeCell ref="DJ65:DK65"/>
    <mergeCell ref="DJ69:DK69"/>
    <mergeCell ref="CO69:CP71"/>
    <mergeCell ref="CQ69:CQ71"/>
    <mergeCell ref="CH71:CI72"/>
    <mergeCell ref="DE59:DE73"/>
    <mergeCell ref="DF73:DI73"/>
    <mergeCell ref="DE74:DG77"/>
    <mergeCell ref="DA76:DB78"/>
    <mergeCell ref="CL60:CM60"/>
    <mergeCell ref="CL61:CM61"/>
    <mergeCell ref="BU59:BU73"/>
    <mergeCell ref="BV59:BW61"/>
    <mergeCell ref="DA59:DA62"/>
    <mergeCell ref="CS78:CS79"/>
    <mergeCell ref="CV76:CW76"/>
    <mergeCell ref="CX72:CY72"/>
    <mergeCell ref="CX70:CY70"/>
    <mergeCell ref="DN61:DN62"/>
    <mergeCell ref="CV70:CW70"/>
    <mergeCell ref="CJ70:CK70"/>
    <mergeCell ref="CL64:CM64"/>
    <mergeCell ref="BX68:BY68"/>
    <mergeCell ref="CP61:CP62"/>
    <mergeCell ref="BX62:BY62"/>
    <mergeCell ref="CJ59:CK59"/>
    <mergeCell ref="BX75:BY75"/>
    <mergeCell ref="BZ72:CA72"/>
    <mergeCell ref="BQ66:BR68"/>
    <mergeCell ref="BX66:BY66"/>
    <mergeCell ref="BJ59:BK61"/>
    <mergeCell ref="BI78:BI79"/>
    <mergeCell ref="BS76:BS78"/>
    <mergeCell ref="CX75:CY75"/>
    <mergeCell ref="DH74:DI74"/>
    <mergeCell ref="BX70:BY70"/>
    <mergeCell ref="BZ70:CA70"/>
    <mergeCell ref="BN75:BO75"/>
    <mergeCell ref="CL73:CM73"/>
    <mergeCell ref="CT73:CW73"/>
    <mergeCell ref="CJ76:CK76"/>
    <mergeCell ref="DA63:DB65"/>
    <mergeCell ref="CV72:CW72"/>
    <mergeCell ref="CV71:CW71"/>
    <mergeCell ref="CX71:CY71"/>
    <mergeCell ref="BZ65:CA65"/>
    <mergeCell ref="CJ65:CK65"/>
    <mergeCell ref="CL65:CM65"/>
    <mergeCell ref="BZ76:CA76"/>
    <mergeCell ref="CE66:CE68"/>
    <mergeCell ref="BS66:BS68"/>
    <mergeCell ref="BZ73:CA73"/>
    <mergeCell ref="BZ74:CA74"/>
    <mergeCell ref="BZ75:CA75"/>
    <mergeCell ref="BN66:BO66"/>
    <mergeCell ref="BX71:BY71"/>
    <mergeCell ref="BZ71:CA71"/>
    <mergeCell ref="BN72:BO72"/>
    <mergeCell ref="BX72:BY72"/>
    <mergeCell ref="CG78:CG79"/>
    <mergeCell ref="CJ66:CK66"/>
    <mergeCell ref="CJ67:CK67"/>
    <mergeCell ref="CL67:CM67"/>
    <mergeCell ref="CL68:CM68"/>
    <mergeCell ref="CL76:CM76"/>
    <mergeCell ref="CJ77:CK77"/>
    <mergeCell ref="CL77:CM77"/>
    <mergeCell ref="BN74:BO74"/>
    <mergeCell ref="BQ76:BR78"/>
    <mergeCell ref="CX63:CY63"/>
    <mergeCell ref="DF68:DG70"/>
    <mergeCell ref="CT62:CU63"/>
    <mergeCell ref="CV62:CW62"/>
    <mergeCell ref="CJ64:CK64"/>
    <mergeCell ref="BX67:BY67"/>
    <mergeCell ref="BZ67:CA67"/>
    <mergeCell ref="BX69:BY69"/>
    <mergeCell ref="BR61:BR62"/>
    <mergeCell ref="BS61:BS62"/>
    <mergeCell ref="BN68:BO68"/>
    <mergeCell ref="BN63:BO63"/>
    <mergeCell ref="BL76:BM76"/>
    <mergeCell ref="BQ63:BR65"/>
    <mergeCell ref="BS63:BS65"/>
    <mergeCell ref="CV63:CW63"/>
    <mergeCell ref="BZ62:CA62"/>
    <mergeCell ref="CQ73:CQ75"/>
    <mergeCell ref="CT68:CU70"/>
    <mergeCell ref="CL69:CM69"/>
    <mergeCell ref="CS59:CS73"/>
    <mergeCell ref="CX66:CY66"/>
    <mergeCell ref="CV67:CW67"/>
    <mergeCell ref="D76:E76"/>
    <mergeCell ref="F76:G76"/>
    <mergeCell ref="I76:J78"/>
    <mergeCell ref="K76:K78"/>
    <mergeCell ref="P76:Q76"/>
    <mergeCell ref="AD73:AE73"/>
    <mergeCell ref="AZ74:BA74"/>
    <mergeCell ref="BL68:BM68"/>
    <mergeCell ref="D77:E77"/>
    <mergeCell ref="F77:G77"/>
    <mergeCell ref="P77:Q77"/>
    <mergeCell ref="AP64:AQ64"/>
    <mergeCell ref="BL66:BM66"/>
    <mergeCell ref="BL71:BM71"/>
    <mergeCell ref="BJ71:BK72"/>
    <mergeCell ref="BL75:BM75"/>
    <mergeCell ref="BB76:BC76"/>
    <mergeCell ref="BE59:BE62"/>
    <mergeCell ref="BF59:BF60"/>
    <mergeCell ref="BG59:BG60"/>
    <mergeCell ref="BF61:BF62"/>
    <mergeCell ref="BG61:BG62"/>
    <mergeCell ref="BE63:BF65"/>
    <mergeCell ref="BG73:BG75"/>
    <mergeCell ref="BB62:BC62"/>
    <mergeCell ref="AZ64:BA64"/>
    <mergeCell ref="BG66:BG68"/>
    <mergeCell ref="BB77:BC77"/>
    <mergeCell ref="AZ75:BA75"/>
    <mergeCell ref="CG59:CG73"/>
    <mergeCell ref="CE63:CE65"/>
    <mergeCell ref="CL66:CM66"/>
    <mergeCell ref="AN75:AO75"/>
    <mergeCell ref="BN77:BO77"/>
    <mergeCell ref="BB65:BC65"/>
    <mergeCell ref="AZ68:BA68"/>
    <mergeCell ref="BB68:BC68"/>
    <mergeCell ref="AW74:AY77"/>
    <mergeCell ref="BN73:BO73"/>
    <mergeCell ref="BN62:BO62"/>
    <mergeCell ref="BB73:BC73"/>
    <mergeCell ref="BJ73:BM73"/>
    <mergeCell ref="CJ68:CK68"/>
    <mergeCell ref="BZ68:CA68"/>
    <mergeCell ref="BB66:BC66"/>
    <mergeCell ref="BB69:BC69"/>
    <mergeCell ref="BL61:BM61"/>
    <mergeCell ref="CC63:CD65"/>
    <mergeCell ref="BG69:BG71"/>
    <mergeCell ref="CC66:CD68"/>
    <mergeCell ref="BE76:BF78"/>
    <mergeCell ref="BG76:BG78"/>
    <mergeCell ref="BJ68:BK70"/>
    <mergeCell ref="BQ59:BQ62"/>
    <mergeCell ref="BL60:BM60"/>
    <mergeCell ref="BN60:BO60"/>
    <mergeCell ref="CL75:CM75"/>
    <mergeCell ref="BN67:BO67"/>
    <mergeCell ref="BL69:BM69"/>
    <mergeCell ref="BN61:BO61"/>
    <mergeCell ref="BN69:BO69"/>
    <mergeCell ref="BL72:BM72"/>
    <mergeCell ref="BE73:BF75"/>
    <mergeCell ref="BE69:BF71"/>
    <mergeCell ref="B62:C63"/>
    <mergeCell ref="D64:E64"/>
    <mergeCell ref="BB67:BC67"/>
    <mergeCell ref="BB60:BC60"/>
    <mergeCell ref="BB61:BC61"/>
    <mergeCell ref="BN65:BO65"/>
    <mergeCell ref="BX65:BY65"/>
    <mergeCell ref="BN70:BO70"/>
    <mergeCell ref="BI59:BI73"/>
    <mergeCell ref="BG63:BG65"/>
    <mergeCell ref="AX64:AY67"/>
    <mergeCell ref="BE66:BF68"/>
    <mergeCell ref="BB63:BC63"/>
    <mergeCell ref="BB75:BC75"/>
    <mergeCell ref="BR59:BR60"/>
    <mergeCell ref="BS59:BS60"/>
    <mergeCell ref="BN71:BO71"/>
    <mergeCell ref="D74:E74"/>
    <mergeCell ref="AB60:AC60"/>
    <mergeCell ref="AB72:AC72"/>
    <mergeCell ref="F65:G65"/>
    <mergeCell ref="F74:G74"/>
    <mergeCell ref="B73:E73"/>
    <mergeCell ref="F73:G73"/>
    <mergeCell ref="AZ66:BA66"/>
    <mergeCell ref="AZ69:BA69"/>
    <mergeCell ref="W61:W62"/>
    <mergeCell ref="AU76:AU78"/>
    <mergeCell ref="BL63:BM63"/>
    <mergeCell ref="BJ64:BK67"/>
    <mergeCell ref="BL64:BM64"/>
    <mergeCell ref="BJ62:BK63"/>
    <mergeCell ref="AP61:AQ61"/>
    <mergeCell ref="AI66:AI68"/>
    <mergeCell ref="Z68:AA70"/>
    <mergeCell ref="AG69:AH71"/>
    <mergeCell ref="AD70:AE70"/>
    <mergeCell ref="AZ65:BA65"/>
    <mergeCell ref="AT59:AT60"/>
    <mergeCell ref="AI69:AI71"/>
    <mergeCell ref="Z71:AA72"/>
    <mergeCell ref="AL62:AM63"/>
    <mergeCell ref="AL64:AM67"/>
    <mergeCell ref="AL68:AM70"/>
    <mergeCell ref="R59:S59"/>
    <mergeCell ref="AB62:AC62"/>
    <mergeCell ref="D60:E60"/>
    <mergeCell ref="D65:E65"/>
    <mergeCell ref="D67:E67"/>
    <mergeCell ref="F61:G61"/>
    <mergeCell ref="Y59:Y73"/>
    <mergeCell ref="W73:W75"/>
    <mergeCell ref="F64:G64"/>
    <mergeCell ref="N62:O63"/>
    <mergeCell ref="P72:Q72"/>
    <mergeCell ref="BL67:BM67"/>
    <mergeCell ref="BB71:BC71"/>
    <mergeCell ref="AZ72:BA72"/>
    <mergeCell ref="AN70:AO70"/>
    <mergeCell ref="AW59:AW73"/>
    <mergeCell ref="AX59:AY61"/>
    <mergeCell ref="Z73:AC73"/>
    <mergeCell ref="AN72:AO72"/>
    <mergeCell ref="AX73:BA73"/>
    <mergeCell ref="EF56:EG56"/>
    <mergeCell ref="EH56:EI56"/>
    <mergeCell ref="EF57:EG57"/>
    <mergeCell ref="DN55:DN56"/>
    <mergeCell ref="J61:J62"/>
    <mergeCell ref="EA69:EA71"/>
    <mergeCell ref="DV70:DW70"/>
    <mergeCell ref="DO61:DO62"/>
    <mergeCell ref="R64:S64"/>
    <mergeCell ref="A74:C77"/>
    <mergeCell ref="U76:V78"/>
    <mergeCell ref="W76:W78"/>
    <mergeCell ref="A59:A73"/>
    <mergeCell ref="B59:C61"/>
    <mergeCell ref="R68:S68"/>
    <mergeCell ref="R77:S77"/>
    <mergeCell ref="R71:S71"/>
    <mergeCell ref="M74:O77"/>
    <mergeCell ref="P74:Q74"/>
    <mergeCell ref="AI61:AI62"/>
    <mergeCell ref="Z62:AA63"/>
    <mergeCell ref="AG63:AH65"/>
    <mergeCell ref="AI63:AI65"/>
    <mergeCell ref="Z64:AA67"/>
    <mergeCell ref="AG66:AH68"/>
    <mergeCell ref="D72:E72"/>
    <mergeCell ref="F72:G72"/>
    <mergeCell ref="I73:J75"/>
    <mergeCell ref="K73:K75"/>
    <mergeCell ref="AN77:AO77"/>
    <mergeCell ref="AP77:AQ77"/>
    <mergeCell ref="D62:E62"/>
    <mergeCell ref="R72:S72"/>
    <mergeCell ref="AZ76:BA76"/>
    <mergeCell ref="R74:S74"/>
    <mergeCell ref="AD76:AE76"/>
    <mergeCell ref="AZ61:BA61"/>
    <mergeCell ref="AZ70:BA70"/>
    <mergeCell ref="AD68:AE68"/>
    <mergeCell ref="R65:S65"/>
    <mergeCell ref="AD59:AE59"/>
    <mergeCell ref="B71:C72"/>
    <mergeCell ref="D59:E59"/>
    <mergeCell ref="F59:G59"/>
    <mergeCell ref="D61:E61"/>
    <mergeCell ref="P63:Q63"/>
    <mergeCell ref="R63:S63"/>
    <mergeCell ref="K61:K62"/>
    <mergeCell ref="I66:J68"/>
    <mergeCell ref="K66:K68"/>
    <mergeCell ref="AN74:AO74"/>
    <mergeCell ref="AS76:AT78"/>
    <mergeCell ref="AU73:AU75"/>
    <mergeCell ref="AN68:AO68"/>
    <mergeCell ref="AB70:AC70"/>
    <mergeCell ref="AK59:AK73"/>
    <mergeCell ref="AL59:AM61"/>
    <mergeCell ref="AS59:AS62"/>
    <mergeCell ref="N73:Q73"/>
    <mergeCell ref="AD63:AE63"/>
    <mergeCell ref="AB65:AC65"/>
    <mergeCell ref="D63:E63"/>
    <mergeCell ref="CX60:CY60"/>
    <mergeCell ref="DZ55:DZ56"/>
    <mergeCell ref="EQ54:ES54"/>
    <mergeCell ref="EV54:EW54"/>
    <mergeCell ref="AP56:AQ56"/>
    <mergeCell ref="AP57:AQ57"/>
    <mergeCell ref="BB56:BC56"/>
    <mergeCell ref="BB57:BC57"/>
    <mergeCell ref="BB58:BC58"/>
    <mergeCell ref="BI55:BM55"/>
    <mergeCell ref="BN55:BO55"/>
    <mergeCell ref="BQ55:BQ58"/>
    <mergeCell ref="BR55:BR56"/>
    <mergeCell ref="BI56:BK58"/>
    <mergeCell ref="BL56:BM56"/>
    <mergeCell ref="BN56:BO56"/>
    <mergeCell ref="BL57:BM57"/>
    <mergeCell ref="BN57:BO57"/>
    <mergeCell ref="BR57:BR58"/>
    <mergeCell ref="BS55:BS56"/>
    <mergeCell ref="EW55:EW58"/>
    <mergeCell ref="ER57:ES57"/>
    <mergeCell ref="EK55:EK58"/>
    <mergeCell ref="EL55:EL56"/>
    <mergeCell ref="EM55:EM56"/>
    <mergeCell ref="EO55:ES55"/>
    <mergeCell ref="EO56:EQ58"/>
    <mergeCell ref="ER56:ES56"/>
    <mergeCell ref="BF57:BF58"/>
    <mergeCell ref="BG57:BG58"/>
    <mergeCell ref="BU55:BY55"/>
    <mergeCell ref="BZ55:CA55"/>
    <mergeCell ref="CC55:CC58"/>
    <mergeCell ref="CD55:CD56"/>
    <mergeCell ref="CE55:CE56"/>
    <mergeCell ref="BU56:BW58"/>
    <mergeCell ref="EF58:EG58"/>
    <mergeCell ref="EH58:EI58"/>
    <mergeCell ref="EC55:EG55"/>
    <mergeCell ref="EH55:EI55"/>
    <mergeCell ref="EC56:EE58"/>
    <mergeCell ref="DL54:DM54"/>
    <mergeCell ref="CL58:CM58"/>
    <mergeCell ref="CV58:CW58"/>
    <mergeCell ref="CX58:CY58"/>
    <mergeCell ref="BL58:BM58"/>
    <mergeCell ref="CP57:CP58"/>
    <mergeCell ref="DV58:DW58"/>
    <mergeCell ref="DQ55:DU55"/>
    <mergeCell ref="DV55:DW55"/>
    <mergeCell ref="DQ56:DS58"/>
    <mergeCell ref="DT56:DU56"/>
    <mergeCell ref="DV56:DW56"/>
    <mergeCell ref="DO57:DO58"/>
    <mergeCell ref="DT57:DU57"/>
    <mergeCell ref="DV57:DW57"/>
    <mergeCell ref="BX58:BY58"/>
    <mergeCell ref="BZ58:CA58"/>
    <mergeCell ref="CZ54:DA54"/>
    <mergeCell ref="AT57:AT58"/>
    <mergeCell ref="AU57:AU58"/>
    <mergeCell ref="AT55:AT56"/>
    <mergeCell ref="AU55:AU56"/>
    <mergeCell ref="AW55:BA55"/>
    <mergeCell ref="BB55:BC55"/>
    <mergeCell ref="BE55:BE58"/>
    <mergeCell ref="A55:E55"/>
    <mergeCell ref="A56:C58"/>
    <mergeCell ref="D56:E56"/>
    <mergeCell ref="D58:E58"/>
    <mergeCell ref="CL55:CM55"/>
    <mergeCell ref="CO55:CO58"/>
    <mergeCell ref="CQ57:CQ58"/>
    <mergeCell ref="CL57:CM57"/>
    <mergeCell ref="CJ58:CK58"/>
    <mergeCell ref="D57:E57"/>
    <mergeCell ref="CD57:CD58"/>
    <mergeCell ref="CE57:CE58"/>
    <mergeCell ref="AZ56:BA56"/>
    <mergeCell ref="CS55:CW55"/>
    <mergeCell ref="DB57:DB58"/>
    <mergeCell ref="DT58:DU58"/>
    <mergeCell ref="K63:K65"/>
    <mergeCell ref="F62:G62"/>
    <mergeCell ref="U63:V65"/>
    <mergeCell ref="W63:W65"/>
    <mergeCell ref="U66:V68"/>
    <mergeCell ref="AN62:AO62"/>
    <mergeCell ref="AN63:AO63"/>
    <mergeCell ref="AN64:AO64"/>
    <mergeCell ref="AN66:AO66"/>
    <mergeCell ref="AP63:AQ63"/>
    <mergeCell ref="AP65:AQ65"/>
    <mergeCell ref="AN60:AO60"/>
    <mergeCell ref="AN67:AO67"/>
    <mergeCell ref="AP66:AQ66"/>
    <mergeCell ref="AD61:AE61"/>
    <mergeCell ref="AD62:AE62"/>
    <mergeCell ref="AD69:AE69"/>
    <mergeCell ref="AB63:AC63"/>
    <mergeCell ref="BX56:BY56"/>
    <mergeCell ref="AS55:AS58"/>
    <mergeCell ref="DC57:DC58"/>
    <mergeCell ref="DE55:DI55"/>
    <mergeCell ref="R56:S56"/>
    <mergeCell ref="AB57:AC57"/>
    <mergeCell ref="F55:G55"/>
    <mergeCell ref="I55:I58"/>
    <mergeCell ref="J55:J56"/>
    <mergeCell ref="K55:K56"/>
    <mergeCell ref="M55:Q55"/>
    <mergeCell ref="F56:G56"/>
    <mergeCell ref="DB55:DB56"/>
    <mergeCell ref="DC55:DC56"/>
    <mergeCell ref="DH57:DI57"/>
    <mergeCell ref="DJ57:DK57"/>
    <mergeCell ref="DN57:DN58"/>
    <mergeCell ref="DO55:DO56"/>
    <mergeCell ref="N59:O61"/>
    <mergeCell ref="B68:C70"/>
    <mergeCell ref="D68:E68"/>
    <mergeCell ref="BL59:BM59"/>
    <mergeCell ref="BX59:BY59"/>
    <mergeCell ref="BZ59:CA59"/>
    <mergeCell ref="BX60:BY60"/>
    <mergeCell ref="BZ60:CA60"/>
    <mergeCell ref="BX61:BY61"/>
    <mergeCell ref="BZ61:CA61"/>
    <mergeCell ref="B64:C67"/>
    <mergeCell ref="R55:S55"/>
    <mergeCell ref="DZ57:DZ58"/>
    <mergeCell ref="EA57:EA58"/>
    <mergeCell ref="DM55:DM58"/>
    <mergeCell ref="F69:G69"/>
    <mergeCell ref="I69:J71"/>
    <mergeCell ref="N64:O67"/>
    <mergeCell ref="EA55:EA56"/>
    <mergeCell ref="P64:Q64"/>
    <mergeCell ref="AK56:AM58"/>
    <mergeCell ref="AN56:AO56"/>
    <mergeCell ref="P59:Q59"/>
    <mergeCell ref="P66:Q66"/>
    <mergeCell ref="R66:S66"/>
    <mergeCell ref="F67:G67"/>
    <mergeCell ref="P67:Q67"/>
    <mergeCell ref="R67:S67"/>
    <mergeCell ref="K69:K71"/>
    <mergeCell ref="P62:Q62"/>
    <mergeCell ref="R62:S62"/>
    <mergeCell ref="DJ58:DK58"/>
    <mergeCell ref="CG56:CI58"/>
    <mergeCell ref="CJ56:CK56"/>
    <mergeCell ref="AZ58:BA58"/>
    <mergeCell ref="CG55:CK55"/>
    <mergeCell ref="R73:S73"/>
    <mergeCell ref="AX71:AY72"/>
    <mergeCell ref="U55:U58"/>
    <mergeCell ref="CJ57:CK57"/>
    <mergeCell ref="CP55:CP56"/>
    <mergeCell ref="CQ55:CQ56"/>
    <mergeCell ref="AZ57:BA57"/>
    <mergeCell ref="AP55:AQ55"/>
    <mergeCell ref="DA55:DA58"/>
    <mergeCell ref="CX56:CY56"/>
    <mergeCell ref="CX57:CY57"/>
    <mergeCell ref="BZ56:CA56"/>
    <mergeCell ref="BX57:BY57"/>
    <mergeCell ref="BB64:BC64"/>
    <mergeCell ref="BB70:BC70"/>
    <mergeCell ref="CC73:CD75"/>
    <mergeCell ref="BQ69:BR71"/>
    <mergeCell ref="BL70:BM70"/>
    <mergeCell ref="BN59:BO59"/>
    <mergeCell ref="AP73:AQ73"/>
    <mergeCell ref="BB59:BC59"/>
    <mergeCell ref="AZ60:BA60"/>
    <mergeCell ref="AL73:AO73"/>
    <mergeCell ref="AP59:AQ59"/>
    <mergeCell ref="AP71:AQ71"/>
    <mergeCell ref="AP69:AQ69"/>
    <mergeCell ref="AD60:AE60"/>
    <mergeCell ref="AH59:AH60"/>
    <mergeCell ref="AI59:AI60"/>
    <mergeCell ref="AX62:AY63"/>
    <mergeCell ref="BB74:BC74"/>
    <mergeCell ref="CC69:CD71"/>
    <mergeCell ref="BX63:BY63"/>
    <mergeCell ref="BZ63:CA63"/>
    <mergeCell ref="BB72:BC72"/>
    <mergeCell ref="BN64:BO64"/>
    <mergeCell ref="BZ64:CA64"/>
    <mergeCell ref="BL74:BM74"/>
    <mergeCell ref="BI74:BK77"/>
    <mergeCell ref="BZ69:CA69"/>
    <mergeCell ref="R69:S69"/>
    <mergeCell ref="U69:V71"/>
    <mergeCell ref="AB66:AC66"/>
    <mergeCell ref="AD66:AE66"/>
    <mergeCell ref="AB59:AC59"/>
    <mergeCell ref="AN65:AO65"/>
    <mergeCell ref="DS54:DU54"/>
    <mergeCell ref="DH56:DI56"/>
    <mergeCell ref="DJ56:DK56"/>
    <mergeCell ref="D70:E70"/>
    <mergeCell ref="P65:Q65"/>
    <mergeCell ref="D69:E69"/>
    <mergeCell ref="F68:G68"/>
    <mergeCell ref="P68:Q68"/>
    <mergeCell ref="AD65:AE65"/>
    <mergeCell ref="EA61:EA62"/>
    <mergeCell ref="DT74:DU74"/>
    <mergeCell ref="D71:E71"/>
    <mergeCell ref="F71:G71"/>
    <mergeCell ref="N71:O72"/>
    <mergeCell ref="P71:Q71"/>
    <mergeCell ref="AB67:AC67"/>
    <mergeCell ref="AD67:AE67"/>
    <mergeCell ref="AH61:AH62"/>
    <mergeCell ref="DE56:DG58"/>
    <mergeCell ref="BF55:BF56"/>
    <mergeCell ref="BG55:BG56"/>
    <mergeCell ref="AW56:AY58"/>
    <mergeCell ref="CU54:CW54"/>
    <mergeCell ref="CB54:CC54"/>
    <mergeCell ref="CI54:CK54"/>
    <mergeCell ref="CN54:CO54"/>
    <mergeCell ref="CS56:CU58"/>
    <mergeCell ref="CV56:CW56"/>
    <mergeCell ref="BS57:BS58"/>
    <mergeCell ref="BZ57:CA57"/>
    <mergeCell ref="R60:S60"/>
    <mergeCell ref="AU59:AU60"/>
    <mergeCell ref="AT61:AT62"/>
    <mergeCell ref="AU61:AU62"/>
    <mergeCell ref="AS63:AT65"/>
    <mergeCell ref="AU63:AU65"/>
    <mergeCell ref="F70:G70"/>
    <mergeCell ref="P70:Q70"/>
    <mergeCell ref="R70:S70"/>
    <mergeCell ref="D66:E66"/>
    <mergeCell ref="F66:G66"/>
    <mergeCell ref="AY54:BA54"/>
    <mergeCell ref="BD54:BE54"/>
    <mergeCell ref="BN58:BO58"/>
    <mergeCell ref="AG59:AG62"/>
    <mergeCell ref="I59:I62"/>
    <mergeCell ref="J59:J60"/>
    <mergeCell ref="K59:K60"/>
    <mergeCell ref="M59:M73"/>
    <mergeCell ref="W69:W71"/>
    <mergeCell ref="DG54:DI54"/>
    <mergeCell ref="CV57:CW57"/>
    <mergeCell ref="CL56:CM56"/>
    <mergeCell ref="DJ55:DK55"/>
    <mergeCell ref="DY55:DY58"/>
    <mergeCell ref="DX54:DY54"/>
    <mergeCell ref="BW54:BY54"/>
    <mergeCell ref="CX55:CY55"/>
    <mergeCell ref="R58:S58"/>
    <mergeCell ref="AB58:AC58"/>
    <mergeCell ref="AD58:AE58"/>
    <mergeCell ref="AD57:AE57"/>
    <mergeCell ref="P57:Q57"/>
    <mergeCell ref="F58:G58"/>
    <mergeCell ref="AK55:AO55"/>
    <mergeCell ref="F57:G57"/>
    <mergeCell ref="J57:J58"/>
    <mergeCell ref="K57:K58"/>
    <mergeCell ref="W57:W58"/>
    <mergeCell ref="AH57:AH58"/>
    <mergeCell ref="AN58:AO58"/>
    <mergeCell ref="AD55:AE55"/>
    <mergeCell ref="AN57:AO57"/>
    <mergeCell ref="H54:I54"/>
    <mergeCell ref="I43:J45"/>
    <mergeCell ref="K43:K45"/>
    <mergeCell ref="P43:Q43"/>
    <mergeCell ref="AN35:AO35"/>
    <mergeCell ref="AN36:AO36"/>
    <mergeCell ref="P40:Q40"/>
    <mergeCell ref="AZ41:BA41"/>
    <mergeCell ref="BB41:BC41"/>
    <mergeCell ref="BL51:BM51"/>
    <mergeCell ref="BB37:BC37"/>
    <mergeCell ref="AZ42:BA42"/>
    <mergeCell ref="AP37:AQ37"/>
    <mergeCell ref="AP43:AQ43"/>
    <mergeCell ref="AP36:AQ36"/>
    <mergeCell ref="AS33:AS36"/>
    <mergeCell ref="AW48:AY51"/>
    <mergeCell ref="M56:O58"/>
    <mergeCell ref="P56:Q56"/>
    <mergeCell ref="Y55:AC55"/>
    <mergeCell ref="R57:S57"/>
    <mergeCell ref="P58:Q58"/>
    <mergeCell ref="V57:V58"/>
    <mergeCell ref="AI55:AI56"/>
    <mergeCell ref="Y56:AA58"/>
    <mergeCell ref="AB56:AC56"/>
    <mergeCell ref="O54:Q54"/>
    <mergeCell ref="F50:G50"/>
    <mergeCell ref="I50:J52"/>
    <mergeCell ref="AI47:AI49"/>
    <mergeCell ref="AN46:AO46"/>
    <mergeCell ref="K50:K52"/>
    <mergeCell ref="AG40:AH42"/>
    <mergeCell ref="AK52:AK53"/>
    <mergeCell ref="AB51:AC51"/>
    <mergeCell ref="AD51:AE51"/>
    <mergeCell ref="M52:M53"/>
    <mergeCell ref="P51:Q51"/>
    <mergeCell ref="AZ40:BA40"/>
    <mergeCell ref="AD40:AE40"/>
    <mergeCell ref="BB45:BC45"/>
    <mergeCell ref="AU35:AU36"/>
    <mergeCell ref="BB42:BC42"/>
    <mergeCell ref="AZ46:BA46"/>
    <mergeCell ref="N38:O41"/>
    <mergeCell ref="N45:O46"/>
    <mergeCell ref="N47:Q47"/>
    <mergeCell ref="P50:Q50"/>
    <mergeCell ref="R50:S50"/>
    <mergeCell ref="DH58:DI58"/>
    <mergeCell ref="AP58:AQ58"/>
    <mergeCell ref="AG55:AG58"/>
    <mergeCell ref="AH55:AH56"/>
    <mergeCell ref="CO43:CP45"/>
    <mergeCell ref="CL50:CM50"/>
    <mergeCell ref="DA47:DB49"/>
    <mergeCell ref="CL40:CM40"/>
    <mergeCell ref="DC47:DC49"/>
    <mergeCell ref="CT42:CU44"/>
    <mergeCell ref="CL43:CM43"/>
    <mergeCell ref="BQ50:BR52"/>
    <mergeCell ref="DH49:DI49"/>
    <mergeCell ref="CS52:CS53"/>
    <mergeCell ref="DH48:DI48"/>
    <mergeCell ref="CJ46:CK46"/>
    <mergeCell ref="CV33:CW33"/>
    <mergeCell ref="CT33:CU35"/>
    <mergeCell ref="DH38:DI38"/>
    <mergeCell ref="BX37:BY37"/>
    <mergeCell ref="BJ47:BM47"/>
    <mergeCell ref="AP38:AQ38"/>
    <mergeCell ref="BF33:BF34"/>
    <mergeCell ref="AH33:AH34"/>
    <mergeCell ref="AX33:AY35"/>
    <mergeCell ref="AS50:AT52"/>
    <mergeCell ref="AD44:AE44"/>
    <mergeCell ref="BJ45:BK46"/>
    <mergeCell ref="BI48:BK51"/>
    <mergeCell ref="U43:V45"/>
    <mergeCell ref="AZ43:BA43"/>
    <mergeCell ref="AP42:AQ42"/>
    <mergeCell ref="R51:S51"/>
    <mergeCell ref="BL50:BM50"/>
    <mergeCell ref="AD39:AE39"/>
    <mergeCell ref="R39:S39"/>
    <mergeCell ref="BB33:BC33"/>
    <mergeCell ref="R34:S34"/>
    <mergeCell ref="AP45:AQ45"/>
    <mergeCell ref="AZ35:BA35"/>
    <mergeCell ref="BB35:BC35"/>
    <mergeCell ref="BL41:BM41"/>
    <mergeCell ref="BX50:BY50"/>
    <mergeCell ref="BQ37:BR39"/>
    <mergeCell ref="BS37:BS39"/>
    <mergeCell ref="U50:V52"/>
    <mergeCell ref="BG33:BG34"/>
    <mergeCell ref="BX48:BY48"/>
    <mergeCell ref="DB33:DB34"/>
    <mergeCell ref="BN48:BO48"/>
    <mergeCell ref="BZ43:CA43"/>
    <mergeCell ref="BL36:BM36"/>
    <mergeCell ref="CX34:CY34"/>
    <mergeCell ref="CJ33:CK33"/>
    <mergeCell ref="CJ34:CK34"/>
    <mergeCell ref="BZ37:CA37"/>
    <mergeCell ref="BX41:BY41"/>
    <mergeCell ref="BX45:BY45"/>
    <mergeCell ref="BJ33:BK35"/>
    <mergeCell ref="AU50:AU52"/>
    <mergeCell ref="V55:V56"/>
    <mergeCell ref="BK54:BM54"/>
    <mergeCell ref="BZ42:CA42"/>
    <mergeCell ref="BL45:BM45"/>
    <mergeCell ref="D46:E46"/>
    <mergeCell ref="F46:G46"/>
    <mergeCell ref="B47:E47"/>
    <mergeCell ref="AH35:AH36"/>
    <mergeCell ref="B45:C46"/>
    <mergeCell ref="B42:C44"/>
    <mergeCell ref="F47:G47"/>
    <mergeCell ref="I47:J49"/>
    <mergeCell ref="K47:K49"/>
    <mergeCell ref="W50:W52"/>
    <mergeCell ref="AN50:AO50"/>
    <mergeCell ref="BI33:BI47"/>
    <mergeCell ref="D42:E42"/>
    <mergeCell ref="P34:Q34"/>
    <mergeCell ref="P35:Q35"/>
    <mergeCell ref="BN38:BO38"/>
    <mergeCell ref="BL40:BM40"/>
    <mergeCell ref="AN49:AO49"/>
    <mergeCell ref="AP49:AQ49"/>
    <mergeCell ref="BB43:BC43"/>
    <mergeCell ref="AN41:AO41"/>
    <mergeCell ref="BG50:BG52"/>
    <mergeCell ref="AW52:AW53"/>
    <mergeCell ref="A48:C51"/>
    <mergeCell ref="D39:E39"/>
    <mergeCell ref="AP35:AQ35"/>
    <mergeCell ref="F51:G51"/>
    <mergeCell ref="BJ36:BK37"/>
    <mergeCell ref="F34:G34"/>
    <mergeCell ref="R41:S41"/>
    <mergeCell ref="R46:S46"/>
    <mergeCell ref="F43:G43"/>
    <mergeCell ref="P38:Q38"/>
    <mergeCell ref="BE43:BF45"/>
    <mergeCell ref="AU40:AU42"/>
    <mergeCell ref="BB46:BC46"/>
    <mergeCell ref="BB36:BC36"/>
    <mergeCell ref="AG37:AH39"/>
    <mergeCell ref="AT35:AT36"/>
    <mergeCell ref="AN34:AO34"/>
    <mergeCell ref="J35:J36"/>
    <mergeCell ref="K35:K36"/>
    <mergeCell ref="I40:J42"/>
    <mergeCell ref="R47:S47"/>
    <mergeCell ref="AX47:BA47"/>
    <mergeCell ref="AN40:AO40"/>
    <mergeCell ref="BG43:BG45"/>
    <mergeCell ref="R49:S49"/>
    <mergeCell ref="AB49:AC49"/>
    <mergeCell ref="AU37:AU39"/>
    <mergeCell ref="AN45:AO45"/>
    <mergeCell ref="AP50:AQ50"/>
    <mergeCell ref="BN44:BO44"/>
    <mergeCell ref="I37:J39"/>
    <mergeCell ref="AI37:AI39"/>
    <mergeCell ref="P36:Q36"/>
    <mergeCell ref="BE47:BF49"/>
    <mergeCell ref="AS37:AT39"/>
    <mergeCell ref="N42:O44"/>
    <mergeCell ref="AZ49:BA49"/>
    <mergeCell ref="AN33:AO33"/>
    <mergeCell ref="W37:W39"/>
    <mergeCell ref="P39:Q39"/>
    <mergeCell ref="BN39:BO39"/>
    <mergeCell ref="C54:E54"/>
    <mergeCell ref="D48:E48"/>
    <mergeCell ref="B36:C37"/>
    <mergeCell ref="B38:C41"/>
    <mergeCell ref="D49:E49"/>
    <mergeCell ref="D41:E41"/>
    <mergeCell ref="F41:G41"/>
    <mergeCell ref="P44:Q44"/>
    <mergeCell ref="D37:E37"/>
    <mergeCell ref="D38:E38"/>
    <mergeCell ref="F38:G38"/>
    <mergeCell ref="DY37:DZ39"/>
    <mergeCell ref="DO47:DO49"/>
    <mergeCell ref="CQ50:CQ52"/>
    <mergeCell ref="CS33:CS47"/>
    <mergeCell ref="CT36:CU37"/>
    <mergeCell ref="CC33:CC36"/>
    <mergeCell ref="CD33:CD34"/>
    <mergeCell ref="CE33:CE34"/>
    <mergeCell ref="BZ46:CA46"/>
    <mergeCell ref="CG52:CG53"/>
    <mergeCell ref="BS40:BS42"/>
    <mergeCell ref="BX43:BY43"/>
    <mergeCell ref="BQ47:BR49"/>
    <mergeCell ref="BS47:BS49"/>
    <mergeCell ref="CO50:CP52"/>
    <mergeCell ref="BL33:BM33"/>
    <mergeCell ref="DM50:DN52"/>
    <mergeCell ref="DO50:DO52"/>
    <mergeCell ref="CJ39:CK39"/>
    <mergeCell ref="CX42:CY42"/>
    <mergeCell ref="DT48:DU48"/>
    <mergeCell ref="DJ45:DK45"/>
    <mergeCell ref="DO40:DO42"/>
    <mergeCell ref="DC40:DC42"/>
    <mergeCell ref="DJ43:DK43"/>
    <mergeCell ref="DF42:DG44"/>
    <mergeCell ref="DO37:DO39"/>
    <mergeCell ref="DT43:DU43"/>
    <mergeCell ref="DR45:DS46"/>
    <mergeCell ref="CX47:CY47"/>
    <mergeCell ref="AX36:AY37"/>
    <mergeCell ref="BS43:BS45"/>
    <mergeCell ref="CQ33:CQ34"/>
    <mergeCell ref="DA33:DA36"/>
    <mergeCell ref="CX37:CY37"/>
    <mergeCell ref="DA37:DB39"/>
    <mergeCell ref="CQ40:CQ42"/>
    <mergeCell ref="BN43:BO43"/>
    <mergeCell ref="DT49:DU49"/>
    <mergeCell ref="DH43:DI43"/>
    <mergeCell ref="DJ42:DK42"/>
    <mergeCell ref="DO33:DO34"/>
    <mergeCell ref="DE33:DE47"/>
    <mergeCell ref="DF47:DI47"/>
    <mergeCell ref="D51:E51"/>
    <mergeCell ref="BB49:BC49"/>
    <mergeCell ref="Y48:AA51"/>
    <mergeCell ref="BL49:BM49"/>
    <mergeCell ref="BN40:BO40"/>
    <mergeCell ref="D45:E45"/>
    <mergeCell ref="BG37:BG39"/>
    <mergeCell ref="AX38:AY41"/>
    <mergeCell ref="BE40:BF42"/>
    <mergeCell ref="DV44:DW44"/>
    <mergeCell ref="DT40:DU40"/>
    <mergeCell ref="DV38:DW38"/>
    <mergeCell ref="DV37:DW37"/>
    <mergeCell ref="DH35:DI35"/>
    <mergeCell ref="DT37:DU37"/>
    <mergeCell ref="DQ33:DQ47"/>
    <mergeCell ref="DV46:DW46"/>
    <mergeCell ref="DV39:DW39"/>
    <mergeCell ref="DM33:DM36"/>
    <mergeCell ref="CE35:CE36"/>
    <mergeCell ref="DJ44:DK44"/>
    <mergeCell ref="BX46:BY46"/>
    <mergeCell ref="DT38:DU38"/>
    <mergeCell ref="CQ35:CQ36"/>
    <mergeCell ref="CX33:CY33"/>
    <mergeCell ref="CJ45:CK45"/>
    <mergeCell ref="DQ48:DS51"/>
    <mergeCell ref="DV51:DW51"/>
    <mergeCell ref="CX40:CY40"/>
    <mergeCell ref="CV41:CW41"/>
    <mergeCell ref="CV45:CW45"/>
    <mergeCell ref="CX45:CY45"/>
    <mergeCell ref="CV46:CW46"/>
    <mergeCell ref="CX36:CY36"/>
    <mergeCell ref="DV41:DW41"/>
    <mergeCell ref="DV34:DW34"/>
    <mergeCell ref="CJ35:CK35"/>
    <mergeCell ref="CL38:CM38"/>
    <mergeCell ref="CO40:CP42"/>
    <mergeCell ref="CC40:CD42"/>
    <mergeCell ref="BV47:BY47"/>
    <mergeCell ref="CV34:CW34"/>
    <mergeCell ref="DH34:DI34"/>
    <mergeCell ref="DV40:DW40"/>
    <mergeCell ref="DV36:DW36"/>
    <mergeCell ref="DC35:DC36"/>
    <mergeCell ref="CV39:CW39"/>
    <mergeCell ref="CL44:CM44"/>
    <mergeCell ref="CL45:CM45"/>
    <mergeCell ref="DJ47:DK47"/>
    <mergeCell ref="CH36:CI37"/>
    <mergeCell ref="BX44:BY44"/>
    <mergeCell ref="CL34:CM34"/>
    <mergeCell ref="DJ38:DK38"/>
    <mergeCell ref="BX35:BY35"/>
    <mergeCell ref="DJ33:DK33"/>
    <mergeCell ref="CG33:CG47"/>
    <mergeCell ref="CH33:CI35"/>
    <mergeCell ref="CH38:CI41"/>
    <mergeCell ref="CH42:CI44"/>
    <mergeCell ref="CD35:CD36"/>
    <mergeCell ref="CJ38:CK38"/>
    <mergeCell ref="DH39:DI39"/>
    <mergeCell ref="CV49:CW49"/>
    <mergeCell ref="DA43:DB45"/>
    <mergeCell ref="CV44:CW44"/>
    <mergeCell ref="CT45:CU46"/>
    <mergeCell ref="DH40:DI40"/>
    <mergeCell ref="DH46:DI46"/>
    <mergeCell ref="DT35:DU35"/>
    <mergeCell ref="DH33:DI33"/>
    <mergeCell ref="DA50:DB52"/>
    <mergeCell ref="DC50:DC52"/>
    <mergeCell ref="DJ41:DK41"/>
    <mergeCell ref="BX40:BY40"/>
    <mergeCell ref="CX43:CY43"/>
    <mergeCell ref="DJ36:DK36"/>
    <mergeCell ref="CL47:CM47"/>
    <mergeCell ref="CL49:CM49"/>
    <mergeCell ref="CO33:CO36"/>
    <mergeCell ref="CP33:CP34"/>
    <mergeCell ref="BQ43:BR45"/>
    <mergeCell ref="CV37:CW37"/>
    <mergeCell ref="CJ43:CK43"/>
    <mergeCell ref="BX33:BY33"/>
    <mergeCell ref="CT47:CW47"/>
    <mergeCell ref="CX39:CY39"/>
    <mergeCell ref="CL39:CM39"/>
    <mergeCell ref="BZ47:CA47"/>
    <mergeCell ref="CQ43:CQ45"/>
    <mergeCell ref="CH47:CK47"/>
    <mergeCell ref="BZ36:CA36"/>
    <mergeCell ref="DT46:DU46"/>
    <mergeCell ref="DC33:DC34"/>
    <mergeCell ref="DJ35:DK35"/>
    <mergeCell ref="DR36:DS37"/>
    <mergeCell ref="DM37:DN39"/>
    <mergeCell ref="DF33:DG35"/>
    <mergeCell ref="DT34:DU34"/>
    <mergeCell ref="DE52:DE53"/>
    <mergeCell ref="DH51:DI51"/>
    <mergeCell ref="CT38:CU41"/>
    <mergeCell ref="CV38:CW38"/>
    <mergeCell ref="CX48:CY48"/>
    <mergeCell ref="CX51:CY51"/>
    <mergeCell ref="DT45:DU45"/>
    <mergeCell ref="DF38:DG41"/>
    <mergeCell ref="DB35:DB36"/>
    <mergeCell ref="CJ49:CK49"/>
    <mergeCell ref="BZ51:CA51"/>
    <mergeCell ref="CS48:CU51"/>
    <mergeCell ref="CV48:CW48"/>
    <mergeCell ref="CX46:CY46"/>
    <mergeCell ref="CJ50:CK50"/>
    <mergeCell ref="CX50:CY50"/>
    <mergeCell ref="BZ50:CA50"/>
    <mergeCell ref="BX51:BY51"/>
    <mergeCell ref="BZ34:CA34"/>
    <mergeCell ref="DO43:DO45"/>
    <mergeCell ref="DH37:DI37"/>
    <mergeCell ref="CQ47:CQ49"/>
    <mergeCell ref="CJ48:CK48"/>
    <mergeCell ref="CO47:CP49"/>
    <mergeCell ref="DJ50:DK50"/>
    <mergeCell ref="BS50:BS52"/>
    <mergeCell ref="DY50:DZ52"/>
    <mergeCell ref="DY40:DZ42"/>
    <mergeCell ref="DZ33:DZ34"/>
    <mergeCell ref="BZ31:CA31"/>
    <mergeCell ref="CX32:CY32"/>
    <mergeCell ref="DJ30:DK30"/>
    <mergeCell ref="CJ31:CK31"/>
    <mergeCell ref="DH32:DI32"/>
    <mergeCell ref="DT51:DU51"/>
    <mergeCell ref="DR47:DU47"/>
    <mergeCell ref="DO35:DO36"/>
    <mergeCell ref="DC37:DC39"/>
    <mergeCell ref="DR38:DS41"/>
    <mergeCell ref="DA40:DB42"/>
    <mergeCell ref="DH36:DI36"/>
    <mergeCell ref="CX41:CY41"/>
    <mergeCell ref="DH41:DI41"/>
    <mergeCell ref="CL42:CM42"/>
    <mergeCell ref="CX44:CY44"/>
    <mergeCell ref="DH44:DI44"/>
    <mergeCell ref="CL37:CM37"/>
    <mergeCell ref="CX49:CY49"/>
    <mergeCell ref="CJ44:CK44"/>
    <mergeCell ref="DE48:DG51"/>
    <mergeCell ref="BZ44:CA44"/>
    <mergeCell ref="CC37:CD39"/>
    <mergeCell ref="CJ36:CK36"/>
    <mergeCell ref="DV42:DW42"/>
    <mergeCell ref="DV43:DW43"/>
    <mergeCell ref="DJ46:DK46"/>
    <mergeCell ref="DF45:DG46"/>
    <mergeCell ref="BZ45:CA45"/>
    <mergeCell ref="CC50:CD52"/>
    <mergeCell ref="CE50:CE52"/>
    <mergeCell ref="CV50:CW50"/>
    <mergeCell ref="CL48:CM48"/>
    <mergeCell ref="CH45:CI46"/>
    <mergeCell ref="CX35:CY35"/>
    <mergeCell ref="CL33:CM33"/>
    <mergeCell ref="DJ34:DK34"/>
    <mergeCell ref="CO37:CP39"/>
    <mergeCell ref="CQ37:CQ39"/>
    <mergeCell ref="DR33:DS35"/>
    <mergeCell ref="CV40:CW40"/>
    <mergeCell ref="DM40:DN42"/>
    <mergeCell ref="DM47:DN49"/>
    <mergeCell ref="DM43:DN45"/>
    <mergeCell ref="CJ41:CK41"/>
    <mergeCell ref="CJ40:CK40"/>
    <mergeCell ref="DJ37:DK37"/>
    <mergeCell ref="DH42:DI42"/>
    <mergeCell ref="DF36:DG37"/>
    <mergeCell ref="BZ41:CA41"/>
    <mergeCell ref="CL41:CM41"/>
    <mergeCell ref="CJ42:CK42"/>
    <mergeCell ref="CE37:CE39"/>
    <mergeCell ref="DT41:DU41"/>
    <mergeCell ref="DT50:DU50"/>
    <mergeCell ref="CL51:CM51"/>
    <mergeCell ref="CJ51:CK51"/>
    <mergeCell ref="DJ51:DK51"/>
    <mergeCell ref="DJ48:DK48"/>
    <mergeCell ref="DJ49:DK49"/>
    <mergeCell ref="DV50:DW50"/>
    <mergeCell ref="EA31:EA32"/>
    <mergeCell ref="BQ29:BQ32"/>
    <mergeCell ref="DZ29:DZ30"/>
    <mergeCell ref="EA29:EA30"/>
    <mergeCell ref="DZ31:DZ32"/>
    <mergeCell ref="DT31:DU31"/>
    <mergeCell ref="DZ35:DZ36"/>
    <mergeCell ref="DY33:DY36"/>
    <mergeCell ref="DY47:DZ49"/>
    <mergeCell ref="EA47:EA49"/>
    <mergeCell ref="DY43:DZ45"/>
    <mergeCell ref="CV51:CW51"/>
    <mergeCell ref="DN33:DN34"/>
    <mergeCell ref="DV45:DW45"/>
    <mergeCell ref="DV48:DW48"/>
    <mergeCell ref="DC43:DC45"/>
    <mergeCell ref="CV43:CW43"/>
    <mergeCell ref="CL46:CM46"/>
    <mergeCell ref="DV35:DW35"/>
    <mergeCell ref="DV47:DW47"/>
    <mergeCell ref="CP35:CP36"/>
    <mergeCell ref="CC43:CD45"/>
    <mergeCell ref="BV36:BW37"/>
    <mergeCell ref="BV38:BW41"/>
    <mergeCell ref="BS35:BS36"/>
    <mergeCell ref="DJ40:DK40"/>
    <mergeCell ref="BV33:BW35"/>
    <mergeCell ref="DA29:DA32"/>
    <mergeCell ref="DB29:DB30"/>
    <mergeCell ref="DC29:DC30"/>
    <mergeCell ref="CX31:CY31"/>
    <mergeCell ref="DB31:DB32"/>
    <mergeCell ref="DC31:DC32"/>
    <mergeCell ref="DE29:DI29"/>
    <mergeCell ref="DJ29:DK29"/>
    <mergeCell ref="DH30:DI30"/>
    <mergeCell ref="DH31:DI31"/>
    <mergeCell ref="CJ32:CK32"/>
    <mergeCell ref="CL32:CM32"/>
    <mergeCell ref="CS29:CW29"/>
    <mergeCell ref="CV32:CW32"/>
    <mergeCell ref="CV36:CW36"/>
    <mergeCell ref="CV31:CW31"/>
    <mergeCell ref="CQ31:CQ32"/>
    <mergeCell ref="CS30:CU32"/>
    <mergeCell ref="CV30:CW30"/>
    <mergeCell ref="DJ39:DK39"/>
    <mergeCell ref="CX38:CY38"/>
    <mergeCell ref="CV35:CW35"/>
    <mergeCell ref="EA50:EA52"/>
    <mergeCell ref="DQ52:DQ53"/>
    <mergeCell ref="EA40:EA42"/>
    <mergeCell ref="DT36:DU36"/>
    <mergeCell ref="EA43:EA45"/>
    <mergeCell ref="EA35:EA36"/>
    <mergeCell ref="EA37:EA39"/>
    <mergeCell ref="DY29:DY32"/>
    <mergeCell ref="DH50:DI50"/>
    <mergeCell ref="EA33:EA34"/>
    <mergeCell ref="BX36:BY36"/>
    <mergeCell ref="CV42:CW42"/>
    <mergeCell ref="DH45:DI45"/>
    <mergeCell ref="BX38:BY38"/>
    <mergeCell ref="CJ37:CK37"/>
    <mergeCell ref="DV49:DW49"/>
    <mergeCell ref="DT39:DU39"/>
    <mergeCell ref="DT44:DU44"/>
    <mergeCell ref="DT42:DU42"/>
    <mergeCell ref="DR42:DS44"/>
    <mergeCell ref="DT33:DU33"/>
    <mergeCell ref="DV33:DW33"/>
    <mergeCell ref="DN35:DN36"/>
    <mergeCell ref="U11:V13"/>
    <mergeCell ref="AB17:AC17"/>
    <mergeCell ref="F49:G49"/>
    <mergeCell ref="P37:Q37"/>
    <mergeCell ref="R37:S37"/>
    <mergeCell ref="F39:G39"/>
    <mergeCell ref="F45:G45"/>
    <mergeCell ref="P41:Q41"/>
    <mergeCell ref="AI40:AI42"/>
    <mergeCell ref="AI35:AI36"/>
    <mergeCell ref="F22:G22"/>
    <mergeCell ref="F19:G19"/>
    <mergeCell ref="N10:O11"/>
    <mergeCell ref="P10:Q10"/>
    <mergeCell ref="F11:G11"/>
    <mergeCell ref="R43:S43"/>
    <mergeCell ref="P42:Q42"/>
    <mergeCell ref="AN37:AO37"/>
    <mergeCell ref="AD16:AE16"/>
    <mergeCell ref="P23:Q23"/>
    <mergeCell ref="R23:S23"/>
    <mergeCell ref="AD23:AE23"/>
    <mergeCell ref="R10:S10"/>
    <mergeCell ref="AB10:AC10"/>
    <mergeCell ref="AD21:AE21"/>
    <mergeCell ref="F33:G33"/>
    <mergeCell ref="AD22:AE22"/>
    <mergeCell ref="V9:V10"/>
    <mergeCell ref="W9:W10"/>
    <mergeCell ref="P49:Q49"/>
    <mergeCell ref="AB11:AC11"/>
    <mergeCell ref="P20:Q20"/>
    <mergeCell ref="P18:Q18"/>
    <mergeCell ref="N16:O18"/>
    <mergeCell ref="N12:O15"/>
    <mergeCell ref="AN43:AO43"/>
    <mergeCell ref="AL10:AM11"/>
    <mergeCell ref="BS14:BS16"/>
    <mergeCell ref="AZ13:BA13"/>
    <mergeCell ref="BN25:BO25"/>
    <mergeCell ref="BL18:BM18"/>
    <mergeCell ref="F35:G35"/>
    <mergeCell ref="P45:Q45"/>
    <mergeCell ref="AI43:AI45"/>
    <mergeCell ref="AB42:AC42"/>
    <mergeCell ref="AB43:AC43"/>
    <mergeCell ref="K37:K39"/>
    <mergeCell ref="R17:S17"/>
    <mergeCell ref="R33:S33"/>
    <mergeCell ref="U21:V23"/>
    <mergeCell ref="BZ19:CA19"/>
    <mergeCell ref="AN11:AO11"/>
    <mergeCell ref="AN10:AO10"/>
    <mergeCell ref="BZ10:CA10"/>
    <mergeCell ref="BN10:BO10"/>
    <mergeCell ref="BB16:BC16"/>
    <mergeCell ref="J7:J8"/>
    <mergeCell ref="K7:K8"/>
    <mergeCell ref="R35:S35"/>
    <mergeCell ref="M22:O25"/>
    <mergeCell ref="P22:Q22"/>
    <mergeCell ref="R22:S22"/>
    <mergeCell ref="Y33:Y47"/>
    <mergeCell ref="R44:S44"/>
    <mergeCell ref="AN51:AO51"/>
    <mergeCell ref="AL36:AM37"/>
    <mergeCell ref="AK48:AM51"/>
    <mergeCell ref="Y29:AC29"/>
    <mergeCell ref="T28:U28"/>
    <mergeCell ref="F31:G31"/>
    <mergeCell ref="AD42:AE42"/>
    <mergeCell ref="F32:G32"/>
    <mergeCell ref="P30:Q30"/>
    <mergeCell ref="BE7:BE10"/>
    <mergeCell ref="W43:W45"/>
    <mergeCell ref="AN44:AO44"/>
    <mergeCell ref="AD45:AE45"/>
    <mergeCell ref="V35:V36"/>
    <mergeCell ref="AH29:AH30"/>
    <mergeCell ref="R29:S29"/>
    <mergeCell ref="AZ45:BA45"/>
    <mergeCell ref="AP33:AQ33"/>
    <mergeCell ref="AB38:AC38"/>
    <mergeCell ref="AB36:AC36"/>
    <mergeCell ref="AB35:AC35"/>
    <mergeCell ref="BX39:BY39"/>
    <mergeCell ref="BU26:BU27"/>
    <mergeCell ref="BX23:BY23"/>
    <mergeCell ref="N33:O35"/>
    <mergeCell ref="I29:I32"/>
    <mergeCell ref="P33:Q33"/>
    <mergeCell ref="BX8:BY8"/>
    <mergeCell ref="BX16:BY16"/>
    <mergeCell ref="BF9:BF10"/>
    <mergeCell ref="BG9:BG10"/>
    <mergeCell ref="BN18:BO18"/>
    <mergeCell ref="BN14:BO14"/>
    <mergeCell ref="M29:Q29"/>
    <mergeCell ref="F44:G44"/>
    <mergeCell ref="J33:J34"/>
    <mergeCell ref="K33:K34"/>
    <mergeCell ref="M33:M47"/>
    <mergeCell ref="R30:S30"/>
    <mergeCell ref="R31:S31"/>
    <mergeCell ref="J31:J32"/>
    <mergeCell ref="H28:I28"/>
    <mergeCell ref="O28:Q28"/>
    <mergeCell ref="AG29:AG32"/>
    <mergeCell ref="F30:G30"/>
    <mergeCell ref="R40:S40"/>
    <mergeCell ref="AK30:AM32"/>
    <mergeCell ref="BX31:BY31"/>
    <mergeCell ref="BS31:BS32"/>
    <mergeCell ref="BR35:BR36"/>
    <mergeCell ref="BN41:BO41"/>
    <mergeCell ref="BL42:BM42"/>
    <mergeCell ref="BE33:BE36"/>
    <mergeCell ref="AN30:AO30"/>
    <mergeCell ref="AG50:AH52"/>
    <mergeCell ref="AI50:AI52"/>
    <mergeCell ref="AZ20:BA20"/>
    <mergeCell ref="AL7:AM9"/>
    <mergeCell ref="AD46:AE46"/>
    <mergeCell ref="AX7:AY9"/>
    <mergeCell ref="AZ23:BA23"/>
    <mergeCell ref="AS17:AT19"/>
    <mergeCell ref="BN12:BO12"/>
    <mergeCell ref="U14:V16"/>
    <mergeCell ref="A26:A27"/>
    <mergeCell ref="A30:C32"/>
    <mergeCell ref="F15:G15"/>
    <mergeCell ref="P9:Q9"/>
    <mergeCell ref="B10:C11"/>
    <mergeCell ref="D10:E10"/>
    <mergeCell ref="F9:G9"/>
    <mergeCell ref="AK7:AK21"/>
    <mergeCell ref="AS7:AS10"/>
    <mergeCell ref="F8:G8"/>
    <mergeCell ref="P8:Q8"/>
    <mergeCell ref="AP17:AQ17"/>
    <mergeCell ref="AP18:AQ18"/>
    <mergeCell ref="AP10:AQ10"/>
    <mergeCell ref="AP19:AQ19"/>
    <mergeCell ref="AS11:AT13"/>
    <mergeCell ref="D32:E32"/>
    <mergeCell ref="P12:Q12"/>
    <mergeCell ref="BN35:BO35"/>
    <mergeCell ref="AP31:AQ31"/>
    <mergeCell ref="AS43:AT45"/>
    <mergeCell ref="AD37:AE37"/>
    <mergeCell ref="BZ39:CA39"/>
    <mergeCell ref="AD31:AE31"/>
    <mergeCell ref="BZ33:CA33"/>
    <mergeCell ref="BB44:BC44"/>
    <mergeCell ref="BZ38:CA38"/>
    <mergeCell ref="AG33:AG36"/>
    <mergeCell ref="AX45:AY46"/>
    <mergeCell ref="U33:U36"/>
    <mergeCell ref="Z33:AA35"/>
    <mergeCell ref="AD41:AE41"/>
    <mergeCell ref="P13:Q13"/>
    <mergeCell ref="R11:S11"/>
    <mergeCell ref="I7:I10"/>
    <mergeCell ref="BF35:BF36"/>
    <mergeCell ref="BG35:BG36"/>
    <mergeCell ref="R42:S42"/>
    <mergeCell ref="BU30:BW32"/>
    <mergeCell ref="AP21:AQ21"/>
    <mergeCell ref="AS24:AT26"/>
    <mergeCell ref="AU24:AU26"/>
    <mergeCell ref="AP29:AQ29"/>
    <mergeCell ref="AP22:AQ22"/>
    <mergeCell ref="AG24:AH26"/>
    <mergeCell ref="AI24:AI26"/>
    <mergeCell ref="AL33:AM35"/>
    <mergeCell ref="AU43:AU45"/>
    <mergeCell ref="AP44:AQ44"/>
    <mergeCell ref="BR31:BR32"/>
    <mergeCell ref="M30:O32"/>
    <mergeCell ref="BN31:BO31"/>
    <mergeCell ref="AB31:AC31"/>
    <mergeCell ref="P46:Q46"/>
    <mergeCell ref="R25:S25"/>
    <mergeCell ref="P31:Q31"/>
    <mergeCell ref="BI52:BI53"/>
    <mergeCell ref="BL46:BM46"/>
    <mergeCell ref="BB40:BC40"/>
    <mergeCell ref="AZ36:BA36"/>
    <mergeCell ref="BL39:BM39"/>
    <mergeCell ref="CG48:CI51"/>
    <mergeCell ref="AP39:AQ39"/>
    <mergeCell ref="AN39:AO39"/>
    <mergeCell ref="AK33:AK47"/>
    <mergeCell ref="BN46:BO46"/>
    <mergeCell ref="BE29:BE32"/>
    <mergeCell ref="AZ38:BA38"/>
    <mergeCell ref="BB30:BC30"/>
    <mergeCell ref="BB29:BC29"/>
    <mergeCell ref="CE29:CE30"/>
    <mergeCell ref="BG47:BG49"/>
    <mergeCell ref="BB50:BC50"/>
    <mergeCell ref="BN47:BO47"/>
    <mergeCell ref="BB48:BC48"/>
    <mergeCell ref="BB47:BC47"/>
    <mergeCell ref="BN49:BO49"/>
    <mergeCell ref="BN51:BO51"/>
    <mergeCell ref="BN50:BO50"/>
    <mergeCell ref="BL32:BM32"/>
    <mergeCell ref="AZ31:BA31"/>
    <mergeCell ref="BR29:BR30"/>
    <mergeCell ref="BI30:BK32"/>
    <mergeCell ref="BL30:BM30"/>
    <mergeCell ref="AN32:AO32"/>
    <mergeCell ref="BB32:BC32"/>
    <mergeCell ref="AP32:AQ32"/>
    <mergeCell ref="AZ32:BA32"/>
    <mergeCell ref="BN34:BO34"/>
    <mergeCell ref="BL35:BM35"/>
    <mergeCell ref="BL44:BM44"/>
    <mergeCell ref="BB34:BC34"/>
    <mergeCell ref="BQ40:BR42"/>
    <mergeCell ref="BB38:BC38"/>
    <mergeCell ref="AN31:AO31"/>
    <mergeCell ref="BE50:BF52"/>
    <mergeCell ref="BR33:BR34"/>
    <mergeCell ref="AS40:AT42"/>
    <mergeCell ref="BG31:BG32"/>
    <mergeCell ref="AP51:AQ51"/>
    <mergeCell ref="AZ51:BA51"/>
    <mergeCell ref="BB51:BC51"/>
    <mergeCell ref="BU52:BU53"/>
    <mergeCell ref="CC47:CD49"/>
    <mergeCell ref="CE47:CE49"/>
    <mergeCell ref="BQ33:BQ36"/>
    <mergeCell ref="BZ35:CA35"/>
    <mergeCell ref="BX42:BY42"/>
    <mergeCell ref="BS29:BS30"/>
    <mergeCell ref="BZ30:CA30"/>
    <mergeCell ref="AP40:AQ40"/>
    <mergeCell ref="BL38:BM38"/>
    <mergeCell ref="BL43:BM43"/>
    <mergeCell ref="AN42:AO42"/>
    <mergeCell ref="AZ44:BA44"/>
    <mergeCell ref="BZ40:CA40"/>
    <mergeCell ref="BE37:BF39"/>
    <mergeCell ref="AZ39:BA39"/>
    <mergeCell ref="AX42:AY44"/>
    <mergeCell ref="BN32:BO32"/>
    <mergeCell ref="BX32:BY32"/>
    <mergeCell ref="BZ32:CA32"/>
    <mergeCell ref="BB31:BC31"/>
    <mergeCell ref="CD29:CD30"/>
    <mergeCell ref="CL31:CM31"/>
    <mergeCell ref="AU31:AU32"/>
    <mergeCell ref="AW29:BA29"/>
    <mergeCell ref="AN48:AO48"/>
    <mergeCell ref="BB39:BC39"/>
    <mergeCell ref="BN42:BO42"/>
    <mergeCell ref="CL35:CM35"/>
    <mergeCell ref="U29:U32"/>
    <mergeCell ref="V29:V30"/>
    <mergeCell ref="AZ48:BA48"/>
    <mergeCell ref="W24:W26"/>
    <mergeCell ref="AR28:AS28"/>
    <mergeCell ref="AF28:AG28"/>
    <mergeCell ref="BG29:BG30"/>
    <mergeCell ref="AY28:BA28"/>
    <mergeCell ref="CJ25:CK25"/>
    <mergeCell ref="CL25:CM25"/>
    <mergeCell ref="CE40:CE42"/>
    <mergeCell ref="CE43:CE45"/>
    <mergeCell ref="BV45:BW46"/>
    <mergeCell ref="CL36:CM36"/>
    <mergeCell ref="BU48:BW51"/>
    <mergeCell ref="BS33:BS34"/>
    <mergeCell ref="BX49:BY49"/>
    <mergeCell ref="BV42:BW44"/>
    <mergeCell ref="BX34:BY34"/>
    <mergeCell ref="BN36:BO36"/>
    <mergeCell ref="AZ34:BA34"/>
    <mergeCell ref="AZ33:BA33"/>
    <mergeCell ref="BL37:BM37"/>
    <mergeCell ref="BN37:BO37"/>
    <mergeCell ref="BJ42:BK44"/>
    <mergeCell ref="BG40:BG42"/>
    <mergeCell ref="BU33:BU47"/>
    <mergeCell ref="AW30:AY32"/>
    <mergeCell ref="AZ30:BA30"/>
    <mergeCell ref="BL34:BM34"/>
    <mergeCell ref="BL48:BM48"/>
    <mergeCell ref="AL45:AM46"/>
    <mergeCell ref="AN38:AO38"/>
    <mergeCell ref="AL47:AO47"/>
    <mergeCell ref="BZ48:CA48"/>
    <mergeCell ref="BZ49:CA49"/>
    <mergeCell ref="AZ50:BA50"/>
    <mergeCell ref="R45:S45"/>
    <mergeCell ref="R38:S38"/>
    <mergeCell ref="AB32:AC32"/>
    <mergeCell ref="AD32:AE32"/>
    <mergeCell ref="BN45:BO45"/>
    <mergeCell ref="DT22:DU22"/>
    <mergeCell ref="AU29:AU30"/>
    <mergeCell ref="BK28:BM28"/>
    <mergeCell ref="CJ22:CK22"/>
    <mergeCell ref="CG26:CG27"/>
    <mergeCell ref="DT30:DU30"/>
    <mergeCell ref="DO31:DO32"/>
    <mergeCell ref="BB25:BC25"/>
    <mergeCell ref="BZ25:CA25"/>
    <mergeCell ref="BZ22:CA22"/>
    <mergeCell ref="AU21:AU23"/>
    <mergeCell ref="DT23:DU23"/>
    <mergeCell ref="DJ24:DK24"/>
    <mergeCell ref="CB28:CC28"/>
    <mergeCell ref="CN28:CO28"/>
    <mergeCell ref="DM29:DM32"/>
    <mergeCell ref="DN29:DN30"/>
    <mergeCell ref="DE30:DG32"/>
    <mergeCell ref="DQ26:DQ27"/>
    <mergeCell ref="BX30:BY30"/>
    <mergeCell ref="BW28:BY28"/>
    <mergeCell ref="DJ31:DK31"/>
    <mergeCell ref="AW22:AY25"/>
    <mergeCell ref="CP29:CP30"/>
    <mergeCell ref="CX30:CY30"/>
    <mergeCell ref="CD31:CD32"/>
    <mergeCell ref="CQ29:CQ30"/>
    <mergeCell ref="CG30:CI32"/>
    <mergeCell ref="CJ30:CK30"/>
    <mergeCell ref="CP31:CP32"/>
    <mergeCell ref="CL29:CM29"/>
    <mergeCell ref="CX23:CY23"/>
    <mergeCell ref="CO21:CP23"/>
    <mergeCell ref="CE31:CE32"/>
    <mergeCell ref="BN30:BO30"/>
    <mergeCell ref="BL31:BM31"/>
    <mergeCell ref="DQ29:DU29"/>
    <mergeCell ref="DQ30:DS32"/>
    <mergeCell ref="AW26:AW27"/>
    <mergeCell ref="DM24:DN26"/>
    <mergeCell ref="DJ23:DK23"/>
    <mergeCell ref="CI28:CK28"/>
    <mergeCell ref="BF29:BF30"/>
    <mergeCell ref="BZ29:CA29"/>
    <mergeCell ref="CC29:CC32"/>
    <mergeCell ref="CL21:CM21"/>
    <mergeCell ref="CQ21:CQ23"/>
    <mergeCell ref="CX29:CY29"/>
    <mergeCell ref="DO29:DO30"/>
    <mergeCell ref="BI29:BM29"/>
    <mergeCell ref="BN29:BO29"/>
    <mergeCell ref="CJ24:CK24"/>
    <mergeCell ref="CH21:CK21"/>
    <mergeCell ref="BN33:BO33"/>
    <mergeCell ref="V33:V34"/>
    <mergeCell ref="W33:W34"/>
    <mergeCell ref="AD35:AE35"/>
    <mergeCell ref="AD38:AE38"/>
    <mergeCell ref="CL30:CM30"/>
    <mergeCell ref="BB12:BC12"/>
    <mergeCell ref="BB13:BC13"/>
    <mergeCell ref="BE11:BF13"/>
    <mergeCell ref="BZ12:CA12"/>
    <mergeCell ref="BL15:BM15"/>
    <mergeCell ref="BQ17:BR19"/>
    <mergeCell ref="CG7:CG21"/>
    <mergeCell ref="BX19:BY19"/>
    <mergeCell ref="AZ17:BA17"/>
    <mergeCell ref="BX12:BY12"/>
    <mergeCell ref="BN13:BO13"/>
    <mergeCell ref="BZ17:CA17"/>
    <mergeCell ref="AZ19:BA19"/>
    <mergeCell ref="BQ14:BR16"/>
    <mergeCell ref="BX14:BY14"/>
    <mergeCell ref="BZ14:CA14"/>
    <mergeCell ref="BX15:BY15"/>
    <mergeCell ref="BZ15:CA15"/>
    <mergeCell ref="BB20:BC20"/>
    <mergeCell ref="BL20:BM20"/>
    <mergeCell ref="BJ21:BM21"/>
    <mergeCell ref="BN21:BO21"/>
    <mergeCell ref="DS28:DU28"/>
    <mergeCell ref="DL28:DM28"/>
    <mergeCell ref="DJ32:DK32"/>
    <mergeCell ref="CG29:CK29"/>
    <mergeCell ref="BI26:BI27"/>
    <mergeCell ref="BU22:BW25"/>
    <mergeCell ref="BX22:BY22"/>
    <mergeCell ref="AZ25:BA25"/>
    <mergeCell ref="BV21:BY21"/>
    <mergeCell ref="CC21:CD23"/>
    <mergeCell ref="CE21:CE23"/>
    <mergeCell ref="DE26:DE27"/>
    <mergeCell ref="BX25:BY25"/>
    <mergeCell ref="BX24:BY24"/>
    <mergeCell ref="BQ24:BR26"/>
    <mergeCell ref="BS24:BS26"/>
    <mergeCell ref="DT8:DU8"/>
    <mergeCell ref="CJ9:CK9"/>
    <mergeCell ref="DH9:DI9"/>
    <mergeCell ref="CJ7:CK7"/>
    <mergeCell ref="CG22:CI25"/>
    <mergeCell ref="BZ24:CA24"/>
    <mergeCell ref="CO7:CO10"/>
    <mergeCell ref="CP7:CP8"/>
    <mergeCell ref="CJ20:CK20"/>
    <mergeCell ref="BU7:BU21"/>
    <mergeCell ref="BN24:BO24"/>
    <mergeCell ref="BJ16:BK18"/>
    <mergeCell ref="CH7:CI9"/>
    <mergeCell ref="BR7:BR8"/>
    <mergeCell ref="CH10:CI11"/>
    <mergeCell ref="BB10:BC10"/>
    <mergeCell ref="BG11:BG13"/>
    <mergeCell ref="CJ23:CK23"/>
    <mergeCell ref="BZ23:CA23"/>
    <mergeCell ref="BG21:BG23"/>
    <mergeCell ref="BX11:BY11"/>
    <mergeCell ref="AZ7:BA7"/>
    <mergeCell ref="BD28:BE28"/>
    <mergeCell ref="BU29:BY29"/>
    <mergeCell ref="BP28:BQ28"/>
    <mergeCell ref="DT24:DU24"/>
    <mergeCell ref="DV23:DW23"/>
    <mergeCell ref="DH23:DI23"/>
    <mergeCell ref="BB22:BC22"/>
    <mergeCell ref="BI22:BK25"/>
    <mergeCell ref="BL22:BM22"/>
    <mergeCell ref="CC24:CD26"/>
    <mergeCell ref="AZ14:BA14"/>
    <mergeCell ref="BG17:BG19"/>
    <mergeCell ref="BN17:BO17"/>
    <mergeCell ref="AZ18:BA18"/>
    <mergeCell ref="CJ14:CK14"/>
    <mergeCell ref="BB14:BC14"/>
    <mergeCell ref="DV29:DW29"/>
    <mergeCell ref="DV32:DW32"/>
    <mergeCell ref="DT32:DU32"/>
    <mergeCell ref="DO24:DO26"/>
    <mergeCell ref="DV30:DW30"/>
    <mergeCell ref="DV31:DW31"/>
    <mergeCell ref="BL25:BM25"/>
    <mergeCell ref="BJ10:BK11"/>
    <mergeCell ref="DN31:DN32"/>
    <mergeCell ref="CO29:CO32"/>
    <mergeCell ref="DH24:DI24"/>
    <mergeCell ref="CL23:CM23"/>
    <mergeCell ref="DX28:DY28"/>
    <mergeCell ref="CU28:CW28"/>
    <mergeCell ref="CZ28:DA28"/>
    <mergeCell ref="DG28:DI28"/>
    <mergeCell ref="DV21:DW21"/>
    <mergeCell ref="BL10:BM10"/>
    <mergeCell ref="BX18:BY18"/>
    <mergeCell ref="BZ18:CA18"/>
    <mergeCell ref="BX17:BY17"/>
    <mergeCell ref="CL20:CM20"/>
    <mergeCell ref="BB19:BC19"/>
    <mergeCell ref="BB21:BC21"/>
    <mergeCell ref="DR19:DS20"/>
    <mergeCell ref="DT19:DU19"/>
    <mergeCell ref="DH11:DI11"/>
    <mergeCell ref="DF12:DG15"/>
    <mergeCell ref="DY11:DZ13"/>
    <mergeCell ref="DV16:DW16"/>
    <mergeCell ref="BN20:BO20"/>
    <mergeCell ref="BJ19:BK20"/>
    <mergeCell ref="BL19:BM19"/>
    <mergeCell ref="BB23:BC23"/>
    <mergeCell ref="BZ16:CA16"/>
    <mergeCell ref="BN15:BO15"/>
    <mergeCell ref="BL23:BM23"/>
    <mergeCell ref="BS11:BS13"/>
    <mergeCell ref="BS17:BS19"/>
    <mergeCell ref="CJ16:CK16"/>
    <mergeCell ref="CL16:CM16"/>
    <mergeCell ref="CV16:CW16"/>
    <mergeCell ref="CV12:CW12"/>
    <mergeCell ref="BQ7:BQ10"/>
    <mergeCell ref="BL8:BM8"/>
    <mergeCell ref="CD9:CD10"/>
    <mergeCell ref="CE9:CE10"/>
    <mergeCell ref="BV10:BW11"/>
    <mergeCell ref="CL11:CM11"/>
    <mergeCell ref="CL14:CM14"/>
    <mergeCell ref="CJ15:CK15"/>
    <mergeCell ref="CL7:CM7"/>
    <mergeCell ref="DV8:DW8"/>
    <mergeCell ref="DT9:DU9"/>
    <mergeCell ref="DZ9:DZ10"/>
    <mergeCell ref="DZ7:DZ8"/>
    <mergeCell ref="DY17:DZ19"/>
    <mergeCell ref="DY14:DZ16"/>
    <mergeCell ref="AN24:AO24"/>
    <mergeCell ref="AX10:AY11"/>
    <mergeCell ref="CX3:CY3"/>
    <mergeCell ref="DF7:DG9"/>
    <mergeCell ref="DC7:DC8"/>
    <mergeCell ref="CX12:CY12"/>
    <mergeCell ref="CV9:CW9"/>
    <mergeCell ref="CX15:CY15"/>
    <mergeCell ref="CX16:CY16"/>
    <mergeCell ref="BN19:BO19"/>
    <mergeCell ref="CJ19:CK19"/>
    <mergeCell ref="CX20:CY20"/>
    <mergeCell ref="DJ9:DK9"/>
    <mergeCell ref="BL16:BM16"/>
    <mergeCell ref="CL15:CM15"/>
    <mergeCell ref="BZ20:CA20"/>
    <mergeCell ref="CS7:CS21"/>
    <mergeCell ref="DF19:DG20"/>
    <mergeCell ref="CX19:CY19"/>
    <mergeCell ref="DA17:DB19"/>
    <mergeCell ref="DC17:DC19"/>
    <mergeCell ref="DB7:DB8"/>
    <mergeCell ref="CX9:CY9"/>
    <mergeCell ref="CX7:CY7"/>
    <mergeCell ref="DV10:DW10"/>
    <mergeCell ref="BB17:BC17"/>
    <mergeCell ref="CV10:CW10"/>
    <mergeCell ref="CV19:CW19"/>
    <mergeCell ref="DH16:DI16"/>
    <mergeCell ref="DE7:DE21"/>
    <mergeCell ref="CL9:CM9"/>
    <mergeCell ref="BX7:BY7"/>
    <mergeCell ref="DH7:DI7"/>
    <mergeCell ref="DJ7:DK7"/>
    <mergeCell ref="CT7:CU9"/>
    <mergeCell ref="BX20:BY20"/>
    <mergeCell ref="CJ8:CK8"/>
    <mergeCell ref="BZ7:CA7"/>
    <mergeCell ref="BX10:BY10"/>
    <mergeCell ref="CO24:CP26"/>
    <mergeCell ref="CQ24:CQ26"/>
    <mergeCell ref="CL22:CM22"/>
    <mergeCell ref="BQ21:BR23"/>
    <mergeCell ref="CC14:CD16"/>
    <mergeCell ref="CE14:CE16"/>
    <mergeCell ref="CO11:CP13"/>
    <mergeCell ref="CQ11:CQ13"/>
    <mergeCell ref="CH12:CI15"/>
    <mergeCell ref="CO14:CP16"/>
    <mergeCell ref="BS7:BS8"/>
    <mergeCell ref="BZ13:CA13"/>
    <mergeCell ref="BL7:BM7"/>
    <mergeCell ref="BS21:BS23"/>
    <mergeCell ref="BN22:BO22"/>
    <mergeCell ref="BB11:BC11"/>
    <mergeCell ref="BL11:BM11"/>
    <mergeCell ref="BN11:BO11"/>
    <mergeCell ref="BN23:BO23"/>
    <mergeCell ref="EA9:EA10"/>
    <mergeCell ref="DB9:DB10"/>
    <mergeCell ref="CH16:CI18"/>
    <mergeCell ref="CO17:CP19"/>
    <mergeCell ref="CQ17:CQ19"/>
    <mergeCell ref="CH19:CI20"/>
    <mergeCell ref="DY7:DY10"/>
    <mergeCell ref="DC9:DC10"/>
    <mergeCell ref="CV13:CW13"/>
    <mergeCell ref="CT12:CU15"/>
    <mergeCell ref="CX18:CY18"/>
    <mergeCell ref="DV15:DW15"/>
    <mergeCell ref="DV9:DW9"/>
    <mergeCell ref="DO14:DO16"/>
    <mergeCell ref="DT14:DU14"/>
    <mergeCell ref="DT13:DU13"/>
    <mergeCell ref="DT18:DU18"/>
    <mergeCell ref="DA11:DB13"/>
    <mergeCell ref="DC11:DC13"/>
    <mergeCell ref="DC14:DC16"/>
    <mergeCell ref="DA7:DA10"/>
    <mergeCell ref="DV4:DW4"/>
    <mergeCell ref="DV18:DW18"/>
    <mergeCell ref="DT10:DU10"/>
    <mergeCell ref="DJ17:DK17"/>
    <mergeCell ref="DT11:DU11"/>
    <mergeCell ref="DH15:DI15"/>
    <mergeCell ref="DJ15:DK15"/>
    <mergeCell ref="DT15:DU15"/>
    <mergeCell ref="DR12:DS15"/>
    <mergeCell ref="DT12:DU12"/>
    <mergeCell ref="DZ3:DZ4"/>
    <mergeCell ref="DV13:DW13"/>
    <mergeCell ref="DJ14:DK14"/>
    <mergeCell ref="DM14:DN16"/>
    <mergeCell ref="DF10:DG11"/>
    <mergeCell ref="EA3:EA4"/>
    <mergeCell ref="DZ5:DZ6"/>
    <mergeCell ref="CV7:CW7"/>
    <mergeCell ref="CL8:CM8"/>
    <mergeCell ref="CQ9:CQ10"/>
    <mergeCell ref="CV20:CW20"/>
    <mergeCell ref="EA5:EA6"/>
    <mergeCell ref="DA3:DA6"/>
    <mergeCell ref="DB3:DB4"/>
    <mergeCell ref="DC3:DC4"/>
    <mergeCell ref="DB5:DB6"/>
    <mergeCell ref="DC5:DC6"/>
    <mergeCell ref="DE3:DI3"/>
    <mergeCell ref="DJ3:DK3"/>
    <mergeCell ref="CV11:CW11"/>
    <mergeCell ref="CX11:CY11"/>
    <mergeCell ref="EA17:EA19"/>
    <mergeCell ref="CL12:CM12"/>
    <mergeCell ref="CJ12:CK12"/>
    <mergeCell ref="DA14:DB16"/>
    <mergeCell ref="CL17:CM17"/>
    <mergeCell ref="CQ5:CQ6"/>
    <mergeCell ref="CJ10:CK10"/>
    <mergeCell ref="CL10:CM10"/>
    <mergeCell ref="DJ12:DK12"/>
    <mergeCell ref="DJ13:DK13"/>
    <mergeCell ref="DH18:DI18"/>
    <mergeCell ref="DJ18:DK18"/>
    <mergeCell ref="EA24:EA26"/>
    <mergeCell ref="DH25:DI25"/>
    <mergeCell ref="DJ25:DK25"/>
    <mergeCell ref="DV25:DW25"/>
    <mergeCell ref="DV24:DW24"/>
    <mergeCell ref="CL24:CM24"/>
    <mergeCell ref="CS26:CS27"/>
    <mergeCell ref="CV24:CW24"/>
    <mergeCell ref="DQ22:DS25"/>
    <mergeCell ref="DC24:DC26"/>
    <mergeCell ref="CV25:CW25"/>
    <mergeCell ref="CX24:CY24"/>
    <mergeCell ref="CX8:CY8"/>
    <mergeCell ref="EA21:EA23"/>
    <mergeCell ref="DJ10:DK10"/>
    <mergeCell ref="EA14:EA16"/>
    <mergeCell ref="CV23:CW23"/>
    <mergeCell ref="DF16:DG18"/>
    <mergeCell ref="DT25:DU25"/>
    <mergeCell ref="DO21:DO23"/>
    <mergeCell ref="DR21:DU21"/>
    <mergeCell ref="DJ22:DK22"/>
    <mergeCell ref="DE22:DG25"/>
    <mergeCell ref="CX21:CY21"/>
    <mergeCell ref="DA21:DB23"/>
    <mergeCell ref="DF21:DI21"/>
    <mergeCell ref="CX22:CY22"/>
    <mergeCell ref="CP3:CP4"/>
    <mergeCell ref="EA11:EA13"/>
    <mergeCell ref="DV12:DW12"/>
    <mergeCell ref="DN5:DN6"/>
    <mergeCell ref="DN9:DN10"/>
    <mergeCell ref="DM11:DN13"/>
    <mergeCell ref="DJ11:DK11"/>
    <mergeCell ref="DJ20:DK20"/>
    <mergeCell ref="DT20:DU20"/>
    <mergeCell ref="DV17:DW17"/>
    <mergeCell ref="DM17:DN19"/>
    <mergeCell ref="DO17:DO19"/>
    <mergeCell ref="DM7:DM10"/>
    <mergeCell ref="DH8:DI8"/>
    <mergeCell ref="DJ8:DK8"/>
    <mergeCell ref="CX4:CY4"/>
    <mergeCell ref="CX5:CY5"/>
    <mergeCell ref="CX6:CY6"/>
    <mergeCell ref="DH12:DI12"/>
    <mergeCell ref="DV20:DW20"/>
    <mergeCell ref="DT17:DU17"/>
    <mergeCell ref="EA7:EA8"/>
    <mergeCell ref="DV6:DW6"/>
    <mergeCell ref="DH10:DI10"/>
    <mergeCell ref="DJ19:DK19"/>
    <mergeCell ref="DH14:DI14"/>
    <mergeCell ref="DH22:DI22"/>
    <mergeCell ref="DT16:DU16"/>
    <mergeCell ref="CQ14:CQ16"/>
    <mergeCell ref="CQ7:CQ8"/>
    <mergeCell ref="CP9:CP10"/>
    <mergeCell ref="CQ3:CQ4"/>
    <mergeCell ref="CP5:CP6"/>
    <mergeCell ref="DO5:DO6"/>
    <mergeCell ref="DT5:DU5"/>
    <mergeCell ref="DV5:DW5"/>
    <mergeCell ref="DE4:DG6"/>
    <mergeCell ref="CZ1:DA1"/>
    <mergeCell ref="DL1:DM1"/>
    <mergeCell ref="DX1:DY1"/>
    <mergeCell ref="DX2:DY2"/>
    <mergeCell ref="DN7:DN8"/>
    <mergeCell ref="DO7:DO8"/>
    <mergeCell ref="DQ7:DQ21"/>
    <mergeCell ref="DR7:DS9"/>
    <mergeCell ref="DO9:DO10"/>
    <mergeCell ref="DR10:DS11"/>
    <mergeCell ref="DO11:DO13"/>
    <mergeCell ref="DR16:DS18"/>
    <mergeCell ref="DT7:DU7"/>
    <mergeCell ref="DJ21:DK21"/>
    <mergeCell ref="DY21:DZ23"/>
    <mergeCell ref="CT21:CW21"/>
    <mergeCell ref="CX13:CY13"/>
    <mergeCell ref="CV14:CW14"/>
    <mergeCell ref="CX14:CY14"/>
    <mergeCell ref="CV8:CW8"/>
    <mergeCell ref="CV17:CW17"/>
    <mergeCell ref="CX17:CY17"/>
    <mergeCell ref="DC21:DC23"/>
    <mergeCell ref="CT16:CU18"/>
    <mergeCell ref="DM21:DN23"/>
    <mergeCell ref="CS22:CU25"/>
    <mergeCell ref="CV22:CW22"/>
    <mergeCell ref="CX25:CY25"/>
    <mergeCell ref="DM3:DM6"/>
    <mergeCell ref="DN3:DN4"/>
    <mergeCell ref="DJ4:DK4"/>
    <mergeCell ref="DH5:DI5"/>
    <mergeCell ref="DJ5:DK5"/>
    <mergeCell ref="DH6:DI6"/>
    <mergeCell ref="DO3:DO4"/>
    <mergeCell ref="DQ3:DU3"/>
    <mergeCell ref="DV3:DW3"/>
    <mergeCell ref="DY3:DY6"/>
    <mergeCell ref="DQ4:DS6"/>
    <mergeCell ref="DT4:DU4"/>
    <mergeCell ref="CT19:CU20"/>
    <mergeCell ref="DH4:DI4"/>
    <mergeCell ref="DV7:DW7"/>
    <mergeCell ref="DH19:DI19"/>
    <mergeCell ref="DH20:DI20"/>
    <mergeCell ref="CV18:CW18"/>
    <mergeCell ref="DY24:DZ26"/>
    <mergeCell ref="DH17:DI17"/>
    <mergeCell ref="DV22:DW22"/>
    <mergeCell ref="DA24:DB26"/>
    <mergeCell ref="DV11:DW11"/>
    <mergeCell ref="DV19:DW19"/>
    <mergeCell ref="DV14:DW14"/>
    <mergeCell ref="CV15:CW15"/>
    <mergeCell ref="CX10:CY10"/>
    <mergeCell ref="CV6:CW6"/>
    <mergeCell ref="DJ16:DK16"/>
    <mergeCell ref="DH13:DI13"/>
    <mergeCell ref="CT10:CU11"/>
    <mergeCell ref="CU2:CW2"/>
    <mergeCell ref="CZ2:DA2"/>
    <mergeCell ref="DG2:DI2"/>
    <mergeCell ref="DL2:DM2"/>
    <mergeCell ref="DS2:DU2"/>
    <mergeCell ref="AR1:AS1"/>
    <mergeCell ref="CB1:CC1"/>
    <mergeCell ref="CN1:CO1"/>
    <mergeCell ref="CI2:CK2"/>
    <mergeCell ref="CG3:CK3"/>
    <mergeCell ref="CL3:CM3"/>
    <mergeCell ref="CO3:CO6"/>
    <mergeCell ref="CJ4:CK4"/>
    <mergeCell ref="BW2:BY2"/>
    <mergeCell ref="BP1:BQ1"/>
    <mergeCell ref="BN8:BO8"/>
    <mergeCell ref="BZ8:CA8"/>
    <mergeCell ref="BZ11:CA11"/>
    <mergeCell ref="CD3:CD4"/>
    <mergeCell ref="CE3:CE4"/>
    <mergeCell ref="AX21:BA21"/>
    <mergeCell ref="BE21:BF23"/>
    <mergeCell ref="AZ22:BA22"/>
    <mergeCell ref="AU14:AU16"/>
    <mergeCell ref="BE17:BF19"/>
    <mergeCell ref="CE11:CE13"/>
    <mergeCell ref="BV12:BW15"/>
    <mergeCell ref="BV16:BW18"/>
    <mergeCell ref="CC17:CD19"/>
    <mergeCell ref="CE17:CE19"/>
    <mergeCell ref="BV19:BW20"/>
    <mergeCell ref="AZ12:BA12"/>
    <mergeCell ref="CE24:CE26"/>
    <mergeCell ref="BB7:BC7"/>
    <mergeCell ref="BB15:BC15"/>
    <mergeCell ref="BG14:BG16"/>
    <mergeCell ref="H1:I1"/>
    <mergeCell ref="BB3:BC3"/>
    <mergeCell ref="BE3:BE6"/>
    <mergeCell ref="BF3:BF4"/>
    <mergeCell ref="BG3:BG4"/>
    <mergeCell ref="AW4:AY6"/>
    <mergeCell ref="AZ4:BA4"/>
    <mergeCell ref="AN4:AO4"/>
    <mergeCell ref="AT5:AT6"/>
    <mergeCell ref="AU5:AU6"/>
    <mergeCell ref="BS3:BS4"/>
    <mergeCell ref="BZ4:CA4"/>
    <mergeCell ref="BU3:BY3"/>
    <mergeCell ref="BZ3:CA3"/>
    <mergeCell ref="AN22:AO22"/>
    <mergeCell ref="BZ21:CA21"/>
    <mergeCell ref="AZ24:BA24"/>
    <mergeCell ref="BE24:BF26"/>
    <mergeCell ref="BL24:BM24"/>
    <mergeCell ref="AS21:AT23"/>
    <mergeCell ref="AP23:AQ23"/>
    <mergeCell ref="CJ6:CK6"/>
    <mergeCell ref="CL6:CM6"/>
    <mergeCell ref="BR9:BR10"/>
    <mergeCell ref="CL13:CM13"/>
    <mergeCell ref="BS9:BS10"/>
    <mergeCell ref="CC11:CD13"/>
    <mergeCell ref="AZ15:BA15"/>
    <mergeCell ref="BL13:BM13"/>
    <mergeCell ref="CJ11:CK11"/>
    <mergeCell ref="BL9:BM9"/>
    <mergeCell ref="CG4:CI6"/>
    <mergeCell ref="CE5:CE6"/>
    <mergeCell ref="BB8:BC8"/>
    <mergeCell ref="BN7:BO7"/>
    <mergeCell ref="BB18:BC18"/>
    <mergeCell ref="CJ18:CK18"/>
    <mergeCell ref="BL6:BM6"/>
    <mergeCell ref="BN6:BO6"/>
    <mergeCell ref="BX6:BY6"/>
    <mergeCell ref="BZ6:CA6"/>
    <mergeCell ref="BR5:BR6"/>
    <mergeCell ref="BS5:BS6"/>
    <mergeCell ref="BZ5:CA5"/>
    <mergeCell ref="CJ5:CK5"/>
    <mergeCell ref="AS3:AS6"/>
    <mergeCell ref="AT3:AT4"/>
    <mergeCell ref="AU3:AU4"/>
    <mergeCell ref="AN8:AO8"/>
    <mergeCell ref="AU9:AU10"/>
    <mergeCell ref="AN14:AO14"/>
    <mergeCell ref="BI7:BI21"/>
    <mergeCell ref="D30:E30"/>
    <mergeCell ref="B19:C20"/>
    <mergeCell ref="D19:E19"/>
    <mergeCell ref="D20:E20"/>
    <mergeCell ref="F20:G20"/>
    <mergeCell ref="B21:E21"/>
    <mergeCell ref="D40:E40"/>
    <mergeCell ref="F40:G40"/>
    <mergeCell ref="I33:I36"/>
    <mergeCell ref="D15:E15"/>
    <mergeCell ref="D17:E17"/>
    <mergeCell ref="AA28:AC28"/>
    <mergeCell ref="I24:J26"/>
    <mergeCell ref="D24:E24"/>
    <mergeCell ref="F24:G24"/>
    <mergeCell ref="U17:V19"/>
    <mergeCell ref="AB8:AC8"/>
    <mergeCell ref="AD8:AE8"/>
    <mergeCell ref="K14:K16"/>
    <mergeCell ref="N7:O9"/>
    <mergeCell ref="P7:Q7"/>
    <mergeCell ref="R7:S7"/>
    <mergeCell ref="U7:U10"/>
    <mergeCell ref="F18:G18"/>
    <mergeCell ref="D23:E23"/>
    <mergeCell ref="F23:G23"/>
    <mergeCell ref="F17:G17"/>
    <mergeCell ref="BF5:BF6"/>
    <mergeCell ref="AZ8:BA8"/>
    <mergeCell ref="AK4:AM6"/>
    <mergeCell ref="BL4:BM4"/>
    <mergeCell ref="BN4:BO4"/>
    <mergeCell ref="J5:J6"/>
    <mergeCell ref="K5:K6"/>
    <mergeCell ref="BL14:BM14"/>
    <mergeCell ref="AK22:AM25"/>
    <mergeCell ref="BF31:BF32"/>
    <mergeCell ref="BJ12:BK15"/>
    <mergeCell ref="BL12:BM12"/>
    <mergeCell ref="AP30:AQ30"/>
    <mergeCell ref="BN9:BO9"/>
    <mergeCell ref="D35:E35"/>
    <mergeCell ref="D34:E34"/>
    <mergeCell ref="A29:E29"/>
    <mergeCell ref="B33:C35"/>
    <mergeCell ref="A22:C25"/>
    <mergeCell ref="A7:A21"/>
    <mergeCell ref="B7:C9"/>
    <mergeCell ref="D7:E7"/>
    <mergeCell ref="D9:E9"/>
    <mergeCell ref="D43:E43"/>
    <mergeCell ref="D44:E44"/>
    <mergeCell ref="F63:G63"/>
    <mergeCell ref="I63:J65"/>
    <mergeCell ref="T54:U54"/>
    <mergeCell ref="AA54:AC54"/>
    <mergeCell ref="D50:E50"/>
    <mergeCell ref="A33:A47"/>
    <mergeCell ref="W66:W68"/>
    <mergeCell ref="N68:O70"/>
    <mergeCell ref="F60:G60"/>
    <mergeCell ref="P60:Q60"/>
    <mergeCell ref="J29:J30"/>
    <mergeCell ref="K29:K30"/>
    <mergeCell ref="AB25:AC25"/>
    <mergeCell ref="AD25:AE25"/>
    <mergeCell ref="AD29:AE29"/>
    <mergeCell ref="Z38:AA41"/>
    <mergeCell ref="Y26:Y27"/>
    <mergeCell ref="AD13:AE13"/>
    <mergeCell ref="AB45:AC45"/>
    <mergeCell ref="Z47:AC47"/>
    <mergeCell ref="Y52:Y53"/>
    <mergeCell ref="Z42:AA44"/>
    <mergeCell ref="Z45:AA46"/>
    <mergeCell ref="AB41:AC41"/>
    <mergeCell ref="AB33:AC33"/>
    <mergeCell ref="AB40:AC40"/>
    <mergeCell ref="AD12:AE12"/>
    <mergeCell ref="AB50:AC50"/>
    <mergeCell ref="Z36:AA37"/>
    <mergeCell ref="W59:W60"/>
    <mergeCell ref="V61:V62"/>
    <mergeCell ref="AB19:AC19"/>
    <mergeCell ref="R12:S12"/>
    <mergeCell ref="D33:E33"/>
    <mergeCell ref="F42:G42"/>
    <mergeCell ref="D31:E31"/>
    <mergeCell ref="M48:O51"/>
    <mergeCell ref="P48:Q48"/>
    <mergeCell ref="R36:S36"/>
    <mergeCell ref="F48:G48"/>
    <mergeCell ref="U47:V49"/>
    <mergeCell ref="F37:G37"/>
    <mergeCell ref="A52:A53"/>
    <mergeCell ref="D36:E36"/>
    <mergeCell ref="F36:G36"/>
    <mergeCell ref="N36:O37"/>
    <mergeCell ref="R48:S48"/>
    <mergeCell ref="AD48:AE48"/>
    <mergeCell ref="K40:K42"/>
    <mergeCell ref="F29:G29"/>
    <mergeCell ref="K31:K32"/>
    <mergeCell ref="F7:G7"/>
    <mergeCell ref="AD11:AE11"/>
    <mergeCell ref="R21:S21"/>
    <mergeCell ref="AB24:AC24"/>
    <mergeCell ref="AD24:AE24"/>
    <mergeCell ref="K24:K26"/>
    <mergeCell ref="BD1:BE1"/>
    <mergeCell ref="CL4:CM4"/>
    <mergeCell ref="P17:Q17"/>
    <mergeCell ref="M7:M21"/>
    <mergeCell ref="I17:J19"/>
    <mergeCell ref="K9:K10"/>
    <mergeCell ref="K17:K19"/>
    <mergeCell ref="P11:Q11"/>
    <mergeCell ref="K11:K13"/>
    <mergeCell ref="BJ7:BK9"/>
    <mergeCell ref="CJ13:CK13"/>
    <mergeCell ref="CD5:CD6"/>
    <mergeCell ref="CJ17:CK17"/>
    <mergeCell ref="BF7:BF8"/>
    <mergeCell ref="BG7:BG8"/>
    <mergeCell ref="BE14:BF16"/>
    <mergeCell ref="BQ11:BR13"/>
    <mergeCell ref="CC3:CC6"/>
    <mergeCell ref="T1:U1"/>
    <mergeCell ref="AF2:AG2"/>
    <mergeCell ref="AZ9:BA9"/>
    <mergeCell ref="BB9:BC9"/>
    <mergeCell ref="CL5:CM5"/>
    <mergeCell ref="AP15:AQ15"/>
    <mergeCell ref="BV7:BW9"/>
    <mergeCell ref="CC7:CC10"/>
    <mergeCell ref="CD7:CD8"/>
    <mergeCell ref="CE7:CE8"/>
    <mergeCell ref="R8:S8"/>
    <mergeCell ref="AB22:AC22"/>
    <mergeCell ref="AS14:AT16"/>
    <mergeCell ref="AX12:AY15"/>
    <mergeCell ref="CL18:CM18"/>
    <mergeCell ref="CL19:CM19"/>
    <mergeCell ref="BX13:BY13"/>
    <mergeCell ref="BX9:BY9"/>
    <mergeCell ref="BZ9:CA9"/>
    <mergeCell ref="AZ11:BA11"/>
    <mergeCell ref="W17:W19"/>
    <mergeCell ref="AB13:AC13"/>
    <mergeCell ref="AW7:AW21"/>
    <mergeCell ref="AZ16:BA16"/>
    <mergeCell ref="P14:Q14"/>
    <mergeCell ref="BR3:BR4"/>
    <mergeCell ref="BI4:BK6"/>
    <mergeCell ref="BL5:BM5"/>
    <mergeCell ref="BN5:BO5"/>
    <mergeCell ref="AP11:AQ11"/>
    <mergeCell ref="AZ10:BA10"/>
    <mergeCell ref="BL17:BM17"/>
    <mergeCell ref="AF1:AG1"/>
    <mergeCell ref="AH5:AH6"/>
    <mergeCell ref="AI5:AI6"/>
    <mergeCell ref="Z7:AA9"/>
    <mergeCell ref="AG7:AG10"/>
    <mergeCell ref="AH7:AH8"/>
    <mergeCell ref="AI7:AI8"/>
    <mergeCell ref="AH9:AH10"/>
    <mergeCell ref="AI9:AI10"/>
    <mergeCell ref="Z10:AA11"/>
    <mergeCell ref="AG11:AH13"/>
    <mergeCell ref="AI11:AI13"/>
    <mergeCell ref="Z12:AA15"/>
    <mergeCell ref="AG14:AH16"/>
    <mergeCell ref="AP137:AQ137"/>
    <mergeCell ref="Z137:AA139"/>
    <mergeCell ref="AL19:AM20"/>
    <mergeCell ref="AD14:AE14"/>
    <mergeCell ref="BP54:BQ54"/>
    <mergeCell ref="AK78:AK79"/>
    <mergeCell ref="AN71:AO71"/>
    <mergeCell ref="AW78:AW79"/>
    <mergeCell ref="AP74:AQ74"/>
    <mergeCell ref="AP68:AQ68"/>
    <mergeCell ref="AP76:AQ76"/>
    <mergeCell ref="AN69:AO69"/>
    <mergeCell ref="AS69:AT71"/>
    <mergeCell ref="AU69:AU71"/>
    <mergeCell ref="AL71:AM72"/>
    <mergeCell ref="AP62:AQ62"/>
    <mergeCell ref="AN59:AO59"/>
    <mergeCell ref="AN61:AO61"/>
    <mergeCell ref="R14:S14"/>
    <mergeCell ref="R19:S19"/>
    <mergeCell ref="U73:V75"/>
    <mergeCell ref="AP72:AQ72"/>
    <mergeCell ref="AB68:AC68"/>
    <mergeCell ref="AP67:AQ67"/>
    <mergeCell ref="AZ67:BA67"/>
    <mergeCell ref="AD72:AE72"/>
    <mergeCell ref="AS66:AT68"/>
    <mergeCell ref="AU66:AU68"/>
    <mergeCell ref="AZ62:BA62"/>
    <mergeCell ref="AZ71:BA71"/>
    <mergeCell ref="AX68:AY70"/>
    <mergeCell ref="AS73:AT75"/>
    <mergeCell ref="AP60:AQ60"/>
    <mergeCell ref="AP70:AQ70"/>
    <mergeCell ref="AP100:AQ100"/>
    <mergeCell ref="AZ101:BA101"/>
    <mergeCell ref="AL88:AM89"/>
    <mergeCell ref="AL90:AM93"/>
    <mergeCell ref="AU87:AU88"/>
    <mergeCell ref="AB91:AC91"/>
    <mergeCell ref="AP111:AQ111"/>
    <mergeCell ref="AP112:AQ112"/>
    <mergeCell ref="AP113:AQ113"/>
    <mergeCell ref="AR106:AS106"/>
    <mergeCell ref="AS111:AS114"/>
    <mergeCell ref="AT111:AT112"/>
    <mergeCell ref="W99:W101"/>
    <mergeCell ref="AB86:AC86"/>
    <mergeCell ref="AD86:AE86"/>
    <mergeCell ref="R83:S83"/>
    <mergeCell ref="V83:V84"/>
    <mergeCell ref="W83:W84"/>
    <mergeCell ref="AK81:AO81"/>
    <mergeCell ref="AP81:AQ81"/>
    <mergeCell ref="AS81:AS84"/>
    <mergeCell ref="AP20:AQ20"/>
    <mergeCell ref="AP25:AQ25"/>
    <mergeCell ref="Y30:AA32"/>
    <mergeCell ref="AM28:AO28"/>
    <mergeCell ref="AX19:AY20"/>
    <mergeCell ref="AD20:AE20"/>
    <mergeCell ref="AU17:AU19"/>
    <mergeCell ref="BN16:BO16"/>
    <mergeCell ref="AP24:AQ24"/>
    <mergeCell ref="P69:Q69"/>
    <mergeCell ref="AI57:AI58"/>
    <mergeCell ref="AD64:AE64"/>
    <mergeCell ref="Z59:AA61"/>
    <mergeCell ref="U59:U62"/>
    <mergeCell ref="P61:Q61"/>
    <mergeCell ref="R61:S61"/>
    <mergeCell ref="V59:V60"/>
    <mergeCell ref="BG24:BG26"/>
    <mergeCell ref="AI29:AI30"/>
    <mergeCell ref="P15:Q15"/>
    <mergeCell ref="P24:Q24"/>
    <mergeCell ref="R24:S24"/>
    <mergeCell ref="U24:V26"/>
    <mergeCell ref="AD18:AE18"/>
    <mergeCell ref="R16:S16"/>
    <mergeCell ref="V31:V32"/>
    <mergeCell ref="AP34:AQ34"/>
    <mergeCell ref="AP41:AQ41"/>
    <mergeCell ref="AT33:AT34"/>
    <mergeCell ref="AU33:AU34"/>
    <mergeCell ref="AW33:AW47"/>
    <mergeCell ref="AP47:AQ47"/>
    <mergeCell ref="AP48:AQ48"/>
    <mergeCell ref="AS47:AT49"/>
    <mergeCell ref="AU47:AU49"/>
    <mergeCell ref="BJ38:BK41"/>
    <mergeCell ref="AZ37:BA37"/>
    <mergeCell ref="W14:W16"/>
    <mergeCell ref="AB16:AC16"/>
    <mergeCell ref="R18:S18"/>
    <mergeCell ref="AX16:AY18"/>
    <mergeCell ref="AB75:AC75"/>
    <mergeCell ref="R32:S32"/>
    <mergeCell ref="P32:Q32"/>
    <mergeCell ref="AB48:AC48"/>
    <mergeCell ref="AG47:AH49"/>
    <mergeCell ref="AD43:AE43"/>
    <mergeCell ref="AG43:AH45"/>
    <mergeCell ref="AI33:AI34"/>
    <mergeCell ref="AD49:AE49"/>
    <mergeCell ref="AD34:AE34"/>
    <mergeCell ref="W35:W36"/>
    <mergeCell ref="U40:V42"/>
    <mergeCell ref="U37:V39"/>
    <mergeCell ref="AL16:AM18"/>
    <mergeCell ref="AN20:AO20"/>
    <mergeCell ref="AN15:AO15"/>
    <mergeCell ref="AP46:AQ46"/>
    <mergeCell ref="AK74:AM77"/>
    <mergeCell ref="AL12:AM15"/>
    <mergeCell ref="AD33:AE33"/>
    <mergeCell ref="AB46:AC46"/>
    <mergeCell ref="W47:W49"/>
    <mergeCell ref="AB69:AC69"/>
    <mergeCell ref="AB71:AC71"/>
    <mergeCell ref="R13:S13"/>
    <mergeCell ref="AD19:AE19"/>
    <mergeCell ref="R15:S15"/>
    <mergeCell ref="W40:W42"/>
    <mergeCell ref="AK26:AK27"/>
    <mergeCell ref="AN25:AO25"/>
    <mergeCell ref="N21:Q21"/>
    <mergeCell ref="W29:W30"/>
    <mergeCell ref="AP14:AQ14"/>
    <mergeCell ref="AN17:AO17"/>
    <mergeCell ref="AP16:AQ16"/>
    <mergeCell ref="AD36:AE36"/>
    <mergeCell ref="AB76:AC76"/>
    <mergeCell ref="AI81:AI82"/>
    <mergeCell ref="Y82:AA84"/>
    <mergeCell ref="AB82:AC82"/>
    <mergeCell ref="AH83:AH84"/>
    <mergeCell ref="AI83:AI84"/>
    <mergeCell ref="AD84:AE84"/>
    <mergeCell ref="AG85:AG88"/>
    <mergeCell ref="AL97:AM98"/>
    <mergeCell ref="AP85:AQ85"/>
    <mergeCell ref="AP86:AQ86"/>
    <mergeCell ref="AD171:AE171"/>
    <mergeCell ref="AI177:AI179"/>
    <mergeCell ref="AG180:AH182"/>
    <mergeCell ref="U167:V169"/>
    <mergeCell ref="W167:W169"/>
    <mergeCell ref="AN271:AO271"/>
    <mergeCell ref="AN274:AO274"/>
    <mergeCell ref="AM288:AO288"/>
    <mergeCell ref="AB12:AC12"/>
    <mergeCell ref="AB14:AC14"/>
    <mergeCell ref="AN128:AO128"/>
    <mergeCell ref="AN129:AO129"/>
    <mergeCell ref="AB149:AC149"/>
    <mergeCell ref="Z166:AA167"/>
    <mergeCell ref="Y186:AA188"/>
    <mergeCell ref="W185:W186"/>
    <mergeCell ref="W199:W201"/>
    <mergeCell ref="AD224:AE224"/>
    <mergeCell ref="AD228:AE228"/>
    <mergeCell ref="AD233:AE233"/>
    <mergeCell ref="AK130:AK131"/>
    <mergeCell ref="AG206:AH208"/>
    <mergeCell ref="AB195:AC195"/>
    <mergeCell ref="AB193:AC193"/>
    <mergeCell ref="Z218:AA219"/>
    <mergeCell ref="AN12:AO12"/>
    <mergeCell ref="AN13:AO13"/>
    <mergeCell ref="AP12:AQ12"/>
    <mergeCell ref="AN280:AO280"/>
    <mergeCell ref="AP266:AQ266"/>
    <mergeCell ref="AP227:AQ227"/>
    <mergeCell ref="AP269:AQ269"/>
    <mergeCell ref="AP271:AQ271"/>
    <mergeCell ref="AP193:AQ193"/>
    <mergeCell ref="AP198:AQ198"/>
    <mergeCell ref="AL192:AM193"/>
    <mergeCell ref="AD223:AE223"/>
    <mergeCell ref="AG232:AH234"/>
    <mergeCell ref="AG277:AH279"/>
    <mergeCell ref="AB272:AC272"/>
    <mergeCell ref="AD252:AE252"/>
    <mergeCell ref="AB247:AC247"/>
    <mergeCell ref="AI241:AI242"/>
    <mergeCell ref="AG274:AH276"/>
    <mergeCell ref="AA288:AC288"/>
    <mergeCell ref="AM132:AO132"/>
    <mergeCell ref="Y7:Y21"/>
    <mergeCell ref="AP139:AQ139"/>
    <mergeCell ref="AP141:AQ141"/>
    <mergeCell ref="AZ63:BA63"/>
    <mergeCell ref="AZ77:BA77"/>
    <mergeCell ref="AY80:BA80"/>
    <mergeCell ref="AS95:AT97"/>
    <mergeCell ref="AU95:AU97"/>
    <mergeCell ref="AS85:AS88"/>
    <mergeCell ref="AU310:AU312"/>
    <mergeCell ref="AB37:AC37"/>
    <mergeCell ref="AB39:AC39"/>
    <mergeCell ref="AB34:AC34"/>
    <mergeCell ref="AD47:AE47"/>
    <mergeCell ref="AL125:AO125"/>
    <mergeCell ref="AN116:AO116"/>
    <mergeCell ref="AH113:AH114"/>
    <mergeCell ref="W55:W56"/>
    <mergeCell ref="AP13:AQ13"/>
    <mergeCell ref="C28:E28"/>
    <mergeCell ref="W31:W32"/>
    <mergeCell ref="B16:C18"/>
    <mergeCell ref="AB9:AC9"/>
    <mergeCell ref="W21:W23"/>
    <mergeCell ref="D8:E8"/>
    <mergeCell ref="D22:E22"/>
    <mergeCell ref="V5:V6"/>
    <mergeCell ref="AD10:AE10"/>
    <mergeCell ref="AN7:AO7"/>
    <mergeCell ref="AN19:AO19"/>
    <mergeCell ref="BX5:BY5"/>
    <mergeCell ref="W5:W6"/>
    <mergeCell ref="AB18:AC18"/>
    <mergeCell ref="BB24:BC24"/>
    <mergeCell ref="AT31:AT32"/>
    <mergeCell ref="AS29:AS32"/>
    <mergeCell ref="AT29:AT30"/>
    <mergeCell ref="AL38:AM41"/>
    <mergeCell ref="AL42:AM44"/>
    <mergeCell ref="AN9:AO9"/>
    <mergeCell ref="D18:E18"/>
    <mergeCell ref="R20:S20"/>
    <mergeCell ref="AB20:AC20"/>
    <mergeCell ref="AP8:AQ8"/>
    <mergeCell ref="AP9:AQ9"/>
    <mergeCell ref="R9:S9"/>
    <mergeCell ref="I21:J23"/>
    <mergeCell ref="K21:K23"/>
    <mergeCell ref="W11:W13"/>
    <mergeCell ref="I14:J16"/>
    <mergeCell ref="N19:O20"/>
    <mergeCell ref="P19:Q19"/>
    <mergeCell ref="D14:E14"/>
    <mergeCell ref="D16:E16"/>
    <mergeCell ref="F21:G21"/>
    <mergeCell ref="F13:G13"/>
    <mergeCell ref="F14:G14"/>
    <mergeCell ref="F16:G16"/>
    <mergeCell ref="F12:G12"/>
    <mergeCell ref="D12:E12"/>
    <mergeCell ref="D11:E11"/>
    <mergeCell ref="J9:J10"/>
    <mergeCell ref="I11:J13"/>
    <mergeCell ref="F10:G10"/>
    <mergeCell ref="V7:V8"/>
    <mergeCell ref="P25:Q25"/>
    <mergeCell ref="T236:U236"/>
    <mergeCell ref="DJ6:DK6"/>
    <mergeCell ref="A4:C6"/>
    <mergeCell ref="D4:E4"/>
    <mergeCell ref="DT6:DU6"/>
    <mergeCell ref="AK3:AO3"/>
    <mergeCell ref="AP3:AQ3"/>
    <mergeCell ref="AR2:AS2"/>
    <mergeCell ref="BD2:BE2"/>
    <mergeCell ref="CS3:CW3"/>
    <mergeCell ref="AY2:BA2"/>
    <mergeCell ref="C2:E2"/>
    <mergeCell ref="AN6:AO6"/>
    <mergeCell ref="CB2:CC2"/>
    <mergeCell ref="BU4:BW6"/>
    <mergeCell ref="BX4:BY4"/>
    <mergeCell ref="F4:G4"/>
    <mergeCell ref="M4:O6"/>
    <mergeCell ref="D5:E5"/>
    <mergeCell ref="F5:G5"/>
    <mergeCell ref="AM2:AO2"/>
    <mergeCell ref="CS4:CU6"/>
    <mergeCell ref="CV4:CW4"/>
    <mergeCell ref="T2:U2"/>
    <mergeCell ref="CV5:CW5"/>
    <mergeCell ref="H2:I2"/>
    <mergeCell ref="O2:Q2"/>
    <mergeCell ref="D6:E6"/>
    <mergeCell ref="F6:G6"/>
    <mergeCell ref="P4:Q4"/>
    <mergeCell ref="R4:S4"/>
    <mergeCell ref="AB5:AC5"/>
    <mergeCell ref="P5:Q5"/>
    <mergeCell ref="R5:S5"/>
    <mergeCell ref="P6:Q6"/>
    <mergeCell ref="AP5:AQ5"/>
    <mergeCell ref="AP6:AQ6"/>
    <mergeCell ref="AZ6:BA6"/>
    <mergeCell ref="R6:S6"/>
    <mergeCell ref="AB6:AC6"/>
    <mergeCell ref="AD6:AE6"/>
    <mergeCell ref="BG5:BG6"/>
    <mergeCell ref="CN2:CO2"/>
    <mergeCell ref="BK2:BM2"/>
    <mergeCell ref="BP2:BQ2"/>
    <mergeCell ref="BN3:BO3"/>
    <mergeCell ref="BQ3:BQ6"/>
    <mergeCell ref="AD4:AE4"/>
    <mergeCell ref="AD5:AE5"/>
    <mergeCell ref="AZ5:BA5"/>
    <mergeCell ref="AP4:AQ4"/>
    <mergeCell ref="AN5:AO5"/>
    <mergeCell ref="BB4:BC4"/>
    <mergeCell ref="BB5:BC5"/>
    <mergeCell ref="BB6:BC6"/>
    <mergeCell ref="BI3:BM3"/>
    <mergeCell ref="AW3:BA3"/>
    <mergeCell ref="AA2:AC2"/>
    <mergeCell ref="Y3:AC3"/>
    <mergeCell ref="AD3:AE3"/>
    <mergeCell ref="AG3:AG6"/>
    <mergeCell ref="AH3:AH4"/>
    <mergeCell ref="AI3:AI4"/>
    <mergeCell ref="Y4:AA6"/>
    <mergeCell ref="AB4:AC4"/>
    <mergeCell ref="M26:M27"/>
    <mergeCell ref="D25:E25"/>
    <mergeCell ref="F25:G25"/>
    <mergeCell ref="AT7:AT8"/>
    <mergeCell ref="AU7:AU8"/>
    <mergeCell ref="AU11:AU13"/>
    <mergeCell ref="P16:Q16"/>
    <mergeCell ref="B12:C15"/>
    <mergeCell ref="D13:E13"/>
    <mergeCell ref="W7:W8"/>
    <mergeCell ref="AB7:AC7"/>
    <mergeCell ref="AT9:AT10"/>
    <mergeCell ref="AP7:AQ7"/>
    <mergeCell ref="AD7:AE7"/>
    <mergeCell ref="AM54:AO54"/>
    <mergeCell ref="AR54:AS54"/>
    <mergeCell ref="A3:E3"/>
    <mergeCell ref="F3:G3"/>
    <mergeCell ref="I3:I6"/>
    <mergeCell ref="J3:J4"/>
    <mergeCell ref="K3:K4"/>
    <mergeCell ref="M3:Q3"/>
    <mergeCell ref="R3:S3"/>
    <mergeCell ref="U3:U6"/>
    <mergeCell ref="V3:V4"/>
    <mergeCell ref="W3:W4"/>
    <mergeCell ref="BF321:BF322"/>
    <mergeCell ref="AN322:AO322"/>
    <mergeCell ref="AG329:AH331"/>
    <mergeCell ref="AP330:AQ330"/>
    <mergeCell ref="AD329:AE329"/>
    <mergeCell ref="AS315:AS318"/>
    <mergeCell ref="AT315:AT316"/>
    <mergeCell ref="AZ324:BA324"/>
    <mergeCell ref="BB327:BC327"/>
    <mergeCell ref="AZ331:BA331"/>
    <mergeCell ref="AP207:AQ207"/>
    <mergeCell ref="BB282:BC282"/>
    <mergeCell ref="AT269:AT270"/>
    <mergeCell ref="BB280:BC280"/>
    <mergeCell ref="BB267:BC267"/>
    <mergeCell ref="AM210:AO210"/>
    <mergeCell ref="AT215:AT216"/>
    <mergeCell ref="AZ253:BA253"/>
    <mergeCell ref="AZ248:BA248"/>
    <mergeCell ref="AL255:AO255"/>
    <mergeCell ref="AZ243:BA243"/>
    <mergeCell ref="AU245:AU247"/>
    <mergeCell ref="BE281:BF283"/>
    <mergeCell ref="AR288:AS288"/>
    <mergeCell ref="AT289:AT290"/>
    <mergeCell ref="BB300:BC300"/>
    <mergeCell ref="AZ283:BA283"/>
    <mergeCell ref="AW289:BA289"/>
    <mergeCell ref="AZ292:BA292"/>
    <mergeCell ref="AP296:AQ296"/>
    <mergeCell ref="AZ294:BA294"/>
    <mergeCell ref="AP291:AQ291"/>
    <mergeCell ref="AP290:AQ290"/>
    <mergeCell ref="AU289:AU290"/>
    <mergeCell ref="AP292:AQ292"/>
    <mergeCell ref="AW293:AW307"/>
    <mergeCell ref="AN301:AO301"/>
    <mergeCell ref="AZ59:BA59"/>
    <mergeCell ref="AT291:AT292"/>
    <mergeCell ref="AZ303:BA303"/>
    <mergeCell ref="AZ301:BA301"/>
    <mergeCell ref="AS300:AT302"/>
    <mergeCell ref="AZ302:BA302"/>
    <mergeCell ref="AP305:AQ305"/>
    <mergeCell ref="AZ300:BA300"/>
    <mergeCell ref="AZ145:BA145"/>
    <mergeCell ref="AX151:BA151"/>
    <mergeCell ref="AU151:AU153"/>
    <mergeCell ref="AS154:AT156"/>
    <mergeCell ref="AU189:AU190"/>
    <mergeCell ref="AX192:AY193"/>
    <mergeCell ref="AP282:AQ282"/>
    <mergeCell ref="AP267:AQ267"/>
    <mergeCell ref="AX270:AY271"/>
    <mergeCell ref="AS144:AT146"/>
    <mergeCell ref="AT189:AT190"/>
    <mergeCell ref="AZ269:BA269"/>
    <mergeCell ref="AM236:AO236"/>
    <mergeCell ref="AS163:AS166"/>
    <mergeCell ref="AT165:AT166"/>
    <mergeCell ref="AN246:AO246"/>
    <mergeCell ref="AP237:AQ237"/>
    <mergeCell ref="AP276:AQ276"/>
    <mergeCell ref="AP229:AQ229"/>
    <mergeCell ref="AL227:AM228"/>
    <mergeCell ref="AZ147:BA147"/>
    <mergeCell ref="AU232:AU234"/>
    <mergeCell ref="AW241:AW255"/>
    <mergeCell ref="AN178:AO178"/>
    <mergeCell ref="AL276:AM278"/>
    <mergeCell ref="AU147:AU149"/>
    <mergeCell ref="AZ150:BA150"/>
    <mergeCell ref="AP154:AQ154"/>
    <mergeCell ref="AU154:AU156"/>
    <mergeCell ref="AK159:AO159"/>
    <mergeCell ref="AN202:AO202"/>
    <mergeCell ref="AM158:AO158"/>
    <mergeCell ref="AN160:AO160"/>
    <mergeCell ref="AK186:AM188"/>
    <mergeCell ref="AN186:AO186"/>
    <mergeCell ref="AZ257:BA257"/>
    <mergeCell ref="AN162:AO162"/>
    <mergeCell ref="AN161:AO161"/>
    <mergeCell ref="AN200:AO200"/>
    <mergeCell ref="AL203:AO203"/>
    <mergeCell ref="AX194:AY197"/>
    <mergeCell ref="AZ217:BA217"/>
    <mergeCell ref="AN224:AO224"/>
    <mergeCell ref="AS222:AT224"/>
    <mergeCell ref="AP222:AQ222"/>
    <mergeCell ref="AK260:AK261"/>
    <mergeCell ref="AW256:AY259"/>
    <mergeCell ref="AN165:AO165"/>
    <mergeCell ref="AZ188:BA188"/>
    <mergeCell ref="AK212:AM214"/>
    <mergeCell ref="AN212:AO212"/>
    <mergeCell ref="AT213:AT214"/>
    <mergeCell ref="AN233:AO233"/>
    <mergeCell ref="AP233:AQ233"/>
    <mergeCell ref="AZ233:BA233"/>
    <mergeCell ref="AS232:AT234"/>
    <mergeCell ref="AZ230:BA230"/>
    <mergeCell ref="AW264:AY266"/>
    <mergeCell ref="BB256:BC256"/>
    <mergeCell ref="BB188:BC188"/>
    <mergeCell ref="AZ160:BA160"/>
    <mergeCell ref="BE211:BE214"/>
    <mergeCell ref="BD210:BE210"/>
    <mergeCell ref="BF213:BF214"/>
    <mergeCell ref="BF239:BF240"/>
    <mergeCell ref="AP214:AQ214"/>
    <mergeCell ref="AZ212:BA212"/>
    <mergeCell ref="AW212:AY214"/>
    <mergeCell ref="AP211:AQ211"/>
    <mergeCell ref="AP212:AQ212"/>
    <mergeCell ref="AP213:AQ213"/>
    <mergeCell ref="AZ207:BA207"/>
    <mergeCell ref="AN167:AO167"/>
    <mergeCell ref="AZ168:BA168"/>
    <mergeCell ref="AT191:AT192"/>
    <mergeCell ref="AU191:AU192"/>
    <mergeCell ref="AR236:AS236"/>
    <mergeCell ref="AT185:AT186"/>
    <mergeCell ref="AP197:AQ197"/>
    <mergeCell ref="AP199:AQ199"/>
    <mergeCell ref="AT241:AT242"/>
    <mergeCell ref="AU255:AU257"/>
    <mergeCell ref="BE170:BF172"/>
    <mergeCell ref="BB196:BC196"/>
    <mergeCell ref="AZ200:BA200"/>
    <mergeCell ref="BE237:BE240"/>
    <mergeCell ref="BB238:BC238"/>
    <mergeCell ref="BE258:BF260"/>
    <mergeCell ref="AS255:AT257"/>
    <mergeCell ref="AN243:AO243"/>
    <mergeCell ref="AX246:AY249"/>
    <mergeCell ref="AY262:BA262"/>
    <mergeCell ref="BD262:BE262"/>
    <mergeCell ref="BB164:BC164"/>
    <mergeCell ref="BB180:BC180"/>
    <mergeCell ref="AN194:AO194"/>
    <mergeCell ref="BF189:BF190"/>
    <mergeCell ref="AN192:AO192"/>
    <mergeCell ref="AN199:AO199"/>
    <mergeCell ref="AZ239:BA239"/>
    <mergeCell ref="BE251:BF253"/>
    <mergeCell ref="AZ232:BA232"/>
    <mergeCell ref="AX220:AY223"/>
    <mergeCell ref="AZ221:BA221"/>
    <mergeCell ref="AZ231:BA231"/>
    <mergeCell ref="BF215:BF216"/>
    <mergeCell ref="BE232:BF234"/>
    <mergeCell ref="AK156:AK157"/>
    <mergeCell ref="AK160:AM162"/>
    <mergeCell ref="AP162:AQ162"/>
    <mergeCell ref="AP191:AQ191"/>
    <mergeCell ref="AN164:AO164"/>
    <mergeCell ref="AM184:AO184"/>
    <mergeCell ref="AZ187:BA187"/>
    <mergeCell ref="AP188:AQ188"/>
    <mergeCell ref="AX241:AY243"/>
    <mergeCell ref="AZ241:BA241"/>
    <mergeCell ref="AP219:AQ219"/>
    <mergeCell ref="AN232:AO232"/>
    <mergeCell ref="AK234:AK235"/>
    <mergeCell ref="AK182:AK183"/>
    <mergeCell ref="AN198:AO198"/>
    <mergeCell ref="AN188:AO188"/>
    <mergeCell ref="AL163:AM165"/>
    <mergeCell ref="AN173:AO173"/>
    <mergeCell ref="AK185:AO185"/>
    <mergeCell ref="AN176:AO176"/>
    <mergeCell ref="BB178:BC178"/>
    <mergeCell ref="AX198:AY200"/>
    <mergeCell ref="BB202:BC202"/>
    <mergeCell ref="AZ199:BA199"/>
    <mergeCell ref="AX203:BA203"/>
    <mergeCell ref="AP201:AQ201"/>
    <mergeCell ref="AP203:AQ203"/>
    <mergeCell ref="AK189:AK203"/>
    <mergeCell ref="AX229:BA229"/>
    <mergeCell ref="AZ218:BA218"/>
    <mergeCell ref="AZ220:BA220"/>
    <mergeCell ref="AX227:AY228"/>
    <mergeCell ref="AK215:AK229"/>
    <mergeCell ref="AP221:AQ221"/>
    <mergeCell ref="AW237:BA237"/>
    <mergeCell ref="AN180:AO180"/>
    <mergeCell ref="AN163:AO163"/>
    <mergeCell ref="AN206:AO206"/>
    <mergeCell ref="AP220:AQ220"/>
    <mergeCell ref="BB227:BC227"/>
    <mergeCell ref="AP202:AQ202"/>
    <mergeCell ref="AT187:AT188"/>
    <mergeCell ref="AL177:AO177"/>
    <mergeCell ref="AP200:AQ200"/>
    <mergeCell ref="AP190:AQ190"/>
    <mergeCell ref="AY210:BA210"/>
    <mergeCell ref="AS219:AT221"/>
    <mergeCell ref="AP223:AQ223"/>
    <mergeCell ref="AK208:AK209"/>
    <mergeCell ref="AK230:AM233"/>
    <mergeCell ref="BB211:BC211"/>
    <mergeCell ref="AZ213:BA213"/>
    <mergeCell ref="AW234:AW235"/>
    <mergeCell ref="BB186:BC186"/>
    <mergeCell ref="BL290:BM290"/>
    <mergeCell ref="BB294:BC294"/>
    <mergeCell ref="BB308:BC308"/>
    <mergeCell ref="BB302:BC302"/>
    <mergeCell ref="AU291:AU292"/>
    <mergeCell ref="BE151:BF153"/>
    <mergeCell ref="BI137:BI151"/>
    <mergeCell ref="BJ137:BK139"/>
    <mergeCell ref="BJ140:BK141"/>
    <mergeCell ref="BG267:BG268"/>
    <mergeCell ref="BG269:BG270"/>
    <mergeCell ref="AU295:AU296"/>
    <mergeCell ref="BL284:BM284"/>
    <mergeCell ref="AP246:AQ246"/>
    <mergeCell ref="BL271:BM271"/>
    <mergeCell ref="BL278:BM278"/>
    <mergeCell ref="BL285:BM285"/>
    <mergeCell ref="AX253:AY254"/>
    <mergeCell ref="BL274:BM274"/>
    <mergeCell ref="BJ267:BK269"/>
    <mergeCell ref="BG289:BG290"/>
    <mergeCell ref="AZ282:BA282"/>
    <mergeCell ref="BE267:BE270"/>
    <mergeCell ref="BF267:BF268"/>
    <mergeCell ref="BL279:BM279"/>
    <mergeCell ref="BB289:BC289"/>
    <mergeCell ref="BB276:BC276"/>
    <mergeCell ref="AS271:AT273"/>
    <mergeCell ref="BE263:BE266"/>
    <mergeCell ref="BB266:BC266"/>
    <mergeCell ref="AZ266:BA266"/>
    <mergeCell ref="BB264:BC264"/>
    <mergeCell ref="BG284:BG286"/>
    <mergeCell ref="BF289:BF290"/>
    <mergeCell ref="BL252:BM252"/>
    <mergeCell ref="AR158:AS158"/>
    <mergeCell ref="BL162:BM162"/>
    <mergeCell ref="BL231:BM231"/>
    <mergeCell ref="AZ214:BA214"/>
    <mergeCell ref="AP144:AQ144"/>
    <mergeCell ref="BE248:BF250"/>
    <mergeCell ref="AP265:AQ265"/>
    <mergeCell ref="BB204:BC204"/>
    <mergeCell ref="BB259:BC259"/>
    <mergeCell ref="AS159:AS162"/>
    <mergeCell ref="AT159:AT160"/>
    <mergeCell ref="AU159:AU160"/>
    <mergeCell ref="AU248:AU250"/>
    <mergeCell ref="AZ167:BA167"/>
    <mergeCell ref="AP167:AQ167"/>
    <mergeCell ref="AX172:AY174"/>
    <mergeCell ref="AR184:AS184"/>
    <mergeCell ref="AY158:BA158"/>
    <mergeCell ref="AS151:AT153"/>
    <mergeCell ref="BB213:BC213"/>
    <mergeCell ref="AW211:BA211"/>
    <mergeCell ref="AR210:AS210"/>
    <mergeCell ref="AS211:AS214"/>
    <mergeCell ref="AT211:AT212"/>
    <mergeCell ref="AZ178:BA178"/>
    <mergeCell ref="BB177:BC177"/>
    <mergeCell ref="BB168:BC168"/>
    <mergeCell ref="AP206:AQ206"/>
    <mergeCell ref="AZ259:BA259"/>
    <mergeCell ref="BW288:BY288"/>
    <mergeCell ref="BB291:BC291"/>
    <mergeCell ref="BL238:BM238"/>
    <mergeCell ref="AP232:AQ232"/>
    <mergeCell ref="BL232:BM232"/>
    <mergeCell ref="BK262:BM262"/>
    <mergeCell ref="BG263:BG264"/>
    <mergeCell ref="BP236:BQ236"/>
    <mergeCell ref="BN233:BO233"/>
    <mergeCell ref="BX233:BY233"/>
    <mergeCell ref="BN228:BO228"/>
    <mergeCell ref="BX258:BY258"/>
    <mergeCell ref="BS269:BS270"/>
    <mergeCell ref="BQ271:BR273"/>
    <mergeCell ref="BS271:BS273"/>
    <mergeCell ref="AZ290:BA290"/>
    <mergeCell ref="BW184:BY184"/>
    <mergeCell ref="AW208:AW209"/>
    <mergeCell ref="BX213:BY213"/>
    <mergeCell ref="BL176:BM176"/>
    <mergeCell ref="BX175:BY175"/>
    <mergeCell ref="BL186:BM186"/>
    <mergeCell ref="AW137:AW151"/>
    <mergeCell ref="BX204:BY204"/>
    <mergeCell ref="BB205:BC205"/>
    <mergeCell ref="AX137:AY139"/>
    <mergeCell ref="BL178:BM178"/>
    <mergeCell ref="BW236:BY236"/>
    <mergeCell ref="BB146:BC146"/>
    <mergeCell ref="BB199:BC199"/>
    <mergeCell ref="AZ205:BA205"/>
    <mergeCell ref="BL179:BM179"/>
    <mergeCell ref="BL180:BM180"/>
    <mergeCell ref="AZ174:BA174"/>
    <mergeCell ref="BB174:BC174"/>
    <mergeCell ref="AY236:BA236"/>
    <mergeCell ref="BB147:BC147"/>
    <mergeCell ref="AZ153:BA153"/>
    <mergeCell ref="BB152:BC152"/>
    <mergeCell ref="BQ203:BR205"/>
    <mergeCell ref="AT139:AT140"/>
    <mergeCell ref="AS225:AT227"/>
    <mergeCell ref="BN222:BO222"/>
    <mergeCell ref="BN154:BO154"/>
    <mergeCell ref="AU185:AU186"/>
    <mergeCell ref="BB138:BC138"/>
    <mergeCell ref="AZ139:BA139"/>
    <mergeCell ref="BB139:BC139"/>
    <mergeCell ref="AZ162:BA162"/>
    <mergeCell ref="BB148:BC148"/>
    <mergeCell ref="BG151:BG153"/>
    <mergeCell ref="BG154:BG156"/>
    <mergeCell ref="BB145:BC145"/>
    <mergeCell ref="BE154:BF156"/>
    <mergeCell ref="AZ140:BA140"/>
    <mergeCell ref="BF139:BF140"/>
    <mergeCell ref="BN185:BO185"/>
    <mergeCell ref="BQ185:BQ188"/>
    <mergeCell ref="BG144:BG146"/>
    <mergeCell ref="BE144:BF146"/>
    <mergeCell ref="BD288:BE288"/>
    <mergeCell ref="AZ206:BA206"/>
    <mergeCell ref="AZ258:BA258"/>
    <mergeCell ref="AW263:BA263"/>
    <mergeCell ref="CX303:CY303"/>
    <mergeCell ref="DJ289:DK289"/>
    <mergeCell ref="CX302:CY302"/>
    <mergeCell ref="CX311:CY311"/>
    <mergeCell ref="CX310:CY310"/>
    <mergeCell ref="DE290:DG292"/>
    <mergeCell ref="DA300:DB302"/>
    <mergeCell ref="DB295:DB296"/>
    <mergeCell ref="DF296:DG297"/>
    <mergeCell ref="DH296:DI296"/>
    <mergeCell ref="DH297:DI297"/>
    <mergeCell ref="DF298:DG301"/>
    <mergeCell ref="DC293:DC294"/>
    <mergeCell ref="DF307:DI307"/>
    <mergeCell ref="DC303:DC305"/>
    <mergeCell ref="DJ300:DK300"/>
    <mergeCell ref="DA303:DB305"/>
    <mergeCell ref="DH285:DI285"/>
    <mergeCell ref="DG288:DI288"/>
    <mergeCell ref="DT284:DU284"/>
    <mergeCell ref="DF279:DG280"/>
    <mergeCell ref="DL288:DM288"/>
    <mergeCell ref="DT292:DU292"/>
    <mergeCell ref="DH308:DI308"/>
    <mergeCell ref="DJ309:DK309"/>
    <mergeCell ref="DJ310:DK310"/>
    <mergeCell ref="DJ307:DK307"/>
    <mergeCell ref="DV279:DW279"/>
    <mergeCell ref="DT280:DU280"/>
    <mergeCell ref="DH290:DI290"/>
    <mergeCell ref="DV298:DW298"/>
    <mergeCell ref="DJ297:DK297"/>
    <mergeCell ref="DO297:DO299"/>
    <mergeCell ref="DH302:DI302"/>
    <mergeCell ref="DC291:DC292"/>
    <mergeCell ref="DJ292:DK292"/>
    <mergeCell ref="DN291:DN292"/>
    <mergeCell ref="DN289:DN290"/>
    <mergeCell ref="DJ290:DK290"/>
    <mergeCell ref="DE289:DI289"/>
    <mergeCell ref="DB291:DB292"/>
    <mergeCell ref="DC300:DC302"/>
    <mergeCell ref="DA310:DB312"/>
    <mergeCell ref="DJ284:DK284"/>
    <mergeCell ref="DC289:DC290"/>
    <mergeCell ref="DH280:DI280"/>
    <mergeCell ref="CZ288:DA288"/>
    <mergeCell ref="DT311:DU311"/>
    <mergeCell ref="DT300:DU300"/>
    <mergeCell ref="DT299:DU299"/>
    <mergeCell ref="DT293:DU293"/>
    <mergeCell ref="DQ293:DQ307"/>
    <mergeCell ref="DO284:DO286"/>
    <mergeCell ref="DJ308:DK308"/>
    <mergeCell ref="DF302:DG304"/>
    <mergeCell ref="DH299:DI299"/>
    <mergeCell ref="DH294:DI294"/>
    <mergeCell ref="DC307:DC309"/>
    <mergeCell ref="DC310:DC312"/>
    <mergeCell ref="DQ289:DU289"/>
    <mergeCell ref="DQ312:DQ313"/>
    <mergeCell ref="DJ283:DK283"/>
    <mergeCell ref="DH310:DI310"/>
    <mergeCell ref="DH298:DI298"/>
    <mergeCell ref="EA310:EA312"/>
    <mergeCell ref="DM258:DN260"/>
    <mergeCell ref="DL262:DM262"/>
    <mergeCell ref="DJ270:DK270"/>
    <mergeCell ref="DV303:DW303"/>
    <mergeCell ref="DV304:DW304"/>
    <mergeCell ref="DT310:DU310"/>
    <mergeCell ref="DT273:DU273"/>
    <mergeCell ref="DJ294:DK294"/>
    <mergeCell ref="DM310:DN312"/>
    <mergeCell ref="DO310:DO312"/>
    <mergeCell ref="DO300:DO302"/>
    <mergeCell ref="DV270:DW270"/>
    <mergeCell ref="DV266:DW266"/>
    <mergeCell ref="DV282:DW282"/>
    <mergeCell ref="DY310:DZ312"/>
    <mergeCell ref="DN267:DN268"/>
    <mergeCell ref="DT271:DU271"/>
    <mergeCell ref="DR267:DS269"/>
    <mergeCell ref="DV267:DW267"/>
    <mergeCell ref="DH284:DI284"/>
    <mergeCell ref="DS288:DU288"/>
    <mergeCell ref="DM284:DN286"/>
    <mergeCell ref="DO277:DO279"/>
    <mergeCell ref="CX284:CY284"/>
    <mergeCell ref="DC284:DC286"/>
    <mergeCell ref="DJ281:DK281"/>
    <mergeCell ref="DT301:DU301"/>
    <mergeCell ref="DT302:DU302"/>
    <mergeCell ref="DM263:DM266"/>
    <mergeCell ref="CX289:CY289"/>
    <mergeCell ref="DJ291:DK291"/>
    <mergeCell ref="DT294:DU294"/>
    <mergeCell ref="DM297:DN299"/>
    <mergeCell ref="DV311:DW311"/>
    <mergeCell ref="DJ296:DK296"/>
    <mergeCell ref="DT258:DU258"/>
    <mergeCell ref="CX291:CY291"/>
    <mergeCell ref="DH291:DI291"/>
    <mergeCell ref="CX299:CY299"/>
    <mergeCell ref="DH303:DI303"/>
    <mergeCell ref="DJ302:DK302"/>
    <mergeCell ref="DJ305:DK305"/>
    <mergeCell ref="DA289:DA292"/>
    <mergeCell ref="DJ303:DK303"/>
    <mergeCell ref="DA293:DA296"/>
    <mergeCell ref="DM307:DN309"/>
    <mergeCell ref="DA297:DB299"/>
    <mergeCell ref="DF293:DG295"/>
    <mergeCell ref="DH293:DI293"/>
    <mergeCell ref="DM300:DN302"/>
    <mergeCell ref="DR298:DS301"/>
    <mergeCell ref="DA307:DB309"/>
    <mergeCell ref="CX305:CY305"/>
    <mergeCell ref="CX297:CY297"/>
    <mergeCell ref="DH306:DI306"/>
    <mergeCell ref="CX300:CY300"/>
    <mergeCell ref="CX306:CY306"/>
    <mergeCell ref="CX295:CY295"/>
    <mergeCell ref="CX307:CY307"/>
    <mergeCell ref="CX308:CY308"/>
    <mergeCell ref="CX301:CY301"/>
    <mergeCell ref="DM303:DN305"/>
    <mergeCell ref="DJ306:DK306"/>
    <mergeCell ref="CX290:CY290"/>
    <mergeCell ref="DH292:DI292"/>
    <mergeCell ref="DO289:DO290"/>
    <mergeCell ref="DB289:DB290"/>
    <mergeCell ref="DT308:DU308"/>
    <mergeCell ref="DC295:DC296"/>
    <mergeCell ref="DN293:DN294"/>
    <mergeCell ref="DO293:DO294"/>
    <mergeCell ref="DQ256:DS259"/>
    <mergeCell ref="DV285:DW285"/>
    <mergeCell ref="DV284:DW284"/>
    <mergeCell ref="DO267:DO268"/>
    <mergeCell ref="DM271:DN273"/>
    <mergeCell ref="DV272:DW272"/>
    <mergeCell ref="DJ273:DK273"/>
    <mergeCell ref="DT266:DU266"/>
    <mergeCell ref="DH295:DI295"/>
    <mergeCell ref="DH304:DI304"/>
    <mergeCell ref="DQ282:DS285"/>
    <mergeCell ref="DV242:DW242"/>
    <mergeCell ref="DZ243:DZ244"/>
    <mergeCell ref="EA293:EA294"/>
    <mergeCell ref="EA295:EA296"/>
    <mergeCell ref="EA307:EA309"/>
    <mergeCell ref="EA303:EA305"/>
    <mergeCell ref="DT268:DU268"/>
    <mergeCell ref="DT264:DU264"/>
    <mergeCell ref="DV268:DW268"/>
    <mergeCell ref="DT269:DU269"/>
    <mergeCell ref="DV264:DW264"/>
    <mergeCell ref="DY271:DZ273"/>
    <mergeCell ref="DT303:DU303"/>
    <mergeCell ref="DV246:DW246"/>
    <mergeCell ref="DY307:DZ309"/>
    <mergeCell ref="DX288:DY288"/>
    <mergeCell ref="DV291:DW291"/>
    <mergeCell ref="DJ274:DK274"/>
    <mergeCell ref="DQ290:DS292"/>
    <mergeCell ref="DO291:DO292"/>
    <mergeCell ref="DT291:DU291"/>
    <mergeCell ref="DJ293:DK293"/>
    <mergeCell ref="DJ285:DK285"/>
    <mergeCell ref="DV292:DW292"/>
    <mergeCell ref="DV299:DW299"/>
    <mergeCell ref="DV290:DW290"/>
    <mergeCell ref="DV308:DW308"/>
    <mergeCell ref="DQ286:DQ287"/>
    <mergeCell ref="DM289:DM292"/>
    <mergeCell ref="DO307:DO309"/>
    <mergeCell ref="DV307:DW307"/>
    <mergeCell ref="DY303:DZ305"/>
    <mergeCell ref="DY300:DZ302"/>
    <mergeCell ref="DV300:DW300"/>
    <mergeCell ref="CX298:CY298"/>
    <mergeCell ref="CX309:CY309"/>
    <mergeCell ref="CX304:CY304"/>
    <mergeCell ref="CX294:CY294"/>
    <mergeCell ref="DJ295:DK295"/>
    <mergeCell ref="DJ298:DK298"/>
    <mergeCell ref="DJ299:DK299"/>
    <mergeCell ref="DH309:DI309"/>
    <mergeCell ref="DN295:DN296"/>
    <mergeCell ref="DO295:DO296"/>
    <mergeCell ref="CX292:CY292"/>
    <mergeCell ref="DS210:DU210"/>
    <mergeCell ref="DV241:DW241"/>
    <mergeCell ref="DT296:DU296"/>
    <mergeCell ref="EA289:EA290"/>
    <mergeCell ref="DV283:DW283"/>
    <mergeCell ref="DV244:DW244"/>
    <mergeCell ref="DT242:DU242"/>
    <mergeCell ref="DT243:DU243"/>
    <mergeCell ref="DV248:DW248"/>
    <mergeCell ref="DT252:DU252"/>
    <mergeCell ref="DT251:DU251"/>
    <mergeCell ref="DR253:DS254"/>
    <mergeCell ref="DT253:DU253"/>
    <mergeCell ref="DT254:DU254"/>
    <mergeCell ref="DT249:DU249"/>
    <mergeCell ref="DV251:DW251"/>
    <mergeCell ref="EA243:EA244"/>
    <mergeCell ref="EA274:EA276"/>
    <mergeCell ref="DY277:DZ279"/>
    <mergeCell ref="DT278:DU278"/>
    <mergeCell ref="DT304:DU304"/>
    <mergeCell ref="DV305:DW305"/>
    <mergeCell ref="DQ260:DQ261"/>
    <mergeCell ref="DT283:DU283"/>
    <mergeCell ref="DY284:DZ286"/>
    <mergeCell ref="DV257:DW257"/>
    <mergeCell ref="DY258:DZ260"/>
    <mergeCell ref="EA258:EA260"/>
    <mergeCell ref="DV306:DW306"/>
    <mergeCell ref="DV302:DW302"/>
    <mergeCell ref="EA300:EA302"/>
    <mergeCell ref="DV249:DW249"/>
    <mergeCell ref="DY255:DZ257"/>
    <mergeCell ref="DV256:DW256"/>
    <mergeCell ref="DR255:DU255"/>
    <mergeCell ref="EA277:EA279"/>
    <mergeCell ref="DY274:DZ276"/>
    <mergeCell ref="DV274:DW274"/>
    <mergeCell ref="DT267:DU267"/>
    <mergeCell ref="DR296:DS297"/>
    <mergeCell ref="EA284:EA286"/>
    <mergeCell ref="DR305:DS306"/>
    <mergeCell ref="DR276:DS278"/>
    <mergeCell ref="EA281:EA283"/>
    <mergeCell ref="EA291:EA292"/>
    <mergeCell ref="DY289:DY292"/>
    <mergeCell ref="DR281:DU281"/>
    <mergeCell ref="DV289:DW289"/>
    <mergeCell ref="DT298:DU298"/>
    <mergeCell ref="DY293:DY296"/>
    <mergeCell ref="DY297:DZ299"/>
    <mergeCell ref="DV275:DW275"/>
    <mergeCell ref="DT285:DU285"/>
    <mergeCell ref="DV301:DW301"/>
    <mergeCell ref="DV296:DW296"/>
    <mergeCell ref="DY263:DY266"/>
    <mergeCell ref="DR270:DS271"/>
    <mergeCell ref="DV269:DW269"/>
    <mergeCell ref="DZ295:DZ296"/>
    <mergeCell ref="DZ289:DZ290"/>
    <mergeCell ref="DT295:DU295"/>
    <mergeCell ref="DV293:DW293"/>
    <mergeCell ref="DQ264:DS266"/>
    <mergeCell ref="EA269:EA270"/>
    <mergeCell ref="DY281:DZ283"/>
    <mergeCell ref="EA297:EA299"/>
    <mergeCell ref="DV295:DW295"/>
    <mergeCell ref="DT222:DU222"/>
    <mergeCell ref="DZ211:DZ212"/>
    <mergeCell ref="EA211:EA212"/>
    <mergeCell ref="DR220:DS223"/>
    <mergeCell ref="DR229:DU229"/>
    <mergeCell ref="DV228:DW228"/>
    <mergeCell ref="DQ230:DS233"/>
    <mergeCell ref="DQ234:DQ235"/>
    <mergeCell ref="DT241:DU241"/>
    <mergeCell ref="DV243:DW243"/>
    <mergeCell ref="DY225:DZ227"/>
    <mergeCell ref="DT227:DU227"/>
    <mergeCell ref="DR241:DS243"/>
    <mergeCell ref="DY229:DZ231"/>
    <mergeCell ref="EA229:EA231"/>
    <mergeCell ref="DX262:DY262"/>
    <mergeCell ref="DV252:DW252"/>
    <mergeCell ref="DT250:DU250"/>
    <mergeCell ref="DT257:DU257"/>
    <mergeCell ref="DV229:DW229"/>
    <mergeCell ref="DT199:DU199"/>
    <mergeCell ref="DS236:DU236"/>
    <mergeCell ref="DV247:DW247"/>
    <mergeCell ref="EA251:EA253"/>
    <mergeCell ref="DV250:DW250"/>
    <mergeCell ref="DZ291:DZ292"/>
    <mergeCell ref="DT297:DU297"/>
    <mergeCell ref="DV278:DW278"/>
    <mergeCell ref="DV281:DW281"/>
    <mergeCell ref="DY251:DZ253"/>
    <mergeCell ref="DS262:DU262"/>
    <mergeCell ref="EA271:EA273"/>
    <mergeCell ref="DY267:DY270"/>
    <mergeCell ref="EA267:EA268"/>
    <mergeCell ref="DZ269:DZ270"/>
    <mergeCell ref="EA241:EA242"/>
    <mergeCell ref="DT256:DU256"/>
    <mergeCell ref="DT226:DU226"/>
    <mergeCell ref="DT231:DU231"/>
    <mergeCell ref="DY248:DZ250"/>
    <mergeCell ref="DZ293:DZ294"/>
    <mergeCell ref="DT244:DU244"/>
    <mergeCell ref="DT247:DU247"/>
    <mergeCell ref="DT282:DU282"/>
    <mergeCell ref="DZ241:DZ242"/>
    <mergeCell ref="DY241:DY244"/>
    <mergeCell ref="DY232:DZ234"/>
    <mergeCell ref="DV230:DW230"/>
    <mergeCell ref="DV231:DW231"/>
    <mergeCell ref="DR250:DS252"/>
    <mergeCell ref="DZ265:DZ266"/>
    <mergeCell ref="DV222:DW222"/>
    <mergeCell ref="DV224:DW224"/>
    <mergeCell ref="DV259:DW259"/>
    <mergeCell ref="DV258:DW258"/>
    <mergeCell ref="EA255:EA257"/>
    <mergeCell ref="EA263:EA264"/>
    <mergeCell ref="DQ241:DQ255"/>
    <mergeCell ref="DV239:DW239"/>
    <mergeCell ref="DZ237:DZ238"/>
    <mergeCell ref="DT239:DU239"/>
    <mergeCell ref="DV114:DW114"/>
    <mergeCell ref="DT124:DU124"/>
    <mergeCell ref="DY121:DZ123"/>
    <mergeCell ref="EA121:EA123"/>
    <mergeCell ref="DZ187:DZ188"/>
    <mergeCell ref="DV181:DW181"/>
    <mergeCell ref="DV180:DW180"/>
    <mergeCell ref="EA151:EA153"/>
    <mergeCell ref="DV164:DW164"/>
    <mergeCell ref="DT165:DU165"/>
    <mergeCell ref="DV163:DW163"/>
    <mergeCell ref="DV199:DW199"/>
    <mergeCell ref="DV173:DW173"/>
    <mergeCell ref="DT153:DU153"/>
    <mergeCell ref="EA167:EA169"/>
    <mergeCell ref="DY163:DY166"/>
    <mergeCell ref="DT164:DU164"/>
    <mergeCell ref="DT220:DU220"/>
    <mergeCell ref="DY206:DZ208"/>
    <mergeCell ref="DT207:DU207"/>
    <mergeCell ref="DT219:DU219"/>
    <mergeCell ref="DV159:DW159"/>
    <mergeCell ref="DT160:DU160"/>
    <mergeCell ref="DR218:DS219"/>
    <mergeCell ref="DT218:DU218"/>
    <mergeCell ref="DR215:DS217"/>
    <mergeCell ref="DV166:DW166"/>
    <mergeCell ref="DV165:DW165"/>
    <mergeCell ref="DX158:DY158"/>
    <mergeCell ref="DV172:DW172"/>
    <mergeCell ref="EA165:EA166"/>
    <mergeCell ref="DY180:DZ182"/>
    <mergeCell ref="DZ185:DZ186"/>
    <mergeCell ref="EA185:EA186"/>
    <mergeCell ref="DV207:DW207"/>
    <mergeCell ref="DV206:DW206"/>
    <mergeCell ref="DV200:DW200"/>
    <mergeCell ref="DT188:DU188"/>
    <mergeCell ref="DY199:DZ201"/>
    <mergeCell ref="DY219:DZ221"/>
    <mergeCell ref="DV218:DW218"/>
    <mergeCell ref="DZ217:DZ218"/>
    <mergeCell ref="DX210:DY210"/>
    <mergeCell ref="DY211:DY214"/>
    <mergeCell ref="EA213:EA214"/>
    <mergeCell ref="DZ215:DZ216"/>
    <mergeCell ref="DY159:DY162"/>
    <mergeCell ref="DT192:DU192"/>
    <mergeCell ref="DV190:DW190"/>
    <mergeCell ref="DV201:DW201"/>
    <mergeCell ref="DV153:DW153"/>
    <mergeCell ref="EA196:EA198"/>
    <mergeCell ref="DT154:DU154"/>
    <mergeCell ref="DV205:DW205"/>
    <mergeCell ref="DV216:DW216"/>
    <mergeCell ref="DV212:DW212"/>
    <mergeCell ref="EA115:EA117"/>
    <mergeCell ref="DV116:DW116"/>
    <mergeCell ref="DV118:DW118"/>
    <mergeCell ref="DT189:DU189"/>
    <mergeCell ref="DV203:DW203"/>
    <mergeCell ref="DV193:DW193"/>
    <mergeCell ref="DY193:DZ195"/>
    <mergeCell ref="DZ165:DZ166"/>
    <mergeCell ref="DV255:DW255"/>
    <mergeCell ref="DT171:DU171"/>
    <mergeCell ref="DS158:DU158"/>
    <mergeCell ref="DQ156:DQ157"/>
    <mergeCell ref="DR189:DS191"/>
    <mergeCell ref="DR203:DU203"/>
    <mergeCell ref="DV192:DW192"/>
    <mergeCell ref="DT197:DU197"/>
    <mergeCell ref="DT155:DU155"/>
    <mergeCell ref="DY154:DZ156"/>
    <mergeCell ref="DT175:DU175"/>
    <mergeCell ref="DV161:DW161"/>
    <mergeCell ref="DT176:DU176"/>
    <mergeCell ref="DV174:DW174"/>
    <mergeCell ref="DQ186:DS188"/>
    <mergeCell ref="DV160:DW160"/>
    <mergeCell ref="DT162:DU162"/>
    <mergeCell ref="DT161:DU161"/>
    <mergeCell ref="EA203:EA205"/>
    <mergeCell ref="DT200:DU200"/>
    <mergeCell ref="DZ161:DZ162"/>
    <mergeCell ref="DQ152:DS155"/>
    <mergeCell ref="DQ208:DQ209"/>
    <mergeCell ref="DQ189:DQ203"/>
    <mergeCell ref="DQ159:DU159"/>
    <mergeCell ref="DV219:DW219"/>
    <mergeCell ref="DV191:DW191"/>
    <mergeCell ref="DZ213:DZ214"/>
    <mergeCell ref="DT213:DU213"/>
    <mergeCell ref="DV213:DW213"/>
    <mergeCell ref="DQ204:DS207"/>
    <mergeCell ref="DT205:DU205"/>
    <mergeCell ref="DT201:DU201"/>
    <mergeCell ref="DT202:DU202"/>
    <mergeCell ref="DY170:DZ172"/>
    <mergeCell ref="DV198:DW198"/>
    <mergeCell ref="EA217:EA218"/>
    <mergeCell ref="DT216:DU216"/>
    <mergeCell ref="EA206:EA208"/>
    <mergeCell ref="DV195:DW195"/>
    <mergeCell ref="DT152:DU152"/>
    <mergeCell ref="DY173:DZ175"/>
    <mergeCell ref="DT193:DU193"/>
    <mergeCell ref="DT187:DU187"/>
    <mergeCell ref="DZ239:DZ240"/>
    <mergeCell ref="DT178:DU178"/>
    <mergeCell ref="DV162:DW162"/>
    <mergeCell ref="DQ212:DS214"/>
    <mergeCell ref="DV215:DW215"/>
    <mergeCell ref="DR166:DS167"/>
    <mergeCell ref="DR194:DS197"/>
    <mergeCell ref="DZ189:DZ190"/>
    <mergeCell ref="EA239:EA240"/>
    <mergeCell ref="EA189:EA190"/>
    <mergeCell ref="DT212:DU212"/>
    <mergeCell ref="DV223:DW223"/>
    <mergeCell ref="DT206:DU206"/>
    <mergeCell ref="DV194:DW194"/>
    <mergeCell ref="DV196:DW196"/>
    <mergeCell ref="DV197:DW197"/>
    <mergeCell ref="DT195:DU195"/>
    <mergeCell ref="DY189:DY192"/>
    <mergeCell ref="DY196:DZ198"/>
    <mergeCell ref="DR192:DS193"/>
    <mergeCell ref="DV202:DW202"/>
    <mergeCell ref="DV189:DW189"/>
    <mergeCell ref="EA187:EA188"/>
    <mergeCell ref="DT194:DU194"/>
    <mergeCell ref="DV204:DW204"/>
    <mergeCell ref="DT196:DU196"/>
    <mergeCell ref="DT198:DU198"/>
    <mergeCell ref="EA154:EA156"/>
    <mergeCell ref="DY203:DZ205"/>
    <mergeCell ref="DX184:DY184"/>
    <mergeCell ref="EA161:EA162"/>
    <mergeCell ref="DZ159:DZ160"/>
    <mergeCell ref="EA159:EA160"/>
    <mergeCell ref="DQ160:DS162"/>
    <mergeCell ref="EA199:EA201"/>
    <mergeCell ref="DV168:DW168"/>
    <mergeCell ref="EA177:EA179"/>
    <mergeCell ref="EA173:EA175"/>
    <mergeCell ref="DT172:DU172"/>
    <mergeCell ref="DV178:DW178"/>
    <mergeCell ref="DV179:DW179"/>
    <mergeCell ref="EA163:EA164"/>
    <mergeCell ref="DT167:DU167"/>
    <mergeCell ref="DT190:DU190"/>
    <mergeCell ref="DT191:DU191"/>
    <mergeCell ref="DR201:DS202"/>
    <mergeCell ref="DR198:DS200"/>
    <mergeCell ref="DT134:DU134"/>
    <mergeCell ref="DV134:DW134"/>
    <mergeCell ref="DQ137:DQ151"/>
    <mergeCell ref="DT148:DU148"/>
    <mergeCell ref="DV175:DW175"/>
    <mergeCell ref="DZ191:DZ192"/>
    <mergeCell ref="EA191:EA192"/>
    <mergeCell ref="DT204:DU204"/>
    <mergeCell ref="DR142:DS145"/>
    <mergeCell ref="DT166:DU166"/>
    <mergeCell ref="DV187:DW187"/>
    <mergeCell ref="EA170:EA172"/>
    <mergeCell ref="DY185:DY188"/>
    <mergeCell ref="DT186:DU186"/>
    <mergeCell ref="DV186:DW186"/>
    <mergeCell ref="DQ163:DQ177"/>
    <mergeCell ref="DR163:DS165"/>
    <mergeCell ref="DV188:DW188"/>
    <mergeCell ref="DQ185:DU185"/>
    <mergeCell ref="DV185:DW185"/>
    <mergeCell ref="DS184:DU184"/>
    <mergeCell ref="DZ163:DZ164"/>
    <mergeCell ref="DT181:DU181"/>
    <mergeCell ref="DY167:DZ169"/>
    <mergeCell ref="DQ182:DQ183"/>
    <mergeCell ref="DV211:DW211"/>
    <mergeCell ref="DQ211:DU211"/>
    <mergeCell ref="EA193:EA195"/>
    <mergeCell ref="DV232:DW232"/>
    <mergeCell ref="DQ237:DU237"/>
    <mergeCell ref="DV227:DW227"/>
    <mergeCell ref="EA237:EA238"/>
    <mergeCell ref="DT245:DU245"/>
    <mergeCell ref="DV214:DW214"/>
    <mergeCell ref="DY215:DY218"/>
    <mergeCell ref="DT214:DU214"/>
    <mergeCell ref="DT223:DU223"/>
    <mergeCell ref="DV225:DW225"/>
    <mergeCell ref="DV221:DW221"/>
    <mergeCell ref="DR246:DS249"/>
    <mergeCell ref="DX236:DY236"/>
    <mergeCell ref="EA245:EA247"/>
    <mergeCell ref="DT221:DU221"/>
    <mergeCell ref="DT233:DU233"/>
    <mergeCell ref="DV297:DW297"/>
    <mergeCell ref="DT230:DU230"/>
    <mergeCell ref="DR224:DS226"/>
    <mergeCell ref="DT277:DU277"/>
    <mergeCell ref="DT305:DU305"/>
    <mergeCell ref="DT306:DU306"/>
    <mergeCell ref="DV271:DW271"/>
    <mergeCell ref="DT272:DU272"/>
    <mergeCell ref="DV254:DW254"/>
    <mergeCell ref="EA219:EA221"/>
    <mergeCell ref="DV220:DW220"/>
    <mergeCell ref="DT215:DU215"/>
    <mergeCell ref="DT224:DU224"/>
    <mergeCell ref="EA248:EA250"/>
    <mergeCell ref="EA225:EA227"/>
    <mergeCell ref="DV237:DW237"/>
    <mergeCell ref="DY237:DY240"/>
    <mergeCell ref="DQ238:DS240"/>
    <mergeCell ref="DT238:DU238"/>
    <mergeCell ref="DV238:DW238"/>
    <mergeCell ref="DT225:DU225"/>
    <mergeCell ref="DV226:DW226"/>
    <mergeCell ref="DY222:DZ224"/>
    <mergeCell ref="DT248:DU248"/>
    <mergeCell ref="DR227:DS228"/>
    <mergeCell ref="DT228:DU228"/>
    <mergeCell ref="EA222:EA224"/>
    <mergeCell ref="DT217:DU217"/>
    <mergeCell ref="EA232:EA234"/>
    <mergeCell ref="DT246:DU246"/>
    <mergeCell ref="DZ267:DZ268"/>
    <mergeCell ref="DY245:DZ247"/>
    <mergeCell ref="DV245:DW245"/>
    <mergeCell ref="DQ215:DQ229"/>
    <mergeCell ref="DV217:DW217"/>
    <mergeCell ref="DV233:DW233"/>
    <mergeCell ref="EA265:EA266"/>
    <mergeCell ref="DR293:DS295"/>
    <mergeCell ref="DV276:DW276"/>
    <mergeCell ref="DV277:DW277"/>
    <mergeCell ref="DV280:DW280"/>
    <mergeCell ref="DT270:DU270"/>
    <mergeCell ref="DT259:DU259"/>
    <mergeCell ref="DT290:DU290"/>
    <mergeCell ref="DV253:DW253"/>
    <mergeCell ref="EA315:EA316"/>
    <mergeCell ref="DR333:DU333"/>
    <mergeCell ref="DY333:DZ335"/>
    <mergeCell ref="DV330:DW330"/>
    <mergeCell ref="DZ317:DZ318"/>
    <mergeCell ref="DV322:DW322"/>
    <mergeCell ref="DT329:DU329"/>
    <mergeCell ref="DV331:DW331"/>
    <mergeCell ref="EA323:EA325"/>
    <mergeCell ref="DY326:DZ328"/>
    <mergeCell ref="DY323:DZ325"/>
    <mergeCell ref="DV319:DW319"/>
    <mergeCell ref="DV326:DW326"/>
    <mergeCell ref="DZ319:DZ320"/>
    <mergeCell ref="EA321:EA322"/>
    <mergeCell ref="DT321:DU321"/>
    <mergeCell ref="EA333:EA335"/>
    <mergeCell ref="DZ321:DZ322"/>
    <mergeCell ref="DY319:DY322"/>
    <mergeCell ref="DT324:DU324"/>
    <mergeCell ref="DV336:DW336"/>
    <mergeCell ref="EA336:EA338"/>
    <mergeCell ref="DQ338:DQ339"/>
    <mergeCell ref="DV333:DW333"/>
    <mergeCell ref="DY336:DZ338"/>
    <mergeCell ref="DV335:DW335"/>
    <mergeCell ref="DV329:DW329"/>
    <mergeCell ref="DT316:DU316"/>
    <mergeCell ref="DV327:DW327"/>
    <mergeCell ref="DV324:DW324"/>
    <mergeCell ref="EA329:EA331"/>
    <mergeCell ref="DT318:DU318"/>
    <mergeCell ref="DX314:DY314"/>
    <mergeCell ref="DZ315:DZ316"/>
    <mergeCell ref="DT330:DU330"/>
    <mergeCell ref="DQ316:DS318"/>
    <mergeCell ref="DQ315:DU315"/>
    <mergeCell ref="EA326:EA328"/>
    <mergeCell ref="DV325:DW325"/>
    <mergeCell ref="DV318:DW318"/>
    <mergeCell ref="DT317:DU317"/>
    <mergeCell ref="EA317:EA318"/>
    <mergeCell ref="DY315:DY318"/>
    <mergeCell ref="DV315:DW315"/>
    <mergeCell ref="DV316:DW316"/>
    <mergeCell ref="DV317:DW317"/>
    <mergeCell ref="DT334:DU334"/>
    <mergeCell ref="DR322:DS323"/>
    <mergeCell ref="DR328:DS330"/>
    <mergeCell ref="DT335:DU335"/>
    <mergeCell ref="DQ334:DS337"/>
    <mergeCell ref="DV334:DW334"/>
    <mergeCell ref="DV320:DW320"/>
    <mergeCell ref="DV321:DW321"/>
    <mergeCell ref="EE210:EG210"/>
    <mergeCell ref="ED276:EE278"/>
    <mergeCell ref="EF276:EG276"/>
    <mergeCell ref="EF277:EG277"/>
    <mergeCell ref="EF278:EG278"/>
    <mergeCell ref="EK289:EK292"/>
    <mergeCell ref="EH238:EI238"/>
    <mergeCell ref="EF238:EG238"/>
    <mergeCell ref="EC238:EE240"/>
    <mergeCell ref="EH237:EI237"/>
    <mergeCell ref="EF252:EG252"/>
    <mergeCell ref="EF254:EG254"/>
    <mergeCell ref="ED279:EE280"/>
    <mergeCell ref="EF267:EG267"/>
    <mergeCell ref="EF212:EG212"/>
    <mergeCell ref="EH212:EI212"/>
    <mergeCell ref="EC260:EC261"/>
    <mergeCell ref="EC237:EG237"/>
    <mergeCell ref="EH246:EI246"/>
    <mergeCell ref="EF227:EG227"/>
    <mergeCell ref="EL289:EL290"/>
    <mergeCell ref="EH218:EI218"/>
    <mergeCell ref="EH219:EI219"/>
    <mergeCell ref="EC234:EC235"/>
    <mergeCell ref="EF258:EG258"/>
    <mergeCell ref="EH242:EI242"/>
    <mergeCell ref="EH243:EI243"/>
    <mergeCell ref="EF213:EG213"/>
    <mergeCell ref="EF225:EG225"/>
    <mergeCell ref="EL243:EL244"/>
    <mergeCell ref="EF256:EG256"/>
    <mergeCell ref="EL213:EL214"/>
    <mergeCell ref="EL215:EL216"/>
    <mergeCell ref="EF228:EG228"/>
    <mergeCell ref="EH228:EI228"/>
    <mergeCell ref="EL217:EL218"/>
    <mergeCell ref="EC286:EC287"/>
    <mergeCell ref="EE236:EG236"/>
    <mergeCell ref="EC256:EE259"/>
    <mergeCell ref="EF283:EG283"/>
    <mergeCell ref="EC282:EE285"/>
    <mergeCell ref="EH229:EI229"/>
    <mergeCell ref="ED227:EE228"/>
    <mergeCell ref="EF253:EG253"/>
    <mergeCell ref="EF268:EG268"/>
    <mergeCell ref="EF280:EG280"/>
    <mergeCell ref="EF273:EG273"/>
    <mergeCell ref="ED267:EE269"/>
    <mergeCell ref="EC267:EC281"/>
    <mergeCell ref="EF231:EG231"/>
    <mergeCell ref="EK229:EL231"/>
    <mergeCell ref="EH285:EI285"/>
    <mergeCell ref="EK245:EL247"/>
    <mergeCell ref="EF232:EG232"/>
    <mergeCell ref="EF270:EG270"/>
    <mergeCell ref="EH277:EI277"/>
    <mergeCell ref="EK277:EL279"/>
    <mergeCell ref="EC264:EE266"/>
    <mergeCell ref="EF264:EG264"/>
    <mergeCell ref="EH254:EI254"/>
    <mergeCell ref="ED281:EG281"/>
    <mergeCell ref="EH265:EI265"/>
    <mergeCell ref="EF265:EG265"/>
    <mergeCell ref="EF275:EG275"/>
    <mergeCell ref="EM241:EM242"/>
    <mergeCell ref="EM243:EM244"/>
    <mergeCell ref="EM213:EM214"/>
    <mergeCell ref="EM215:EM216"/>
    <mergeCell ref="EM265:EM266"/>
    <mergeCell ref="EC211:EG211"/>
    <mergeCell ref="EH211:EI211"/>
    <mergeCell ref="EH253:EI253"/>
    <mergeCell ref="EH257:EI257"/>
    <mergeCell ref="EC212:EE214"/>
    <mergeCell ref="EF219:EG219"/>
    <mergeCell ref="EH223:EI223"/>
    <mergeCell ref="EH224:EI224"/>
    <mergeCell ref="EL265:EL266"/>
    <mergeCell ref="ED272:EE275"/>
    <mergeCell ref="EF282:EG282"/>
    <mergeCell ref="ED220:EE223"/>
    <mergeCell ref="ED270:EE271"/>
    <mergeCell ref="EF271:EG271"/>
    <mergeCell ref="EF285:EG285"/>
    <mergeCell ref="EC293:EC307"/>
    <mergeCell ref="ED293:EE295"/>
    <mergeCell ref="ED305:EE306"/>
    <mergeCell ref="EC308:EE311"/>
    <mergeCell ref="EJ288:EK288"/>
    <mergeCell ref="EE262:EG262"/>
    <mergeCell ref="EF257:EG257"/>
    <mergeCell ref="EH249:EI249"/>
    <mergeCell ref="ED246:EE249"/>
    <mergeCell ref="EE288:EG288"/>
    <mergeCell ref="EK241:EK244"/>
    <mergeCell ref="ED229:EG229"/>
    <mergeCell ref="EC230:EE233"/>
    <mergeCell ref="EF284:EG284"/>
    <mergeCell ref="EF293:EG293"/>
    <mergeCell ref="EF294:EG294"/>
    <mergeCell ref="EF295:EG295"/>
    <mergeCell ref="EF279:EG279"/>
    <mergeCell ref="EH279:EI279"/>
    <mergeCell ref="EH214:EI214"/>
    <mergeCell ref="EM277:EM279"/>
    <mergeCell ref="EM217:EM218"/>
    <mergeCell ref="EM237:EM238"/>
    <mergeCell ref="EH222:EI222"/>
    <mergeCell ref="EF220:EG220"/>
    <mergeCell ref="EF221:EG221"/>
    <mergeCell ref="ED218:EE219"/>
    <mergeCell ref="ED302:EE304"/>
    <mergeCell ref="EC263:EG263"/>
    <mergeCell ref="EH263:EI263"/>
    <mergeCell ref="EF308:EG308"/>
    <mergeCell ref="EH300:EI300"/>
    <mergeCell ref="EF274:EG274"/>
    <mergeCell ref="EF303:EG303"/>
    <mergeCell ref="EF304:EG304"/>
    <mergeCell ref="EF269:EG269"/>
    <mergeCell ref="EF272:EG272"/>
    <mergeCell ref="EH230:EI230"/>
    <mergeCell ref="EL237:EL238"/>
    <mergeCell ref="EM274:EM276"/>
    <mergeCell ref="EM269:EM270"/>
    <mergeCell ref="ED333:EG333"/>
    <mergeCell ref="EH333:EI333"/>
    <mergeCell ref="EH323:EI323"/>
    <mergeCell ref="EF323:EG323"/>
    <mergeCell ref="EF321:EG321"/>
    <mergeCell ref="EH319:EI319"/>
    <mergeCell ref="EF319:EG319"/>
    <mergeCell ref="EK319:EK322"/>
    <mergeCell ref="EH321:EI321"/>
    <mergeCell ref="EF334:EG334"/>
    <mergeCell ref="EK336:EL338"/>
    <mergeCell ref="EH320:EI320"/>
    <mergeCell ref="EH324:EI324"/>
    <mergeCell ref="EF328:EG328"/>
    <mergeCell ref="ED322:EE323"/>
    <mergeCell ref="EF332:EG332"/>
    <mergeCell ref="EF320:EG320"/>
    <mergeCell ref="EF324:EG324"/>
    <mergeCell ref="EF325:EG325"/>
    <mergeCell ref="DT322:DU322"/>
    <mergeCell ref="EA319:EA320"/>
    <mergeCell ref="AZ326:BA326"/>
    <mergeCell ref="AZ322:BA322"/>
    <mergeCell ref="AX322:AY323"/>
    <mergeCell ref="AP323:AQ323"/>
    <mergeCell ref="AS323:AT325"/>
    <mergeCell ref="AP326:AQ326"/>
    <mergeCell ref="AS319:AS322"/>
    <mergeCell ref="AS326:AT328"/>
    <mergeCell ref="AU329:AU331"/>
    <mergeCell ref="AR314:AS314"/>
    <mergeCell ref="BZ318:CA318"/>
    <mergeCell ref="BP314:BQ314"/>
    <mergeCell ref="BX318:BY318"/>
    <mergeCell ref="BN318:BO318"/>
    <mergeCell ref="CE326:CE328"/>
    <mergeCell ref="DC319:DC320"/>
    <mergeCell ref="DC321:DC322"/>
    <mergeCell ref="BN319:BO319"/>
    <mergeCell ref="BL319:BM319"/>
    <mergeCell ref="CJ316:CK316"/>
    <mergeCell ref="CX316:CY316"/>
    <mergeCell ref="CX318:CY318"/>
    <mergeCell ref="CL325:CM325"/>
    <mergeCell ref="CL322:CM322"/>
    <mergeCell ref="CT324:CU327"/>
    <mergeCell ref="BU315:BY315"/>
    <mergeCell ref="CJ318:CK318"/>
    <mergeCell ref="CO326:CP328"/>
    <mergeCell ref="BV319:BW321"/>
    <mergeCell ref="BR321:BR322"/>
    <mergeCell ref="BS321:BS322"/>
    <mergeCell ref="DB317:DB318"/>
    <mergeCell ref="BN327:BO327"/>
    <mergeCell ref="CX329:CY329"/>
    <mergeCell ref="BZ323:CA323"/>
    <mergeCell ref="CV320:CW320"/>
    <mergeCell ref="DR331:DS332"/>
    <mergeCell ref="DH323:DI323"/>
    <mergeCell ref="CX330:CY330"/>
    <mergeCell ref="CT331:CU332"/>
    <mergeCell ref="BD314:BE314"/>
    <mergeCell ref="DR324:DS327"/>
    <mergeCell ref="CO336:CP338"/>
    <mergeCell ref="AI14:AI16"/>
    <mergeCell ref="Z16:AA18"/>
    <mergeCell ref="AG17:AH19"/>
    <mergeCell ref="AI17:AI19"/>
    <mergeCell ref="Z19:AA20"/>
    <mergeCell ref="Z21:AC21"/>
    <mergeCell ref="AG21:AH23"/>
    <mergeCell ref="AI21:AI23"/>
    <mergeCell ref="Y22:AA25"/>
    <mergeCell ref="AB61:AC61"/>
    <mergeCell ref="AB23:AC23"/>
    <mergeCell ref="AB44:AC44"/>
    <mergeCell ref="AD50:AE50"/>
    <mergeCell ref="AD30:AE30"/>
    <mergeCell ref="AF54:AG54"/>
    <mergeCell ref="AD17:AE17"/>
    <mergeCell ref="AD9:AE9"/>
    <mergeCell ref="AD74:AE74"/>
    <mergeCell ref="AG76:AH78"/>
    <mergeCell ref="AI73:AI75"/>
    <mergeCell ref="AI113:AI114"/>
    <mergeCell ref="AI76:AI78"/>
    <mergeCell ref="AN18:AO18"/>
    <mergeCell ref="AN16:AO16"/>
    <mergeCell ref="AB30:AC30"/>
    <mergeCell ref="AH31:AH32"/>
    <mergeCell ref="AI31:AI32"/>
    <mergeCell ref="AK29:AO29"/>
    <mergeCell ref="AI87:AI88"/>
    <mergeCell ref="AN90:AO90"/>
    <mergeCell ref="Y85:Y99"/>
    <mergeCell ref="Z88:AA89"/>
    <mergeCell ref="Y74:AA77"/>
    <mergeCell ref="AD85:AE85"/>
    <mergeCell ref="AD87:AE87"/>
    <mergeCell ref="AD88:AE88"/>
    <mergeCell ref="AG99:AH101"/>
    <mergeCell ref="AI99:AI101"/>
    <mergeCell ref="Z99:AC99"/>
    <mergeCell ref="AG73:AH75"/>
    <mergeCell ref="AB15:AC15"/>
    <mergeCell ref="AD15:AE15"/>
    <mergeCell ref="AD56:AE56"/>
    <mergeCell ref="AD71:AE71"/>
    <mergeCell ref="AB64:AC64"/>
    <mergeCell ref="AN23:AO23"/>
    <mergeCell ref="AL21:AO21"/>
    <mergeCell ref="AB148:AC148"/>
    <mergeCell ref="Y104:Y105"/>
    <mergeCell ref="AB110:AC110"/>
    <mergeCell ref="AB109:AC109"/>
    <mergeCell ref="AB113:AC113"/>
    <mergeCell ref="AD121:AE121"/>
    <mergeCell ref="AD137:AE137"/>
    <mergeCell ref="AG159:AG162"/>
    <mergeCell ref="AI159:AI160"/>
    <mergeCell ref="AI167:AI169"/>
    <mergeCell ref="AI189:AI190"/>
    <mergeCell ref="AH159:AH160"/>
    <mergeCell ref="AI154:AI156"/>
    <mergeCell ref="AI141:AI143"/>
    <mergeCell ref="Y78:Y79"/>
    <mergeCell ref="AD77:AE77"/>
    <mergeCell ref="AB74:AC74"/>
    <mergeCell ref="AH85:AH86"/>
    <mergeCell ref="AI85:AI86"/>
    <mergeCell ref="AH87:AH88"/>
    <mergeCell ref="AF158:AG158"/>
    <mergeCell ref="AG137:AG140"/>
    <mergeCell ref="AH137:AH138"/>
    <mergeCell ref="AI137:AI138"/>
    <mergeCell ref="AD176:AE176"/>
    <mergeCell ref="Z140:AA141"/>
    <mergeCell ref="AI163:AI164"/>
    <mergeCell ref="AB153:AC153"/>
    <mergeCell ref="Z142:AA145"/>
    <mergeCell ref="Y133:AC133"/>
    <mergeCell ref="Y134:AA136"/>
    <mergeCell ref="AG133:AG136"/>
    <mergeCell ref="AG141:AH143"/>
    <mergeCell ref="AB167:AC167"/>
    <mergeCell ref="AB170:AC170"/>
    <mergeCell ref="AB171:AC171"/>
    <mergeCell ref="Z85:AA87"/>
    <mergeCell ref="AH139:AH140"/>
    <mergeCell ref="Z163:AA165"/>
    <mergeCell ref="AD160:AE160"/>
    <mergeCell ref="AD185:AE185"/>
    <mergeCell ref="AD161:AE161"/>
    <mergeCell ref="AD145:AE145"/>
    <mergeCell ref="AD164:AE164"/>
    <mergeCell ref="AD154:AE154"/>
    <mergeCell ref="AB155:AC155"/>
    <mergeCell ref="AA158:AC158"/>
    <mergeCell ref="AD82:AE82"/>
    <mergeCell ref="AB90:AC90"/>
    <mergeCell ref="AB92:AC92"/>
    <mergeCell ref="AB87:AC87"/>
    <mergeCell ref="AD187:AE187"/>
    <mergeCell ref="Z177:AC177"/>
    <mergeCell ref="AI180:AI182"/>
    <mergeCell ref="AD174:AE174"/>
    <mergeCell ref="AD169:AE169"/>
    <mergeCell ref="AB164:AC164"/>
    <mergeCell ref="AB163:AC163"/>
    <mergeCell ref="AB165:AC165"/>
    <mergeCell ref="AH165:AH166"/>
    <mergeCell ref="Y163:Y177"/>
    <mergeCell ref="AB173:AC173"/>
    <mergeCell ref="AD162:AE162"/>
    <mergeCell ref="AI185:AI186"/>
    <mergeCell ref="AB238:AC238"/>
    <mergeCell ref="AH243:AH244"/>
    <mergeCell ref="AD232:AE232"/>
    <mergeCell ref="AH215:AH216"/>
    <mergeCell ref="AI215:AI216"/>
    <mergeCell ref="AD225:AE225"/>
    <mergeCell ref="AD231:AE231"/>
    <mergeCell ref="AB227:AC227"/>
    <mergeCell ref="AB215:AC215"/>
    <mergeCell ref="Z175:AA176"/>
    <mergeCell ref="AG193:AH195"/>
    <mergeCell ref="AG189:AG192"/>
    <mergeCell ref="AH189:AH190"/>
    <mergeCell ref="AI263:AI264"/>
    <mergeCell ref="AI269:AI270"/>
    <mergeCell ref="AH213:AH214"/>
    <mergeCell ref="AD230:AE230"/>
    <mergeCell ref="AI219:AI221"/>
    <mergeCell ref="AD203:AE203"/>
    <mergeCell ref="AI199:AI201"/>
    <mergeCell ref="AD292:AE292"/>
    <mergeCell ref="Y289:AC289"/>
    <mergeCell ref="AB216:AC216"/>
    <mergeCell ref="AI213:AI214"/>
    <mergeCell ref="AI255:AI257"/>
    <mergeCell ref="AB249:AC249"/>
    <mergeCell ref="AB303:AC303"/>
    <mergeCell ref="AD303:AE303"/>
    <mergeCell ref="AD249:AE249"/>
    <mergeCell ref="AD265:AE265"/>
    <mergeCell ref="Y264:AA266"/>
    <mergeCell ref="AI267:AI268"/>
    <mergeCell ref="Y290:AA292"/>
    <mergeCell ref="AG203:AH205"/>
    <mergeCell ref="AB217:AC217"/>
    <mergeCell ref="AB219:AC219"/>
    <mergeCell ref="AD219:AE219"/>
    <mergeCell ref="AB213:AC213"/>
    <mergeCell ref="AD195:AE195"/>
    <mergeCell ref="AB192:AC192"/>
    <mergeCell ref="AB200:AC200"/>
    <mergeCell ref="AD211:AE211"/>
    <mergeCell ref="AG211:AG214"/>
    <mergeCell ref="AH211:AH212"/>
    <mergeCell ref="AI211:AI212"/>
    <mergeCell ref="Y212:AA214"/>
    <mergeCell ref="AF288:AG288"/>
    <mergeCell ref="AB290:AC290"/>
    <mergeCell ref="AB253:AC253"/>
    <mergeCell ref="AI281:AI283"/>
    <mergeCell ref="Y282:AA285"/>
    <mergeCell ref="AB282:AC282"/>
    <mergeCell ref="AD282:AE282"/>
    <mergeCell ref="AB221:AC221"/>
    <mergeCell ref="AD250:AE250"/>
    <mergeCell ref="AB223:AC223"/>
    <mergeCell ref="AB180:AC180"/>
    <mergeCell ref="AB230:AC230"/>
    <mergeCell ref="AD178:AE178"/>
    <mergeCell ref="BB102:BC102"/>
    <mergeCell ref="AZ277:BA277"/>
    <mergeCell ref="BB99:BC99"/>
    <mergeCell ref="AZ96:BA96"/>
    <mergeCell ref="AZ154:BA154"/>
    <mergeCell ref="AZ141:BA141"/>
    <mergeCell ref="AZ142:BA142"/>
    <mergeCell ref="AZ148:BA148"/>
    <mergeCell ref="AX146:AY148"/>
    <mergeCell ref="BB298:BC298"/>
    <mergeCell ref="BB299:BC299"/>
    <mergeCell ref="AX267:AY269"/>
    <mergeCell ref="AZ274:BA274"/>
    <mergeCell ref="AW316:AY318"/>
    <mergeCell ref="CC137:CC140"/>
    <mergeCell ref="CJ206:CK206"/>
    <mergeCell ref="CE213:CE214"/>
    <mergeCell ref="CL214:CM214"/>
    <mergeCell ref="CL290:CM290"/>
    <mergeCell ref="CQ291:CQ292"/>
    <mergeCell ref="CN262:CO262"/>
    <mergeCell ref="CN288:CO288"/>
    <mergeCell ref="CG289:CK289"/>
    <mergeCell ref="CC255:CD257"/>
    <mergeCell ref="CC258:CD260"/>
    <mergeCell ref="CG256:CI259"/>
    <mergeCell ref="CJ296:CK296"/>
    <mergeCell ref="CH305:CI306"/>
    <mergeCell ref="CL250:CM250"/>
    <mergeCell ref="CG286:CG287"/>
    <mergeCell ref="CO293:CO296"/>
    <mergeCell ref="CL295:CM295"/>
    <mergeCell ref="CO258:CP260"/>
    <mergeCell ref="CP289:CP290"/>
    <mergeCell ref="CO297:CP299"/>
    <mergeCell ref="CI262:CK262"/>
    <mergeCell ref="CL292:CM292"/>
    <mergeCell ref="CG290:CI292"/>
    <mergeCell ref="CI288:CK288"/>
    <mergeCell ref="CL298:CM298"/>
    <mergeCell ref="CP291:CP292"/>
    <mergeCell ref="CD269:CD270"/>
    <mergeCell ref="CC271:CD273"/>
    <mergeCell ref="CJ282:CK282"/>
    <mergeCell ref="CJ311:CK311"/>
    <mergeCell ref="CG260:CG261"/>
    <mergeCell ref="CL150:CM150"/>
    <mergeCell ref="CG137:CG151"/>
    <mergeCell ref="CH137:CI139"/>
    <mergeCell ref="CJ147:CK147"/>
    <mergeCell ref="CL159:CM159"/>
    <mergeCell ref="CJ164:CK164"/>
    <mergeCell ref="CJ165:CK165"/>
    <mergeCell ref="CJ168:CK168"/>
    <mergeCell ref="CJ172:CK172"/>
    <mergeCell ref="CP161:CP162"/>
    <mergeCell ref="CQ161:CQ162"/>
    <mergeCell ref="CP163:CP164"/>
    <mergeCell ref="CQ163:CQ164"/>
    <mergeCell ref="CJ144:CK144"/>
    <mergeCell ref="CJ145:CK145"/>
    <mergeCell ref="CO151:CP153"/>
    <mergeCell ref="CQ151:CQ153"/>
    <mergeCell ref="CJ170:CK170"/>
    <mergeCell ref="CL239:CM239"/>
    <mergeCell ref="CL253:CM253"/>
    <mergeCell ref="CL255:CM255"/>
    <mergeCell ref="CG241:CG255"/>
    <mergeCell ref="CJ256:CK256"/>
    <mergeCell ref="CO289:CO292"/>
    <mergeCell ref="CJ302:CK302"/>
    <mergeCell ref="CL123:CM123"/>
    <mergeCell ref="CO137:CO140"/>
    <mergeCell ref="CQ144:CQ146"/>
    <mergeCell ref="CP137:CP138"/>
    <mergeCell ref="CQ137:CQ138"/>
    <mergeCell ref="CL149:CM149"/>
    <mergeCell ref="CO141:CP143"/>
    <mergeCell ref="CQ141:CQ143"/>
    <mergeCell ref="CH142:CI145"/>
    <mergeCell ref="CJ161:CK161"/>
    <mergeCell ref="CO154:CP156"/>
    <mergeCell ref="CQ154:CQ156"/>
    <mergeCell ref="CG156:CG157"/>
    <mergeCell ref="CJ139:CK139"/>
    <mergeCell ref="CL172:CM172"/>
    <mergeCell ref="CG152:CI155"/>
    <mergeCell ref="CJ138:CK138"/>
    <mergeCell ref="CL153:CM153"/>
    <mergeCell ref="CP165:CP166"/>
    <mergeCell ref="CQ170:CQ172"/>
    <mergeCell ref="CH172:CI174"/>
    <mergeCell ref="CJ196:CK196"/>
    <mergeCell ref="CL247:CM247"/>
    <mergeCell ref="CO284:CP286"/>
    <mergeCell ref="CL280:CM280"/>
    <mergeCell ref="CL277:CM277"/>
    <mergeCell ref="CL268:CM268"/>
    <mergeCell ref="CL291:CM291"/>
    <mergeCell ref="CL296:CM296"/>
    <mergeCell ref="CP293:CP294"/>
    <mergeCell ref="CL179:CM179"/>
    <mergeCell ref="CL195:CM195"/>
    <mergeCell ref="CO189:CO192"/>
    <mergeCell ref="CI210:CK210"/>
    <mergeCell ref="CP241:CP242"/>
    <mergeCell ref="CH241:CI243"/>
    <mergeCell ref="CJ297:CK297"/>
    <mergeCell ref="CL301:CM301"/>
    <mergeCell ref="CQ293:CQ294"/>
    <mergeCell ref="CQ248:CQ250"/>
    <mergeCell ref="CQ215:CQ216"/>
    <mergeCell ref="CQ217:CQ218"/>
    <mergeCell ref="CQ219:CQ221"/>
    <mergeCell ref="CO255:CP257"/>
    <mergeCell ref="CJ248:CK248"/>
    <mergeCell ref="CJ249:CK249"/>
    <mergeCell ref="CJ251:CK251"/>
    <mergeCell ref="CH267:CI269"/>
    <mergeCell ref="CL264:CM264"/>
    <mergeCell ref="CL267:CM267"/>
    <mergeCell ref="CJ283:CK283"/>
    <mergeCell ref="CO206:CP208"/>
    <mergeCell ref="CL219:CM219"/>
    <mergeCell ref="CL238:CM238"/>
    <mergeCell ref="CQ180:CQ182"/>
    <mergeCell ref="DO317:DO318"/>
    <mergeCell ref="DN315:DN316"/>
    <mergeCell ref="DO315:DO316"/>
    <mergeCell ref="DH330:DI330"/>
    <mergeCell ref="CQ317:CQ318"/>
    <mergeCell ref="DH316:DI316"/>
    <mergeCell ref="CV316:CW316"/>
    <mergeCell ref="CS316:CU318"/>
    <mergeCell ref="DB319:DB320"/>
    <mergeCell ref="DH320:DI320"/>
    <mergeCell ref="DF328:DG330"/>
    <mergeCell ref="DH328:DI328"/>
    <mergeCell ref="CL318:CM318"/>
    <mergeCell ref="CL321:CM321"/>
    <mergeCell ref="CD319:CD320"/>
    <mergeCell ref="CD315:CD316"/>
    <mergeCell ref="CP319:CP320"/>
    <mergeCell ref="CP321:CP322"/>
    <mergeCell ref="CX324:CY324"/>
    <mergeCell ref="DT327:DU327"/>
    <mergeCell ref="CL328:CM328"/>
    <mergeCell ref="CT328:CU330"/>
    <mergeCell ref="DC326:DC328"/>
    <mergeCell ref="DM336:DN338"/>
    <mergeCell ref="CE336:CE338"/>
    <mergeCell ref="CS319:CS333"/>
    <mergeCell ref="CH333:CK333"/>
    <mergeCell ref="BN336:BO336"/>
    <mergeCell ref="BS336:BS338"/>
    <mergeCell ref="CC323:CD325"/>
    <mergeCell ref="BN337:BO337"/>
    <mergeCell ref="BQ333:BR335"/>
    <mergeCell ref="BQ323:BR325"/>
    <mergeCell ref="BS323:BS325"/>
    <mergeCell ref="BQ326:BR328"/>
    <mergeCell ref="BV328:BW330"/>
    <mergeCell ref="CH324:CI327"/>
    <mergeCell ref="BX336:BY336"/>
    <mergeCell ref="DM315:DM318"/>
    <mergeCell ref="CG338:CG339"/>
    <mergeCell ref="CE321:CE322"/>
    <mergeCell ref="BX337:BY337"/>
    <mergeCell ref="CC336:CD338"/>
    <mergeCell ref="BX323:BY323"/>
    <mergeCell ref="BX324:BY324"/>
    <mergeCell ref="CJ323:CK323"/>
    <mergeCell ref="CG334:CI337"/>
    <mergeCell ref="CX323:CY323"/>
    <mergeCell ref="CJ328:CK328"/>
    <mergeCell ref="BZ330:CA330"/>
    <mergeCell ref="BX328:BY328"/>
    <mergeCell ref="BQ315:BQ318"/>
    <mergeCell ref="BN316:BO316"/>
    <mergeCell ref="BN333:BO333"/>
    <mergeCell ref="BS319:BS320"/>
    <mergeCell ref="CJ319:CK319"/>
    <mergeCell ref="BX334:BY334"/>
    <mergeCell ref="BZ337:CA337"/>
    <mergeCell ref="BZ335:CA335"/>
    <mergeCell ref="BZ333:CA333"/>
    <mergeCell ref="DQ319:DQ333"/>
    <mergeCell ref="DN317:DN318"/>
    <mergeCell ref="CL337:CM337"/>
    <mergeCell ref="CL336:CM336"/>
    <mergeCell ref="DL314:DM314"/>
    <mergeCell ref="DJ318:DK318"/>
    <mergeCell ref="DJ324:DK324"/>
    <mergeCell ref="DO323:DO325"/>
    <mergeCell ref="DJ325:DK325"/>
    <mergeCell ref="DH318:DI318"/>
    <mergeCell ref="CL327:CM327"/>
    <mergeCell ref="CL323:CM323"/>
    <mergeCell ref="DH325:DI325"/>
    <mergeCell ref="CG315:CK315"/>
    <mergeCell ref="CG316:CI318"/>
    <mergeCell ref="BU316:BW318"/>
    <mergeCell ref="CL317:CM317"/>
    <mergeCell ref="CO315:CO318"/>
    <mergeCell ref="CC326:CD328"/>
    <mergeCell ref="BE326:BF328"/>
    <mergeCell ref="BR315:BR316"/>
    <mergeCell ref="BX330:BY330"/>
    <mergeCell ref="BB334:BC334"/>
    <mergeCell ref="CQ315:CQ316"/>
    <mergeCell ref="CP315:CP316"/>
    <mergeCell ref="BJ324:BK327"/>
    <mergeCell ref="BG326:BG328"/>
    <mergeCell ref="BN324:BO324"/>
    <mergeCell ref="BN328:BO328"/>
    <mergeCell ref="BN323:BO323"/>
    <mergeCell ref="BL326:BM326"/>
    <mergeCell ref="BL324:BM324"/>
    <mergeCell ref="BX326:BY326"/>
    <mergeCell ref="CJ331:CK331"/>
    <mergeCell ref="DF333:DI333"/>
    <mergeCell ref="CV317:CW317"/>
    <mergeCell ref="BJ319:BK321"/>
    <mergeCell ref="BV322:BW323"/>
    <mergeCell ref="BE333:BF335"/>
    <mergeCell ref="BS333:BS335"/>
    <mergeCell ref="BV333:BY333"/>
    <mergeCell ref="CJ327:CK327"/>
    <mergeCell ref="BX335:BY335"/>
    <mergeCell ref="CL319:CM319"/>
    <mergeCell ref="BZ315:CA315"/>
    <mergeCell ref="BX320:BY320"/>
    <mergeCell ref="CH319:CI321"/>
    <mergeCell ref="CC333:CD335"/>
    <mergeCell ref="CE317:CE318"/>
    <mergeCell ref="DJ315:DK315"/>
    <mergeCell ref="DJ317:DK317"/>
    <mergeCell ref="CJ317:CK317"/>
    <mergeCell ref="BL332:BM332"/>
    <mergeCell ref="BZ325:CA325"/>
    <mergeCell ref="CD317:CD318"/>
    <mergeCell ref="CS315:CW315"/>
    <mergeCell ref="DA326:DB328"/>
    <mergeCell ref="CJ322:CK322"/>
    <mergeCell ref="CJ335:CK335"/>
    <mergeCell ref="CX331:CY331"/>
    <mergeCell ref="BN335:BO335"/>
    <mergeCell ref="BB330:BC330"/>
    <mergeCell ref="CD321:CD322"/>
    <mergeCell ref="BX325:BY325"/>
    <mergeCell ref="DJ334:DK334"/>
    <mergeCell ref="CL334:CM334"/>
    <mergeCell ref="CQ326:CQ328"/>
    <mergeCell ref="DH331:DI331"/>
    <mergeCell ref="DB315:DB316"/>
    <mergeCell ref="BX316:BY316"/>
    <mergeCell ref="CX332:CY332"/>
    <mergeCell ref="CQ319:CQ320"/>
    <mergeCell ref="CL320:CM320"/>
    <mergeCell ref="CX333:CY333"/>
    <mergeCell ref="CL331:CM331"/>
    <mergeCell ref="CV331:CW331"/>
    <mergeCell ref="CL332:CM332"/>
    <mergeCell ref="CS334:CU337"/>
    <mergeCell ref="DE315:DI315"/>
    <mergeCell ref="DE319:DE333"/>
    <mergeCell ref="DH317:DI317"/>
    <mergeCell ref="DC315:DC316"/>
    <mergeCell ref="DC317:DC318"/>
    <mergeCell ref="CL315:CM315"/>
    <mergeCell ref="BX319:BY319"/>
    <mergeCell ref="CE333:CE335"/>
    <mergeCell ref="BZ334:CA334"/>
    <mergeCell ref="BZ319:CA319"/>
    <mergeCell ref="BZ331:CA331"/>
    <mergeCell ref="CE319:CE320"/>
    <mergeCell ref="DE316:DG318"/>
    <mergeCell ref="DJ331:DK331"/>
    <mergeCell ref="CV334:CW334"/>
    <mergeCell ref="CJ334:CK334"/>
    <mergeCell ref="DJ316:DK316"/>
    <mergeCell ref="DJ335:DK335"/>
    <mergeCell ref="CO329:CP331"/>
    <mergeCell ref="CQ329:CQ331"/>
    <mergeCell ref="CL330:CM330"/>
    <mergeCell ref="CT322:CU323"/>
    <mergeCell ref="CC329:CD331"/>
    <mergeCell ref="CX315:CY315"/>
    <mergeCell ref="CT319:CU321"/>
    <mergeCell ref="CJ332:CK332"/>
    <mergeCell ref="CJ329:CK329"/>
    <mergeCell ref="CV319:CW319"/>
    <mergeCell ref="CJ325:CK325"/>
    <mergeCell ref="CH322:CI323"/>
    <mergeCell ref="BZ324:CA324"/>
    <mergeCell ref="BZ329:CA329"/>
    <mergeCell ref="BZ332:CA332"/>
    <mergeCell ref="CE315:CE316"/>
    <mergeCell ref="CG319:CG333"/>
    <mergeCell ref="CL324:CM324"/>
    <mergeCell ref="CV336:CW336"/>
    <mergeCell ref="DJ326:DK326"/>
    <mergeCell ref="DC329:DC331"/>
    <mergeCell ref="DH324:DI324"/>
    <mergeCell ref="DA329:DB331"/>
    <mergeCell ref="BZ326:CA326"/>
    <mergeCell ref="CN314:CO314"/>
    <mergeCell ref="BX321:BY321"/>
    <mergeCell ref="CV330:CW330"/>
    <mergeCell ref="CV327:CW327"/>
    <mergeCell ref="CV329:CW329"/>
    <mergeCell ref="CO319:CO322"/>
    <mergeCell ref="CH328:CI330"/>
    <mergeCell ref="CH331:CI332"/>
    <mergeCell ref="CE323:CE325"/>
    <mergeCell ref="CO323:CP325"/>
    <mergeCell ref="CQ323:CQ325"/>
    <mergeCell ref="BX327:BY327"/>
    <mergeCell ref="BZ327:CA327"/>
    <mergeCell ref="BN320:BO320"/>
    <mergeCell ref="BZ320:CA320"/>
    <mergeCell ref="CV325:CW325"/>
    <mergeCell ref="CL333:CM333"/>
    <mergeCell ref="BX322:BY322"/>
    <mergeCell ref="BJ333:BM333"/>
    <mergeCell ref="BN322:BO322"/>
    <mergeCell ref="CQ333:CQ335"/>
    <mergeCell ref="CL329:CM329"/>
    <mergeCell ref="CO333:CP335"/>
    <mergeCell ref="BL318:BM318"/>
    <mergeCell ref="T314:U314"/>
    <mergeCell ref="U319:U322"/>
    <mergeCell ref="BN315:BO315"/>
    <mergeCell ref="BU334:BW337"/>
    <mergeCell ref="AB318:AC318"/>
    <mergeCell ref="AB316:AC316"/>
    <mergeCell ref="BB317:BC317"/>
    <mergeCell ref="BL322:BM322"/>
    <mergeCell ref="BI319:BI333"/>
    <mergeCell ref="BJ322:BK323"/>
    <mergeCell ref="BB329:BC329"/>
    <mergeCell ref="BB319:BC319"/>
    <mergeCell ref="BB325:BC325"/>
    <mergeCell ref="BB323:BC323"/>
    <mergeCell ref="AZ323:BA323"/>
    <mergeCell ref="BB333:BC333"/>
    <mergeCell ref="Y334:AA337"/>
    <mergeCell ref="AB329:AC329"/>
    <mergeCell ref="BN325:BO325"/>
    <mergeCell ref="BR319:BR320"/>
    <mergeCell ref="BB326:BC326"/>
    <mergeCell ref="AI317:AI318"/>
    <mergeCell ref="AH315:AH316"/>
    <mergeCell ref="AP329:AQ329"/>
    <mergeCell ref="AF314:AG314"/>
    <mergeCell ref="AI333:AI335"/>
    <mergeCell ref="AD327:AE327"/>
    <mergeCell ref="AG323:AH325"/>
    <mergeCell ref="AG326:AH328"/>
    <mergeCell ref="AZ328:BA328"/>
    <mergeCell ref="AH319:AH320"/>
    <mergeCell ref="AI323:AI325"/>
    <mergeCell ref="AP317:AQ317"/>
    <mergeCell ref="AN318:AO318"/>
    <mergeCell ref="BF317:BF318"/>
    <mergeCell ref="BI316:BK318"/>
    <mergeCell ref="BL316:BM316"/>
    <mergeCell ref="BL317:BM317"/>
    <mergeCell ref="AU321:AU322"/>
    <mergeCell ref="AP318:AQ318"/>
  </mergeCells>
  <phoneticPr fontId="15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5"/>
  <sheetViews>
    <sheetView rightToLeft="1" topLeftCell="A16" workbookViewId="0">
      <selection activeCell="U2" sqref="U2"/>
    </sheetView>
  </sheetViews>
  <sheetFormatPr defaultColWidth="9.140625" defaultRowHeight="12.75" x14ac:dyDescent="0.2"/>
  <cols>
    <col min="1" max="1" width="11.28515625" style="52" customWidth="1"/>
    <col min="2" max="2" width="9.140625" style="52"/>
    <col min="3" max="3" width="6.7109375" style="52" customWidth="1"/>
    <col min="4" max="4" width="6.42578125" style="52" customWidth="1"/>
    <col min="5" max="7" width="6.7109375" style="52" customWidth="1"/>
    <col min="8" max="8" width="1" style="52" customWidth="1"/>
    <col min="9" max="9" width="9.7109375" style="52" customWidth="1"/>
    <col min="10" max="10" width="9.140625" style="52" customWidth="1"/>
    <col min="11" max="11" width="9.85546875" style="52" customWidth="1"/>
    <col min="12" max="12" width="2.42578125" style="52" customWidth="1"/>
    <col min="13" max="13" width="11.28515625" style="52" customWidth="1"/>
    <col min="14" max="14" width="9.140625" style="52"/>
    <col min="15" max="15" width="6.7109375" style="52" customWidth="1"/>
    <col min="16" max="16" width="6.42578125" style="52" customWidth="1"/>
    <col min="17" max="19" width="6.7109375" style="52" customWidth="1"/>
    <col min="20" max="20" width="1" style="52" customWidth="1"/>
    <col min="21" max="21" width="9.7109375" style="52" customWidth="1"/>
    <col min="22" max="22" width="9.140625" style="52"/>
    <col min="23" max="23" width="9.85546875" style="52" customWidth="1"/>
    <col min="24" max="24" width="2.42578125" style="52" customWidth="1"/>
    <col min="25" max="25" width="11.28515625" style="52" customWidth="1"/>
    <col min="26" max="26" width="9.140625" style="52"/>
    <col min="27" max="27" width="6.7109375" style="52" customWidth="1"/>
    <col min="28" max="28" width="6.42578125" style="52" customWidth="1"/>
    <col min="29" max="31" width="6.7109375" style="52" customWidth="1"/>
    <col min="32" max="32" width="1" style="52" customWidth="1"/>
    <col min="33" max="33" width="9.7109375" style="52" customWidth="1"/>
    <col min="34" max="34" width="9.140625" style="52"/>
    <col min="35" max="35" width="9.85546875" style="52" customWidth="1"/>
    <col min="36" max="36" width="2.42578125" style="52" customWidth="1"/>
    <col min="37" max="37" width="11.28515625" style="52" customWidth="1"/>
    <col min="38" max="38" width="9.140625" style="52"/>
    <col min="39" max="39" width="6.7109375" style="52" customWidth="1"/>
    <col min="40" max="40" width="6.42578125" style="52" customWidth="1"/>
    <col min="41" max="43" width="6.7109375" style="52" customWidth="1"/>
    <col min="44" max="44" width="1" style="52" customWidth="1"/>
    <col min="45" max="45" width="9.7109375" style="52" customWidth="1"/>
    <col min="46" max="46" width="9.140625" style="52"/>
    <col min="47" max="47" width="9.85546875" style="52" customWidth="1"/>
    <col min="48" max="48" width="2.42578125" style="52" customWidth="1"/>
    <col min="49" max="49" width="11.28515625" style="52" customWidth="1"/>
    <col min="50" max="50" width="9.140625" style="52"/>
    <col min="51" max="51" width="6.7109375" style="52" customWidth="1"/>
    <col min="52" max="52" width="6.42578125" style="52" customWidth="1"/>
    <col min="53" max="55" width="6.7109375" style="52" customWidth="1"/>
    <col min="56" max="56" width="1" style="52" customWidth="1"/>
    <col min="57" max="57" width="9.7109375" style="52" customWidth="1"/>
    <col min="58" max="58" width="9.140625" style="52"/>
    <col min="59" max="59" width="9.85546875" style="52" customWidth="1"/>
    <col min="60" max="60" width="2.42578125" style="52" customWidth="1"/>
    <col min="61" max="61" width="11.28515625" style="52" customWidth="1"/>
    <col min="62" max="62" width="9.140625" style="52"/>
    <col min="63" max="63" width="6.7109375" style="52" customWidth="1"/>
    <col min="64" max="64" width="6.42578125" style="52" customWidth="1"/>
    <col min="65" max="67" width="6.7109375" style="52" customWidth="1"/>
    <col min="68" max="68" width="1" style="52" customWidth="1"/>
    <col min="69" max="69" width="9.7109375" style="52" customWidth="1"/>
    <col min="70" max="70" width="9.140625" style="52"/>
    <col min="71" max="71" width="9.85546875" style="52" customWidth="1"/>
    <col min="72" max="72" width="2.42578125" style="52" customWidth="1"/>
    <col min="73" max="73" width="11.28515625" style="52" customWidth="1"/>
    <col min="74" max="74" width="9.140625" style="52"/>
    <col min="75" max="75" width="6.7109375" style="52" customWidth="1"/>
    <col min="76" max="76" width="6.42578125" style="52" customWidth="1"/>
    <col min="77" max="79" width="6.7109375" style="52" customWidth="1"/>
    <col min="80" max="80" width="1" style="52" customWidth="1"/>
    <col min="81" max="81" width="9.7109375" style="52" customWidth="1"/>
    <col min="82" max="82" width="9.140625" style="52"/>
    <col min="83" max="83" width="9.85546875" style="52" customWidth="1"/>
    <col min="84" max="84" width="2.42578125" style="52" customWidth="1"/>
    <col min="85" max="85" width="11.28515625" style="52" customWidth="1"/>
    <col min="86" max="86" width="9.140625" style="52"/>
    <col min="87" max="87" width="6.7109375" style="52" customWidth="1"/>
    <col min="88" max="88" width="6.42578125" style="52" customWidth="1"/>
    <col min="89" max="91" width="6.7109375" style="52" customWidth="1"/>
    <col min="92" max="92" width="1" style="52" customWidth="1"/>
    <col min="93" max="93" width="9.7109375" style="52" customWidth="1"/>
    <col min="94" max="94" width="9.140625" style="52"/>
    <col min="95" max="95" width="9.85546875" style="52" customWidth="1"/>
    <col min="96" max="96" width="2.42578125" style="52" customWidth="1"/>
    <col min="97" max="97" width="11.28515625" style="52" customWidth="1"/>
    <col min="98" max="98" width="9.140625" style="52"/>
    <col min="99" max="99" width="6.7109375" style="52" customWidth="1"/>
    <col min="100" max="100" width="6.42578125" style="52" customWidth="1"/>
    <col min="101" max="103" width="6.7109375" style="52" customWidth="1"/>
    <col min="104" max="104" width="1" style="52" customWidth="1"/>
    <col min="105" max="105" width="9.7109375" style="52" customWidth="1"/>
    <col min="106" max="106" width="9.140625" style="52"/>
    <col min="107" max="107" width="9.85546875" style="52" customWidth="1"/>
    <col min="108" max="108" width="2.42578125" style="52" customWidth="1"/>
    <col min="109" max="109" width="11.28515625" style="52" customWidth="1"/>
    <col min="110" max="110" width="9.140625" style="52"/>
    <col min="111" max="111" width="6.7109375" style="52" customWidth="1"/>
    <col min="112" max="112" width="6.42578125" style="52" customWidth="1"/>
    <col min="113" max="115" width="6.7109375" style="52" customWidth="1"/>
    <col min="116" max="116" width="1" style="52" customWidth="1"/>
    <col min="117" max="117" width="9.7109375" style="52" customWidth="1"/>
    <col min="118" max="118" width="9.140625" style="52"/>
    <col min="119" max="119" width="9.85546875" style="52" customWidth="1"/>
    <col min="120" max="120" width="2.42578125" style="52" customWidth="1"/>
    <col min="121" max="121" width="11.28515625" style="52" customWidth="1"/>
    <col min="122" max="122" width="9.140625" style="52"/>
    <col min="123" max="123" width="6.7109375" style="52" customWidth="1"/>
    <col min="124" max="124" width="6.42578125" style="52" customWidth="1"/>
    <col min="125" max="127" width="6.7109375" style="52" customWidth="1"/>
    <col min="128" max="128" width="1" style="52" customWidth="1"/>
    <col min="129" max="129" width="9.7109375" style="52" customWidth="1"/>
    <col min="130" max="130" width="9.140625" style="52"/>
    <col min="131" max="131" width="9.85546875" style="52" customWidth="1"/>
    <col min="132" max="132" width="2.42578125" style="52" customWidth="1"/>
    <col min="133" max="133" width="11.28515625" style="52" customWidth="1"/>
    <col min="134" max="134" width="9.140625" style="52"/>
    <col min="135" max="135" width="6.7109375" style="52" customWidth="1"/>
    <col min="136" max="136" width="6.42578125" style="52" customWidth="1"/>
    <col min="137" max="139" width="6.7109375" style="52" customWidth="1"/>
    <col min="140" max="140" width="1" style="52" customWidth="1"/>
    <col min="141" max="141" width="9.7109375" style="52" customWidth="1"/>
    <col min="142" max="142" width="9.140625" style="52"/>
    <col min="143" max="143" width="9.85546875" style="52" customWidth="1"/>
    <col min="144" max="145" width="2.42578125" style="52" customWidth="1"/>
    <col min="146" max="146" width="11.28515625" style="52" customWidth="1"/>
    <col min="147" max="147" width="9.140625" style="52"/>
    <col min="148" max="148" width="8" style="52" customWidth="1"/>
    <col min="149" max="149" width="7.7109375" style="52" customWidth="1"/>
    <col min="150" max="152" width="6.7109375" style="52" customWidth="1"/>
    <col min="153" max="153" width="1" style="52" customWidth="1"/>
    <col min="154" max="154" width="9.7109375" style="52" customWidth="1"/>
    <col min="155" max="155" width="9.140625" style="52"/>
    <col min="156" max="156" width="9.85546875" style="52" customWidth="1"/>
    <col min="157" max="157" width="2.42578125" style="52" customWidth="1"/>
    <col min="158" max="16384" width="9.140625" style="32"/>
  </cols>
  <sheetData>
    <row r="1" spans="1:157" ht="26.25" customHeight="1" x14ac:dyDescent="0.2">
      <c r="A1" s="27"/>
      <c r="B1" s="28"/>
      <c r="C1" s="28"/>
      <c r="D1" s="242" t="s">
        <v>63</v>
      </c>
      <c r="E1" s="242"/>
      <c r="F1" s="242"/>
      <c r="G1" s="28"/>
      <c r="H1" s="28"/>
      <c r="I1" s="29">
        <f>SUM('أسنان '!G1)</f>
        <v>1</v>
      </c>
      <c r="J1" s="28" t="s">
        <v>2</v>
      </c>
      <c r="K1" s="30">
        <f>SUM('أسنان '!J1)</f>
        <v>1447</v>
      </c>
      <c r="L1" s="31"/>
      <c r="M1" s="27"/>
      <c r="N1" s="28"/>
      <c r="O1" s="28"/>
      <c r="P1" s="28"/>
      <c r="Q1" s="242" t="s">
        <v>63</v>
      </c>
      <c r="R1" s="242"/>
      <c r="S1" s="242"/>
      <c r="T1" s="28"/>
      <c r="U1" s="29">
        <f>SUM('أسنان '!S1)</f>
        <v>2</v>
      </c>
      <c r="V1" s="28" t="s">
        <v>2</v>
      </c>
      <c r="W1" s="30">
        <f>SUM('أسنان '!V1)</f>
        <v>1447</v>
      </c>
      <c r="X1" s="31"/>
      <c r="Y1" s="27"/>
      <c r="Z1" s="28"/>
      <c r="AA1" s="28"/>
      <c r="AB1" s="242" t="s">
        <v>63</v>
      </c>
      <c r="AC1" s="242"/>
      <c r="AD1" s="242"/>
      <c r="AE1" s="28"/>
      <c r="AF1" s="28"/>
      <c r="AG1" s="29">
        <f>SUM('أسنان '!AE1)</f>
        <v>3</v>
      </c>
      <c r="AH1" s="28" t="s">
        <v>2</v>
      </c>
      <c r="AI1" s="30">
        <f>SUM('أسنان '!AH1)</f>
        <v>1447</v>
      </c>
      <c r="AJ1" s="31"/>
      <c r="AK1" s="27"/>
      <c r="AL1" s="28"/>
      <c r="AM1" s="28"/>
      <c r="AN1" s="242" t="s">
        <v>63</v>
      </c>
      <c r="AO1" s="242"/>
      <c r="AP1" s="242"/>
      <c r="AQ1" s="28"/>
      <c r="AR1" s="28"/>
      <c r="AS1" s="29">
        <f>SUM('أسنان '!AQ1)</f>
        <v>4</v>
      </c>
      <c r="AT1" s="28" t="s">
        <v>2</v>
      </c>
      <c r="AU1" s="30">
        <f>SUM('أسنان '!AT1)</f>
        <v>1447</v>
      </c>
      <c r="AV1" s="31"/>
      <c r="AW1" s="27"/>
      <c r="AX1" s="28"/>
      <c r="AY1" s="28"/>
      <c r="AZ1" s="242" t="s">
        <v>63</v>
      </c>
      <c r="BA1" s="242"/>
      <c r="BB1" s="242"/>
      <c r="BC1" s="28"/>
      <c r="BD1" s="28"/>
      <c r="BE1" s="29">
        <f>SUM('أسنان '!BC1)</f>
        <v>5</v>
      </c>
      <c r="BF1" s="28" t="s">
        <v>2</v>
      </c>
      <c r="BG1" s="30">
        <f>SUM('أسنان '!BF1)</f>
        <v>1447</v>
      </c>
      <c r="BH1" s="31"/>
      <c r="BI1" s="27"/>
      <c r="BJ1" s="28"/>
      <c r="BK1" s="28"/>
      <c r="BL1" s="242" t="s">
        <v>63</v>
      </c>
      <c r="BM1" s="242"/>
      <c r="BN1" s="242"/>
      <c r="BO1" s="28"/>
      <c r="BP1" s="28"/>
      <c r="BQ1" s="29">
        <f>SUM('أسنان '!BO1)</f>
        <v>6</v>
      </c>
      <c r="BR1" s="28" t="s">
        <v>2</v>
      </c>
      <c r="BS1" s="30">
        <f>SUM('أسنان '!BR1)</f>
        <v>1447</v>
      </c>
      <c r="BT1" s="31"/>
      <c r="BU1" s="27"/>
      <c r="BV1" s="28"/>
      <c r="BW1" s="28"/>
      <c r="BX1" s="242" t="s">
        <v>63</v>
      </c>
      <c r="BY1" s="242"/>
      <c r="BZ1" s="242"/>
      <c r="CA1" s="28"/>
      <c r="CB1" s="28"/>
      <c r="CC1" s="29">
        <f>SUM('أسنان '!CA1)</f>
        <v>7</v>
      </c>
      <c r="CD1" s="28" t="s">
        <v>2</v>
      </c>
      <c r="CE1" s="30">
        <f>SUM('أسنان '!CD1)</f>
        <v>1447</v>
      </c>
      <c r="CF1" s="31"/>
      <c r="CG1" s="27"/>
      <c r="CH1" s="28"/>
      <c r="CI1" s="28"/>
      <c r="CJ1" s="242" t="s">
        <v>63</v>
      </c>
      <c r="CK1" s="242"/>
      <c r="CL1" s="242"/>
      <c r="CM1" s="28"/>
      <c r="CN1" s="28"/>
      <c r="CO1" s="29">
        <f>SUM('أسنان '!CM1)</f>
        <v>8</v>
      </c>
      <c r="CP1" s="28" t="s">
        <v>2</v>
      </c>
      <c r="CQ1" s="30">
        <f>SUM('أسنان '!CP1)</f>
        <v>1447</v>
      </c>
      <c r="CR1" s="31"/>
      <c r="CS1" s="27"/>
      <c r="CT1" s="28"/>
      <c r="CU1" s="28"/>
      <c r="CV1" s="242" t="s">
        <v>63</v>
      </c>
      <c r="CW1" s="242"/>
      <c r="CX1" s="242"/>
      <c r="CY1" s="28"/>
      <c r="CZ1" s="28"/>
      <c r="DA1" s="29">
        <f>SUM('أسنان '!CY1)</f>
        <v>9</v>
      </c>
      <c r="DB1" s="28" t="s">
        <v>2</v>
      </c>
      <c r="DC1" s="30">
        <f>SUM('أسنان '!DB1)</f>
        <v>1447</v>
      </c>
      <c r="DD1" s="31"/>
      <c r="DE1" s="27"/>
      <c r="DF1" s="28"/>
      <c r="DG1" s="28"/>
      <c r="DH1" s="242" t="s">
        <v>63</v>
      </c>
      <c r="DI1" s="242"/>
      <c r="DJ1" s="242"/>
      <c r="DK1" s="28"/>
      <c r="DL1" s="28"/>
      <c r="DM1" s="29">
        <f>SUM('أسنان '!DK1)</f>
        <v>10</v>
      </c>
      <c r="DN1" s="28" t="s">
        <v>2</v>
      </c>
      <c r="DO1" s="30">
        <f>SUM('أسنان '!DN1)</f>
        <v>1447</v>
      </c>
      <c r="DP1" s="31"/>
      <c r="DQ1" s="27"/>
      <c r="DR1" s="28"/>
      <c r="DS1" s="28"/>
      <c r="DT1" s="242" t="s">
        <v>63</v>
      </c>
      <c r="DU1" s="242"/>
      <c r="DV1" s="242"/>
      <c r="DW1" s="28"/>
      <c r="DX1" s="28"/>
      <c r="DY1" s="29">
        <f>SUM('أسنان '!DW1)</f>
        <v>11</v>
      </c>
      <c r="DZ1" s="28" t="s">
        <v>2</v>
      </c>
      <c r="EA1" s="30">
        <f>SUM('أسنان '!DZ1)</f>
        <v>1447</v>
      </c>
      <c r="EB1" s="31"/>
      <c r="EC1" s="27"/>
      <c r="ED1" s="28"/>
      <c r="EE1" s="28"/>
      <c r="EF1" s="242" t="s">
        <v>63</v>
      </c>
      <c r="EG1" s="242"/>
      <c r="EH1" s="242"/>
      <c r="EI1" s="28"/>
      <c r="EJ1" s="28"/>
      <c r="EK1" s="29">
        <f>SUM('أسنان '!EI1)</f>
        <v>12</v>
      </c>
      <c r="EL1" s="28" t="s">
        <v>2</v>
      </c>
      <c r="EM1" s="30">
        <f>SUM('أسنان '!EL1)</f>
        <v>1447</v>
      </c>
      <c r="EN1" s="31"/>
      <c r="EO1" s="75"/>
      <c r="EP1" s="27"/>
      <c r="EQ1" s="28"/>
      <c r="ER1" s="28"/>
      <c r="ES1" s="242" t="s">
        <v>63</v>
      </c>
      <c r="ET1" s="242"/>
      <c r="EU1" s="242"/>
      <c r="EV1" s="28"/>
      <c r="EW1" s="28"/>
      <c r="EX1" s="29"/>
      <c r="EY1" s="28" t="s">
        <v>2</v>
      </c>
      <c r="EZ1" s="30">
        <f>SUM(EM1)</f>
        <v>1447</v>
      </c>
      <c r="FA1" s="75"/>
    </row>
    <row r="2" spans="1:157" ht="20.25" x14ac:dyDescent="0.2">
      <c r="A2" s="33">
        <v>6</v>
      </c>
      <c r="B2" s="34" t="s">
        <v>0</v>
      </c>
      <c r="C2" s="35"/>
      <c r="D2" s="35"/>
      <c r="E2" s="36"/>
      <c r="F2" s="36"/>
      <c r="G2" s="36"/>
      <c r="H2" s="36"/>
      <c r="I2" s="36"/>
      <c r="J2" s="36"/>
      <c r="K2" s="37"/>
      <c r="L2" s="38"/>
      <c r="M2" s="33">
        <v>6</v>
      </c>
      <c r="N2" s="34" t="s">
        <v>0</v>
      </c>
      <c r="O2" s="35"/>
      <c r="P2" s="35"/>
      <c r="Q2" s="36"/>
      <c r="R2" s="36"/>
      <c r="S2" s="36"/>
      <c r="T2" s="36"/>
      <c r="U2" s="36"/>
      <c r="V2" s="36"/>
      <c r="W2" s="37"/>
      <c r="X2" s="38"/>
      <c r="Y2" s="33">
        <v>6</v>
      </c>
      <c r="Z2" s="34" t="s">
        <v>0</v>
      </c>
      <c r="AA2" s="35"/>
      <c r="AB2" s="35"/>
      <c r="AC2" s="36"/>
      <c r="AD2" s="36"/>
      <c r="AE2" s="36"/>
      <c r="AF2" s="36"/>
      <c r="AG2" s="36"/>
      <c r="AH2" s="36"/>
      <c r="AI2" s="37"/>
      <c r="AJ2" s="38"/>
      <c r="AK2" s="33">
        <v>6</v>
      </c>
      <c r="AL2" s="34" t="s">
        <v>0</v>
      </c>
      <c r="AM2" s="35"/>
      <c r="AN2" s="35"/>
      <c r="AO2" s="36"/>
      <c r="AP2" s="36"/>
      <c r="AQ2" s="36"/>
      <c r="AR2" s="36"/>
      <c r="AS2" s="36"/>
      <c r="AT2" s="36"/>
      <c r="AU2" s="37"/>
      <c r="AV2" s="38"/>
      <c r="AW2" s="33">
        <v>6</v>
      </c>
      <c r="AX2" s="34" t="s">
        <v>0</v>
      </c>
      <c r="AY2" s="35"/>
      <c r="AZ2" s="35"/>
      <c r="BA2" s="36"/>
      <c r="BB2" s="36"/>
      <c r="BC2" s="36"/>
      <c r="BD2" s="36"/>
      <c r="BE2" s="36"/>
      <c r="BF2" s="36"/>
      <c r="BG2" s="37"/>
      <c r="BH2" s="38"/>
      <c r="BI2" s="33">
        <v>6</v>
      </c>
      <c r="BJ2" s="34" t="s">
        <v>0</v>
      </c>
      <c r="BK2" s="35"/>
      <c r="BL2" s="35"/>
      <c r="BM2" s="36"/>
      <c r="BN2" s="36"/>
      <c r="BO2" s="36"/>
      <c r="BP2" s="36"/>
      <c r="BQ2" s="36"/>
      <c r="BR2" s="36"/>
      <c r="BS2" s="37"/>
      <c r="BT2" s="38"/>
      <c r="BU2" s="33">
        <v>6</v>
      </c>
      <c r="BV2" s="34" t="s">
        <v>0</v>
      </c>
      <c r="BW2" s="35"/>
      <c r="BX2" s="35"/>
      <c r="BY2" s="36"/>
      <c r="BZ2" s="36"/>
      <c r="CA2" s="36"/>
      <c r="CB2" s="36"/>
      <c r="CC2" s="36"/>
      <c r="CD2" s="36"/>
      <c r="CE2" s="37"/>
      <c r="CF2" s="38"/>
      <c r="CG2" s="33">
        <v>6</v>
      </c>
      <c r="CH2" s="34" t="s">
        <v>0</v>
      </c>
      <c r="CI2" s="35"/>
      <c r="CJ2" s="35"/>
      <c r="CK2" s="36"/>
      <c r="CL2" s="36"/>
      <c r="CM2" s="36"/>
      <c r="CN2" s="36"/>
      <c r="CO2" s="36"/>
      <c r="CP2" s="36"/>
      <c r="CQ2" s="37"/>
      <c r="CR2" s="38"/>
      <c r="CS2" s="33">
        <v>6</v>
      </c>
      <c r="CT2" s="34" t="s">
        <v>0</v>
      </c>
      <c r="CU2" s="35"/>
      <c r="CV2" s="35"/>
      <c r="CW2" s="36"/>
      <c r="CX2" s="36"/>
      <c r="CY2" s="36"/>
      <c r="CZ2" s="36"/>
      <c r="DA2" s="36"/>
      <c r="DB2" s="36"/>
      <c r="DC2" s="37"/>
      <c r="DD2" s="38"/>
      <c r="DE2" s="33">
        <v>6</v>
      </c>
      <c r="DF2" s="34" t="s">
        <v>0</v>
      </c>
      <c r="DG2" s="35"/>
      <c r="DH2" s="35"/>
      <c r="DI2" s="36"/>
      <c r="DJ2" s="36"/>
      <c r="DK2" s="36"/>
      <c r="DL2" s="36"/>
      <c r="DM2" s="36"/>
      <c r="DN2" s="36"/>
      <c r="DO2" s="37"/>
      <c r="DP2" s="38"/>
      <c r="DQ2" s="33">
        <v>6</v>
      </c>
      <c r="DR2" s="34" t="s">
        <v>0</v>
      </c>
      <c r="DS2" s="35"/>
      <c r="DT2" s="35"/>
      <c r="DU2" s="36"/>
      <c r="DV2" s="36"/>
      <c r="DW2" s="36"/>
      <c r="DX2" s="36"/>
      <c r="DY2" s="36"/>
      <c r="DZ2" s="36"/>
      <c r="EA2" s="37"/>
      <c r="EB2" s="38"/>
      <c r="EC2" s="33">
        <v>6</v>
      </c>
      <c r="ED2" s="34" t="s">
        <v>0</v>
      </c>
      <c r="EE2" s="35"/>
      <c r="EF2" s="35"/>
      <c r="EG2" s="36"/>
      <c r="EH2" s="36"/>
      <c r="EI2" s="36"/>
      <c r="EJ2" s="36"/>
      <c r="EK2" s="36"/>
      <c r="EL2" s="36"/>
      <c r="EM2" s="37"/>
      <c r="EN2" s="38"/>
      <c r="EO2" s="76"/>
      <c r="EP2" s="33">
        <v>6</v>
      </c>
      <c r="EQ2" s="34" t="s">
        <v>0</v>
      </c>
      <c r="ER2" s="35"/>
      <c r="ES2" s="35"/>
      <c r="ET2" s="36"/>
      <c r="EU2" s="36"/>
      <c r="EV2" s="36"/>
      <c r="EW2" s="36"/>
      <c r="EX2" s="36"/>
      <c r="EY2" s="36"/>
      <c r="EZ2" s="37"/>
      <c r="FA2" s="76"/>
    </row>
    <row r="3" spans="1:157" ht="16.5" thickBot="1" x14ac:dyDescent="0.25">
      <c r="A3" s="39"/>
      <c r="B3" s="40"/>
      <c r="C3" s="40"/>
      <c r="D3" s="40"/>
      <c r="E3" s="40"/>
      <c r="F3" s="40"/>
      <c r="G3" s="40"/>
      <c r="H3" s="40"/>
      <c r="I3" s="40"/>
      <c r="J3" s="40"/>
      <c r="K3" s="41"/>
      <c r="L3" s="42"/>
      <c r="M3" s="39"/>
      <c r="N3" s="40"/>
      <c r="O3" s="40"/>
      <c r="P3" s="40"/>
      <c r="Q3" s="40"/>
      <c r="R3" s="40"/>
      <c r="S3" s="40"/>
      <c r="T3" s="40"/>
      <c r="U3" s="40"/>
      <c r="V3" s="40"/>
      <c r="W3" s="41"/>
      <c r="X3" s="42"/>
      <c r="Y3" s="39"/>
      <c r="Z3" s="40"/>
      <c r="AA3" s="40"/>
      <c r="AB3" s="40"/>
      <c r="AC3" s="40"/>
      <c r="AD3" s="40"/>
      <c r="AE3" s="40"/>
      <c r="AF3" s="40"/>
      <c r="AG3" s="40"/>
      <c r="AH3" s="40"/>
      <c r="AI3" s="41"/>
      <c r="AJ3" s="42"/>
      <c r="AK3" s="39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42"/>
      <c r="AW3" s="39"/>
      <c r="AX3" s="40"/>
      <c r="AY3" s="40"/>
      <c r="AZ3" s="40"/>
      <c r="BA3" s="40"/>
      <c r="BB3" s="40"/>
      <c r="BC3" s="40"/>
      <c r="BD3" s="40"/>
      <c r="BE3" s="40"/>
      <c r="BF3" s="40"/>
      <c r="BG3" s="41"/>
      <c r="BH3" s="42"/>
      <c r="BI3" s="39"/>
      <c r="BJ3" s="40"/>
      <c r="BK3" s="40"/>
      <c r="BL3" s="40"/>
      <c r="BM3" s="40"/>
      <c r="BN3" s="40"/>
      <c r="BO3" s="40"/>
      <c r="BP3" s="40"/>
      <c r="BQ3" s="40"/>
      <c r="BR3" s="40"/>
      <c r="BS3" s="41"/>
      <c r="BT3" s="42"/>
      <c r="BU3" s="39"/>
      <c r="BV3" s="40"/>
      <c r="BW3" s="40"/>
      <c r="BX3" s="40"/>
      <c r="BY3" s="40"/>
      <c r="BZ3" s="40"/>
      <c r="CA3" s="40"/>
      <c r="CB3" s="40"/>
      <c r="CC3" s="40"/>
      <c r="CD3" s="40"/>
      <c r="CE3" s="41"/>
      <c r="CF3" s="42"/>
      <c r="CG3" s="39"/>
      <c r="CH3" s="40"/>
      <c r="CI3" s="40"/>
      <c r="CJ3" s="40"/>
      <c r="CK3" s="40"/>
      <c r="CL3" s="40"/>
      <c r="CM3" s="40"/>
      <c r="CN3" s="40"/>
      <c r="CO3" s="40"/>
      <c r="CP3" s="40"/>
      <c r="CQ3" s="41"/>
      <c r="CR3" s="42"/>
      <c r="CS3" s="39"/>
      <c r="CT3" s="40"/>
      <c r="CU3" s="40"/>
      <c r="CV3" s="40"/>
      <c r="CW3" s="40"/>
      <c r="CX3" s="40"/>
      <c r="CY3" s="40"/>
      <c r="CZ3" s="40"/>
      <c r="DA3" s="40"/>
      <c r="DB3" s="40"/>
      <c r="DC3" s="41"/>
      <c r="DD3" s="42"/>
      <c r="DE3" s="39"/>
      <c r="DF3" s="40"/>
      <c r="DG3" s="40"/>
      <c r="DH3" s="40"/>
      <c r="DI3" s="40"/>
      <c r="DJ3" s="40"/>
      <c r="DK3" s="40"/>
      <c r="DL3" s="40"/>
      <c r="DM3" s="40"/>
      <c r="DN3" s="40"/>
      <c r="DO3" s="41"/>
      <c r="DP3" s="42"/>
      <c r="DQ3" s="39"/>
      <c r="DR3" s="40"/>
      <c r="DS3" s="40"/>
      <c r="DT3" s="40"/>
      <c r="DU3" s="40"/>
      <c r="DV3" s="40"/>
      <c r="DW3" s="40"/>
      <c r="DX3" s="40"/>
      <c r="DY3" s="40"/>
      <c r="DZ3" s="40"/>
      <c r="EA3" s="41"/>
      <c r="EB3" s="42"/>
      <c r="EC3" s="39"/>
      <c r="ED3" s="40"/>
      <c r="EE3" s="40"/>
      <c r="EF3" s="40"/>
      <c r="EG3" s="40"/>
      <c r="EH3" s="40"/>
      <c r="EI3" s="40"/>
      <c r="EJ3" s="40"/>
      <c r="EK3" s="40"/>
      <c r="EL3" s="40"/>
      <c r="EM3" s="41"/>
      <c r="EN3" s="42"/>
      <c r="EO3" s="77"/>
      <c r="EP3" s="39"/>
      <c r="EQ3" s="40"/>
      <c r="ER3" s="40"/>
      <c r="ES3" s="40"/>
      <c r="ET3" s="40"/>
      <c r="EU3" s="40"/>
      <c r="EV3" s="40"/>
      <c r="EW3" s="40"/>
      <c r="EX3" s="40"/>
      <c r="EY3" s="40"/>
      <c r="EZ3" s="41"/>
      <c r="FA3" s="77"/>
    </row>
    <row r="4" spans="1:157" ht="24.95" customHeight="1" thickBot="1" x14ac:dyDescent="0.25">
      <c r="A4" s="273" t="s">
        <v>4</v>
      </c>
      <c r="B4" s="274"/>
      <c r="C4" s="288"/>
      <c r="D4" s="288"/>
      <c r="E4" s="288"/>
      <c r="F4" s="245" t="s">
        <v>5</v>
      </c>
      <c r="G4" s="246"/>
      <c r="H4" s="40"/>
      <c r="I4" s="279" t="s">
        <v>6</v>
      </c>
      <c r="J4" s="256" t="s">
        <v>7</v>
      </c>
      <c r="K4" s="298">
        <f>SUM('أسنان '!K315:K316)</f>
        <v>720</v>
      </c>
      <c r="L4" s="42"/>
      <c r="M4" s="273" t="s">
        <v>4</v>
      </c>
      <c r="N4" s="274"/>
      <c r="O4" s="288"/>
      <c r="P4" s="288"/>
      <c r="Q4" s="288"/>
      <c r="R4" s="245" t="s">
        <v>5</v>
      </c>
      <c r="S4" s="246"/>
      <c r="T4" s="40"/>
      <c r="U4" s="279" t="s">
        <v>6</v>
      </c>
      <c r="V4" s="256" t="s">
        <v>7</v>
      </c>
      <c r="W4" s="298">
        <f>SUM('أسنان '!W315:W316)</f>
        <v>816</v>
      </c>
      <c r="X4" s="42"/>
      <c r="Y4" s="273" t="s">
        <v>4</v>
      </c>
      <c r="Z4" s="274"/>
      <c r="AA4" s="288"/>
      <c r="AB4" s="288"/>
      <c r="AC4" s="288"/>
      <c r="AD4" s="245" t="s">
        <v>5</v>
      </c>
      <c r="AE4" s="246"/>
      <c r="AF4" s="40"/>
      <c r="AG4" s="279" t="s">
        <v>6</v>
      </c>
      <c r="AH4" s="256" t="s">
        <v>7</v>
      </c>
      <c r="AI4" s="298">
        <f>SUM('أسنان '!AI315:AI316)</f>
        <v>814</v>
      </c>
      <c r="AJ4" s="42"/>
      <c r="AK4" s="273" t="s">
        <v>4</v>
      </c>
      <c r="AL4" s="274"/>
      <c r="AM4" s="288"/>
      <c r="AN4" s="288"/>
      <c r="AO4" s="288"/>
      <c r="AP4" s="245" t="s">
        <v>5</v>
      </c>
      <c r="AQ4" s="246"/>
      <c r="AR4" s="40"/>
      <c r="AS4" s="279" t="s">
        <v>6</v>
      </c>
      <c r="AT4" s="256" t="s">
        <v>7</v>
      </c>
      <c r="AU4" s="298">
        <f>SUM('أسنان '!AU315:AU316)</f>
        <v>816</v>
      </c>
      <c r="AV4" s="42"/>
      <c r="AW4" s="273" t="s">
        <v>4</v>
      </c>
      <c r="AX4" s="274"/>
      <c r="AY4" s="288"/>
      <c r="AZ4" s="288"/>
      <c r="BA4" s="288"/>
      <c r="BB4" s="245" t="s">
        <v>5</v>
      </c>
      <c r="BC4" s="246"/>
      <c r="BD4" s="40"/>
      <c r="BE4" s="279" t="s">
        <v>6</v>
      </c>
      <c r="BF4" s="256" t="s">
        <v>7</v>
      </c>
      <c r="BG4" s="298">
        <f>SUM('أسنان '!BG315:BG316)</f>
        <v>1024</v>
      </c>
      <c r="BH4" s="42"/>
      <c r="BI4" s="273" t="s">
        <v>4</v>
      </c>
      <c r="BJ4" s="274"/>
      <c r="BK4" s="288"/>
      <c r="BL4" s="288"/>
      <c r="BM4" s="288"/>
      <c r="BN4" s="245" t="s">
        <v>5</v>
      </c>
      <c r="BO4" s="246"/>
      <c r="BP4" s="40"/>
      <c r="BQ4" s="279" t="s">
        <v>6</v>
      </c>
      <c r="BR4" s="256" t="s">
        <v>7</v>
      </c>
      <c r="BS4" s="298">
        <f>SUM('أسنان '!BS315:BS316)</f>
        <v>1068</v>
      </c>
      <c r="BT4" s="42"/>
      <c r="BU4" s="273" t="s">
        <v>4</v>
      </c>
      <c r="BV4" s="274"/>
      <c r="BW4" s="288"/>
      <c r="BX4" s="288"/>
      <c r="BY4" s="288"/>
      <c r="BZ4" s="245" t="s">
        <v>5</v>
      </c>
      <c r="CA4" s="246"/>
      <c r="CB4" s="40"/>
      <c r="CC4" s="279" t="s">
        <v>6</v>
      </c>
      <c r="CD4" s="256" t="s">
        <v>7</v>
      </c>
      <c r="CE4" s="298">
        <f>SUM('أسنان '!CE315:CE316)</f>
        <v>783</v>
      </c>
      <c r="CF4" s="42"/>
      <c r="CG4" s="273" t="s">
        <v>4</v>
      </c>
      <c r="CH4" s="274"/>
      <c r="CI4" s="288"/>
      <c r="CJ4" s="288"/>
      <c r="CK4" s="288"/>
      <c r="CL4" s="245" t="s">
        <v>5</v>
      </c>
      <c r="CM4" s="246"/>
      <c r="CN4" s="40"/>
      <c r="CO4" s="279" t="s">
        <v>6</v>
      </c>
      <c r="CP4" s="256" t="s">
        <v>7</v>
      </c>
      <c r="CQ4" s="298">
        <f>SUM('أسنان '!CQ315:CQ316)</f>
        <v>576</v>
      </c>
      <c r="CR4" s="42"/>
      <c r="CS4" s="273" t="s">
        <v>4</v>
      </c>
      <c r="CT4" s="274"/>
      <c r="CU4" s="288"/>
      <c r="CV4" s="288"/>
      <c r="CW4" s="288"/>
      <c r="CX4" s="245" t="s">
        <v>5</v>
      </c>
      <c r="CY4" s="246"/>
      <c r="CZ4" s="40"/>
      <c r="DA4" s="279" t="s">
        <v>6</v>
      </c>
      <c r="DB4" s="256" t="s">
        <v>7</v>
      </c>
      <c r="DC4" s="298">
        <f>SUM('أسنان '!DC315:DC316)</f>
        <v>0</v>
      </c>
      <c r="DD4" s="42"/>
      <c r="DE4" s="273" t="s">
        <v>4</v>
      </c>
      <c r="DF4" s="274"/>
      <c r="DG4" s="288"/>
      <c r="DH4" s="288"/>
      <c r="DI4" s="288"/>
      <c r="DJ4" s="245" t="s">
        <v>5</v>
      </c>
      <c r="DK4" s="246"/>
      <c r="DL4" s="40"/>
      <c r="DM4" s="279" t="s">
        <v>6</v>
      </c>
      <c r="DN4" s="256" t="s">
        <v>7</v>
      </c>
      <c r="DO4" s="298">
        <f>SUM('أسنان '!DO315:DO316)</f>
        <v>711</v>
      </c>
      <c r="DP4" s="42"/>
      <c r="DQ4" s="273" t="s">
        <v>4</v>
      </c>
      <c r="DR4" s="274"/>
      <c r="DS4" s="288"/>
      <c r="DT4" s="288"/>
      <c r="DU4" s="288"/>
      <c r="DV4" s="245" t="s">
        <v>5</v>
      </c>
      <c r="DW4" s="246"/>
      <c r="DX4" s="40"/>
      <c r="DY4" s="279" t="s">
        <v>6</v>
      </c>
      <c r="DZ4" s="256" t="s">
        <v>7</v>
      </c>
      <c r="EA4" s="298">
        <f>SUM('أسنان '!EA315:EA316)</f>
        <v>0</v>
      </c>
      <c r="EB4" s="42"/>
      <c r="EC4" s="273" t="s">
        <v>4</v>
      </c>
      <c r="ED4" s="274"/>
      <c r="EE4" s="288"/>
      <c r="EF4" s="288"/>
      <c r="EG4" s="288"/>
      <c r="EH4" s="245" t="s">
        <v>5</v>
      </c>
      <c r="EI4" s="246"/>
      <c r="EJ4" s="40"/>
      <c r="EK4" s="279" t="s">
        <v>6</v>
      </c>
      <c r="EL4" s="256" t="s">
        <v>7</v>
      </c>
      <c r="EM4" s="298">
        <f>SUM('أسنان '!EM315:EM316)</f>
        <v>0</v>
      </c>
      <c r="EN4" s="42"/>
      <c r="EO4" s="77"/>
      <c r="EP4" s="273" t="s">
        <v>4</v>
      </c>
      <c r="EQ4" s="274"/>
      <c r="ER4" s="274"/>
      <c r="ES4" s="274"/>
      <c r="ET4" s="275"/>
      <c r="EU4" s="273" t="s">
        <v>5</v>
      </c>
      <c r="EV4" s="275"/>
      <c r="EW4" s="40"/>
      <c r="EX4" s="243" t="s">
        <v>6</v>
      </c>
      <c r="EY4" s="267" t="s">
        <v>7</v>
      </c>
      <c r="EZ4" s="267">
        <f>SUM(K4+W4+AI4+AU4+BG4+BS4+CE4+CQ4+DC4+DO4+EA4+EM4)</f>
        <v>7328</v>
      </c>
      <c r="FA4" s="77"/>
    </row>
    <row r="5" spans="1:157" ht="24.95" customHeight="1" thickBot="1" x14ac:dyDescent="0.25">
      <c r="A5" s="281" t="s">
        <v>8</v>
      </c>
      <c r="B5" s="289"/>
      <c r="C5" s="291" t="s">
        <v>9</v>
      </c>
      <c r="D5" s="292"/>
      <c r="E5" s="293"/>
      <c r="F5" s="291">
        <f>'أسنان '!F316:G316</f>
        <v>217</v>
      </c>
      <c r="G5" s="294"/>
      <c r="H5" s="40"/>
      <c r="I5" s="281"/>
      <c r="J5" s="259"/>
      <c r="K5" s="299"/>
      <c r="L5" s="42"/>
      <c r="M5" s="281" t="s">
        <v>8</v>
      </c>
      <c r="N5" s="289"/>
      <c r="O5" s="291" t="s">
        <v>9</v>
      </c>
      <c r="P5" s="292"/>
      <c r="Q5" s="293"/>
      <c r="R5" s="291">
        <f>'أسنان '!R316:S316</f>
        <v>169</v>
      </c>
      <c r="S5" s="294"/>
      <c r="T5" s="40"/>
      <c r="U5" s="281"/>
      <c r="V5" s="259"/>
      <c r="W5" s="299"/>
      <c r="X5" s="42"/>
      <c r="Y5" s="281" t="s">
        <v>8</v>
      </c>
      <c r="Z5" s="289"/>
      <c r="AA5" s="291" t="s">
        <v>9</v>
      </c>
      <c r="AB5" s="292"/>
      <c r="AC5" s="293"/>
      <c r="AD5" s="291">
        <f>'أسنان '!AD316:AE316</f>
        <v>71</v>
      </c>
      <c r="AE5" s="294"/>
      <c r="AF5" s="40"/>
      <c r="AG5" s="281"/>
      <c r="AH5" s="259"/>
      <c r="AI5" s="299"/>
      <c r="AJ5" s="42"/>
      <c r="AK5" s="281" t="s">
        <v>8</v>
      </c>
      <c r="AL5" s="289"/>
      <c r="AM5" s="291" t="s">
        <v>9</v>
      </c>
      <c r="AN5" s="292"/>
      <c r="AO5" s="293"/>
      <c r="AP5" s="291">
        <f>'أسنان '!AP316:AQ316</f>
        <v>234</v>
      </c>
      <c r="AQ5" s="294"/>
      <c r="AR5" s="40"/>
      <c r="AS5" s="281"/>
      <c r="AT5" s="259"/>
      <c r="AU5" s="299"/>
      <c r="AV5" s="42"/>
      <c r="AW5" s="281" t="s">
        <v>8</v>
      </c>
      <c r="AX5" s="289"/>
      <c r="AY5" s="291" t="s">
        <v>9</v>
      </c>
      <c r="AZ5" s="292"/>
      <c r="BA5" s="293"/>
      <c r="BB5" s="291">
        <f>'أسنان '!BB316:BC316</f>
        <v>36</v>
      </c>
      <c r="BC5" s="294"/>
      <c r="BD5" s="40"/>
      <c r="BE5" s="281"/>
      <c r="BF5" s="259"/>
      <c r="BG5" s="299"/>
      <c r="BH5" s="42"/>
      <c r="BI5" s="281" t="s">
        <v>8</v>
      </c>
      <c r="BJ5" s="289"/>
      <c r="BK5" s="291" t="s">
        <v>9</v>
      </c>
      <c r="BL5" s="292"/>
      <c r="BM5" s="293"/>
      <c r="BN5" s="291">
        <f>'أسنان '!BN316:BO316</f>
        <v>86</v>
      </c>
      <c r="BO5" s="294"/>
      <c r="BP5" s="40"/>
      <c r="BQ5" s="281"/>
      <c r="BR5" s="259"/>
      <c r="BS5" s="299"/>
      <c r="BT5" s="42"/>
      <c r="BU5" s="281" t="s">
        <v>8</v>
      </c>
      <c r="BV5" s="289"/>
      <c r="BW5" s="291" t="s">
        <v>9</v>
      </c>
      <c r="BX5" s="292"/>
      <c r="BY5" s="293"/>
      <c r="BZ5" s="291">
        <f>'أسنان '!BZ316:CA316</f>
        <v>234</v>
      </c>
      <c r="CA5" s="294"/>
      <c r="CB5" s="40"/>
      <c r="CC5" s="281"/>
      <c r="CD5" s="259"/>
      <c r="CE5" s="299"/>
      <c r="CF5" s="42"/>
      <c r="CG5" s="281" t="s">
        <v>8</v>
      </c>
      <c r="CH5" s="289"/>
      <c r="CI5" s="291" t="s">
        <v>9</v>
      </c>
      <c r="CJ5" s="292"/>
      <c r="CK5" s="293"/>
      <c r="CL5" s="291">
        <f>'أسنان '!CL316:CM316</f>
        <v>0</v>
      </c>
      <c r="CM5" s="294"/>
      <c r="CN5" s="40"/>
      <c r="CO5" s="281"/>
      <c r="CP5" s="259"/>
      <c r="CQ5" s="299"/>
      <c r="CR5" s="42"/>
      <c r="CS5" s="281" t="s">
        <v>8</v>
      </c>
      <c r="CT5" s="289"/>
      <c r="CU5" s="291" t="s">
        <v>9</v>
      </c>
      <c r="CV5" s="292"/>
      <c r="CW5" s="293"/>
      <c r="CX5" s="291">
        <f>'أسنان '!CX316:CY316</f>
        <v>0</v>
      </c>
      <c r="CY5" s="294"/>
      <c r="CZ5" s="40"/>
      <c r="DA5" s="281"/>
      <c r="DB5" s="259"/>
      <c r="DC5" s="299"/>
      <c r="DD5" s="42"/>
      <c r="DE5" s="281" t="s">
        <v>8</v>
      </c>
      <c r="DF5" s="289"/>
      <c r="DG5" s="291" t="s">
        <v>9</v>
      </c>
      <c r="DH5" s="292"/>
      <c r="DI5" s="293"/>
      <c r="DJ5" s="291">
        <f>'أسنان '!DJ316:DK316</f>
        <v>0</v>
      </c>
      <c r="DK5" s="294"/>
      <c r="DL5" s="40"/>
      <c r="DM5" s="281"/>
      <c r="DN5" s="259"/>
      <c r="DO5" s="299"/>
      <c r="DP5" s="42"/>
      <c r="DQ5" s="281" t="s">
        <v>8</v>
      </c>
      <c r="DR5" s="289"/>
      <c r="DS5" s="291" t="s">
        <v>9</v>
      </c>
      <c r="DT5" s="292"/>
      <c r="DU5" s="293"/>
      <c r="DV5" s="291">
        <f>'أسنان '!DV316:DW316</f>
        <v>0</v>
      </c>
      <c r="DW5" s="294"/>
      <c r="DX5" s="40"/>
      <c r="DY5" s="281"/>
      <c r="DZ5" s="259"/>
      <c r="EA5" s="299"/>
      <c r="EB5" s="42"/>
      <c r="EC5" s="281" t="s">
        <v>8</v>
      </c>
      <c r="ED5" s="289"/>
      <c r="EE5" s="291" t="s">
        <v>9</v>
      </c>
      <c r="EF5" s="292"/>
      <c r="EG5" s="293"/>
      <c r="EH5" s="291">
        <f>'أسنان '!EH316:EI316</f>
        <v>0</v>
      </c>
      <c r="EI5" s="294"/>
      <c r="EJ5" s="40"/>
      <c r="EK5" s="281"/>
      <c r="EL5" s="259"/>
      <c r="EM5" s="299"/>
      <c r="EN5" s="42"/>
      <c r="EO5" s="77"/>
      <c r="EP5" s="279" t="s">
        <v>8</v>
      </c>
      <c r="EQ5" s="280"/>
      <c r="ER5" s="256" t="s">
        <v>9</v>
      </c>
      <c r="ES5" s="257"/>
      <c r="ET5" s="258"/>
      <c r="EU5" s="256">
        <f t="shared" ref="EU5:EU26" si="0">SUM(F5+R5+AD5+AP5+BB5+BN5+BZ5+CL5+CX5+DJ5+DV5+EH5)</f>
        <v>1047</v>
      </c>
      <c r="EV5" s="258"/>
      <c r="EW5" s="40"/>
      <c r="EX5" s="255"/>
      <c r="EY5" s="268"/>
      <c r="EZ5" s="268"/>
      <c r="FA5" s="77"/>
    </row>
    <row r="6" spans="1:157" ht="24.95" customHeight="1" thickBot="1" x14ac:dyDescent="0.25">
      <c r="A6" s="281"/>
      <c r="B6" s="289"/>
      <c r="C6" s="295" t="s">
        <v>10</v>
      </c>
      <c r="D6" s="296"/>
      <c r="E6" s="297"/>
      <c r="F6" s="291">
        <f>'أسنان '!F317:G317</f>
        <v>130</v>
      </c>
      <c r="G6" s="294"/>
      <c r="H6" s="40"/>
      <c r="I6" s="281"/>
      <c r="J6" s="259" t="s">
        <v>11</v>
      </c>
      <c r="K6" s="298" t="e">
        <f>SUM('أسنان '!K317:K318)</f>
        <v>#VALUE!</v>
      </c>
      <c r="L6" s="42"/>
      <c r="M6" s="281"/>
      <c r="N6" s="289"/>
      <c r="O6" s="295" t="s">
        <v>10</v>
      </c>
      <c r="P6" s="296"/>
      <c r="Q6" s="297"/>
      <c r="R6" s="291">
        <f>'أسنان '!R317:S317</f>
        <v>129</v>
      </c>
      <c r="S6" s="294"/>
      <c r="T6" s="40"/>
      <c r="U6" s="281"/>
      <c r="V6" s="259" t="s">
        <v>11</v>
      </c>
      <c r="W6" s="298">
        <f>SUM('أسنان '!W317:W318)</f>
        <v>1233</v>
      </c>
      <c r="X6" s="42"/>
      <c r="Y6" s="281"/>
      <c r="Z6" s="289"/>
      <c r="AA6" s="295" t="s">
        <v>10</v>
      </c>
      <c r="AB6" s="296"/>
      <c r="AC6" s="297"/>
      <c r="AD6" s="291">
        <f>'أسنان '!AD317:AE317</f>
        <v>188</v>
      </c>
      <c r="AE6" s="294"/>
      <c r="AF6" s="40"/>
      <c r="AG6" s="281"/>
      <c r="AH6" s="259" t="s">
        <v>11</v>
      </c>
      <c r="AI6" s="298">
        <f>SUM('أسنان '!AI317:AI318)</f>
        <v>1150</v>
      </c>
      <c r="AJ6" s="42"/>
      <c r="AK6" s="281"/>
      <c r="AL6" s="289"/>
      <c r="AM6" s="295" t="s">
        <v>10</v>
      </c>
      <c r="AN6" s="296"/>
      <c r="AO6" s="297"/>
      <c r="AP6" s="291">
        <f>'أسنان '!AP317:AQ317</f>
        <v>138</v>
      </c>
      <c r="AQ6" s="294"/>
      <c r="AR6" s="40"/>
      <c r="AS6" s="281"/>
      <c r="AT6" s="259" t="s">
        <v>11</v>
      </c>
      <c r="AU6" s="298">
        <f>SUM('أسنان '!AU317:AU318)</f>
        <v>1057</v>
      </c>
      <c r="AV6" s="42"/>
      <c r="AW6" s="281"/>
      <c r="AX6" s="289"/>
      <c r="AY6" s="295" t="s">
        <v>10</v>
      </c>
      <c r="AZ6" s="296"/>
      <c r="BA6" s="297"/>
      <c r="BB6" s="291">
        <f>'أسنان '!BB317:BC317</f>
        <v>7</v>
      </c>
      <c r="BC6" s="294"/>
      <c r="BD6" s="40"/>
      <c r="BE6" s="281"/>
      <c r="BF6" s="259" t="s">
        <v>11</v>
      </c>
      <c r="BG6" s="298">
        <f>SUM('أسنان '!BG317:BG318)</f>
        <v>1203</v>
      </c>
      <c r="BH6" s="42"/>
      <c r="BI6" s="281"/>
      <c r="BJ6" s="289"/>
      <c r="BK6" s="295" t="s">
        <v>10</v>
      </c>
      <c r="BL6" s="296"/>
      <c r="BM6" s="297"/>
      <c r="BN6" s="291">
        <f>'أسنان '!BN317:BO317</f>
        <v>98</v>
      </c>
      <c r="BO6" s="294"/>
      <c r="BP6" s="40"/>
      <c r="BQ6" s="281"/>
      <c r="BR6" s="259" t="s">
        <v>11</v>
      </c>
      <c r="BS6" s="298">
        <f>SUM('أسنان '!BS317:BS318)</f>
        <v>1048</v>
      </c>
      <c r="BT6" s="42"/>
      <c r="BU6" s="281"/>
      <c r="BV6" s="289"/>
      <c r="BW6" s="295" t="s">
        <v>10</v>
      </c>
      <c r="BX6" s="296"/>
      <c r="BY6" s="297"/>
      <c r="BZ6" s="291">
        <f>'أسنان '!BZ317:CA317</f>
        <v>142</v>
      </c>
      <c r="CA6" s="294"/>
      <c r="CB6" s="40"/>
      <c r="CC6" s="281"/>
      <c r="CD6" s="259" t="s">
        <v>11</v>
      </c>
      <c r="CE6" s="298">
        <f>SUM('أسنان '!CE317:CE318)</f>
        <v>1075</v>
      </c>
      <c r="CF6" s="42"/>
      <c r="CG6" s="281"/>
      <c r="CH6" s="289"/>
      <c r="CI6" s="295" t="s">
        <v>10</v>
      </c>
      <c r="CJ6" s="296"/>
      <c r="CK6" s="297"/>
      <c r="CL6" s="291">
        <f>'أسنان '!CL317:CM317</f>
        <v>42</v>
      </c>
      <c r="CM6" s="294"/>
      <c r="CN6" s="40"/>
      <c r="CO6" s="281"/>
      <c r="CP6" s="259" t="s">
        <v>11</v>
      </c>
      <c r="CQ6" s="298">
        <f>SUM('أسنان '!CQ317:CQ318)</f>
        <v>444</v>
      </c>
      <c r="CR6" s="42"/>
      <c r="CS6" s="281"/>
      <c r="CT6" s="289"/>
      <c r="CU6" s="295" t="s">
        <v>10</v>
      </c>
      <c r="CV6" s="296"/>
      <c r="CW6" s="297"/>
      <c r="CX6" s="291">
        <f>'أسنان '!CX317:CY317</f>
        <v>0</v>
      </c>
      <c r="CY6" s="294"/>
      <c r="CZ6" s="40"/>
      <c r="DA6" s="281"/>
      <c r="DB6" s="259" t="s">
        <v>11</v>
      </c>
      <c r="DC6" s="298">
        <f>SUM('أسنان '!DC317:DC318)</f>
        <v>0</v>
      </c>
      <c r="DD6" s="42"/>
      <c r="DE6" s="281"/>
      <c r="DF6" s="289"/>
      <c r="DG6" s="295" t="s">
        <v>10</v>
      </c>
      <c r="DH6" s="296"/>
      <c r="DI6" s="297"/>
      <c r="DJ6" s="291">
        <f>'أسنان '!DJ317:DK317</f>
        <v>69</v>
      </c>
      <c r="DK6" s="294"/>
      <c r="DL6" s="40"/>
      <c r="DM6" s="281"/>
      <c r="DN6" s="259" t="s">
        <v>11</v>
      </c>
      <c r="DO6" s="298">
        <f>SUM('أسنان '!DO317:DO318)</f>
        <v>919</v>
      </c>
      <c r="DP6" s="42"/>
      <c r="DQ6" s="281"/>
      <c r="DR6" s="289"/>
      <c r="DS6" s="295" t="s">
        <v>10</v>
      </c>
      <c r="DT6" s="296"/>
      <c r="DU6" s="297"/>
      <c r="DV6" s="291">
        <f>'أسنان '!DV317:DW317</f>
        <v>0</v>
      </c>
      <c r="DW6" s="294"/>
      <c r="DX6" s="40"/>
      <c r="DY6" s="281"/>
      <c r="DZ6" s="259" t="s">
        <v>11</v>
      </c>
      <c r="EA6" s="298">
        <f>SUM('أسنان '!EA317:EA318)</f>
        <v>0</v>
      </c>
      <c r="EB6" s="42"/>
      <c r="EC6" s="281"/>
      <c r="ED6" s="289"/>
      <c r="EE6" s="295" t="s">
        <v>10</v>
      </c>
      <c r="EF6" s="296"/>
      <c r="EG6" s="297"/>
      <c r="EH6" s="291">
        <f>'أسنان '!EH317:EI317</f>
        <v>0</v>
      </c>
      <c r="EI6" s="294"/>
      <c r="EJ6" s="40"/>
      <c r="EK6" s="281"/>
      <c r="EL6" s="259" t="s">
        <v>11</v>
      </c>
      <c r="EM6" s="298">
        <f>SUM('أسنان '!EM317:EM318)</f>
        <v>0</v>
      </c>
      <c r="EN6" s="42"/>
      <c r="EO6" s="77"/>
      <c r="EP6" s="281"/>
      <c r="EQ6" s="282"/>
      <c r="ER6" s="259" t="s">
        <v>10</v>
      </c>
      <c r="ES6" s="260"/>
      <c r="ET6" s="261"/>
      <c r="EU6" s="259">
        <f t="shared" si="0"/>
        <v>943</v>
      </c>
      <c r="EV6" s="261"/>
      <c r="EW6" s="40"/>
      <c r="EX6" s="255"/>
      <c r="EY6" s="278" t="s">
        <v>11</v>
      </c>
      <c r="EZ6" s="278" t="e">
        <f>SUM(K6+W6+AI6+AU6+BG6+BS6+CE6+CQ6+DC6+DO6+EA6+EM6)</f>
        <v>#VALUE!</v>
      </c>
      <c r="FA6" s="77"/>
    </row>
    <row r="7" spans="1:157" ht="24.95" customHeight="1" thickBot="1" x14ac:dyDescent="0.25">
      <c r="A7" s="283"/>
      <c r="B7" s="290"/>
      <c r="C7" s="300" t="s">
        <v>12</v>
      </c>
      <c r="D7" s="301"/>
      <c r="E7" s="302"/>
      <c r="F7" s="291">
        <f>'أسنان '!F318:G318</f>
        <v>95</v>
      </c>
      <c r="G7" s="294"/>
      <c r="H7" s="40"/>
      <c r="I7" s="283"/>
      <c r="J7" s="276"/>
      <c r="K7" s="299"/>
      <c r="L7" s="42"/>
      <c r="M7" s="283"/>
      <c r="N7" s="290"/>
      <c r="O7" s="300" t="s">
        <v>12</v>
      </c>
      <c r="P7" s="301"/>
      <c r="Q7" s="302"/>
      <c r="R7" s="291">
        <f>'أسنان '!R318:S318</f>
        <v>0</v>
      </c>
      <c r="S7" s="294"/>
      <c r="T7" s="40"/>
      <c r="U7" s="283"/>
      <c r="V7" s="276"/>
      <c r="W7" s="299"/>
      <c r="X7" s="42"/>
      <c r="Y7" s="283"/>
      <c r="Z7" s="290"/>
      <c r="AA7" s="300" t="s">
        <v>12</v>
      </c>
      <c r="AB7" s="301"/>
      <c r="AC7" s="302"/>
      <c r="AD7" s="291">
        <f>'أسنان '!AD318:AE318</f>
        <v>71</v>
      </c>
      <c r="AE7" s="294"/>
      <c r="AF7" s="40"/>
      <c r="AG7" s="283"/>
      <c r="AH7" s="276"/>
      <c r="AI7" s="299"/>
      <c r="AJ7" s="42"/>
      <c r="AK7" s="283"/>
      <c r="AL7" s="290"/>
      <c r="AM7" s="300" t="s">
        <v>12</v>
      </c>
      <c r="AN7" s="301"/>
      <c r="AO7" s="302"/>
      <c r="AP7" s="291">
        <f>'أسنان '!AP318:AQ318</f>
        <v>86</v>
      </c>
      <c r="AQ7" s="294"/>
      <c r="AR7" s="40"/>
      <c r="AS7" s="283"/>
      <c r="AT7" s="276"/>
      <c r="AU7" s="299"/>
      <c r="AV7" s="42"/>
      <c r="AW7" s="283"/>
      <c r="AX7" s="290"/>
      <c r="AY7" s="300" t="s">
        <v>12</v>
      </c>
      <c r="AZ7" s="301"/>
      <c r="BA7" s="302"/>
      <c r="BB7" s="291">
        <f>'أسنان '!BB318:BC318</f>
        <v>286</v>
      </c>
      <c r="BC7" s="294"/>
      <c r="BD7" s="40"/>
      <c r="BE7" s="283"/>
      <c r="BF7" s="276"/>
      <c r="BG7" s="299"/>
      <c r="BH7" s="42"/>
      <c r="BI7" s="283"/>
      <c r="BJ7" s="290"/>
      <c r="BK7" s="300" t="s">
        <v>12</v>
      </c>
      <c r="BL7" s="301"/>
      <c r="BM7" s="302"/>
      <c r="BN7" s="291">
        <f>'أسنان '!BN318:BO318</f>
        <v>0</v>
      </c>
      <c r="BO7" s="294"/>
      <c r="BP7" s="40"/>
      <c r="BQ7" s="283"/>
      <c r="BR7" s="276"/>
      <c r="BS7" s="299"/>
      <c r="BT7" s="42"/>
      <c r="BU7" s="283"/>
      <c r="BV7" s="290"/>
      <c r="BW7" s="300" t="s">
        <v>12</v>
      </c>
      <c r="BX7" s="301"/>
      <c r="BY7" s="302"/>
      <c r="BZ7" s="291">
        <f>'أسنان '!BZ318:CA318</f>
        <v>86</v>
      </c>
      <c r="CA7" s="294"/>
      <c r="CB7" s="40"/>
      <c r="CC7" s="283"/>
      <c r="CD7" s="276"/>
      <c r="CE7" s="299"/>
      <c r="CF7" s="42"/>
      <c r="CG7" s="283"/>
      <c r="CH7" s="290"/>
      <c r="CI7" s="300" t="s">
        <v>12</v>
      </c>
      <c r="CJ7" s="301"/>
      <c r="CK7" s="302"/>
      <c r="CL7" s="291">
        <f>'أسنان '!CL318:CM318</f>
        <v>0</v>
      </c>
      <c r="CM7" s="294"/>
      <c r="CN7" s="40"/>
      <c r="CO7" s="283"/>
      <c r="CP7" s="276"/>
      <c r="CQ7" s="299"/>
      <c r="CR7" s="42"/>
      <c r="CS7" s="283"/>
      <c r="CT7" s="290"/>
      <c r="CU7" s="300" t="s">
        <v>12</v>
      </c>
      <c r="CV7" s="301"/>
      <c r="CW7" s="302"/>
      <c r="CX7" s="291">
        <f>'أسنان '!CX318:CY318</f>
        <v>0</v>
      </c>
      <c r="CY7" s="294"/>
      <c r="CZ7" s="40"/>
      <c r="DA7" s="283"/>
      <c r="DB7" s="276"/>
      <c r="DC7" s="299"/>
      <c r="DD7" s="42"/>
      <c r="DE7" s="283"/>
      <c r="DF7" s="290"/>
      <c r="DG7" s="300" t="s">
        <v>12</v>
      </c>
      <c r="DH7" s="301"/>
      <c r="DI7" s="302"/>
      <c r="DJ7" s="291">
        <f>'أسنان '!DJ318:DK318</f>
        <v>100</v>
      </c>
      <c r="DK7" s="294"/>
      <c r="DL7" s="40"/>
      <c r="DM7" s="283"/>
      <c r="DN7" s="276"/>
      <c r="DO7" s="299"/>
      <c r="DP7" s="42"/>
      <c r="DQ7" s="283"/>
      <c r="DR7" s="290"/>
      <c r="DS7" s="300" t="s">
        <v>12</v>
      </c>
      <c r="DT7" s="301"/>
      <c r="DU7" s="302"/>
      <c r="DV7" s="291">
        <f>'أسنان '!DV318:DW318</f>
        <v>0</v>
      </c>
      <c r="DW7" s="294"/>
      <c r="DX7" s="40"/>
      <c r="DY7" s="283"/>
      <c r="DZ7" s="276"/>
      <c r="EA7" s="299"/>
      <c r="EB7" s="42"/>
      <c r="EC7" s="283"/>
      <c r="ED7" s="290"/>
      <c r="EE7" s="300" t="s">
        <v>12</v>
      </c>
      <c r="EF7" s="301"/>
      <c r="EG7" s="302"/>
      <c r="EH7" s="291">
        <f>'أسنان '!EH318:EI318</f>
        <v>0</v>
      </c>
      <c r="EI7" s="294"/>
      <c r="EJ7" s="40"/>
      <c r="EK7" s="283"/>
      <c r="EL7" s="276"/>
      <c r="EM7" s="299"/>
      <c r="EN7" s="42"/>
      <c r="EO7" s="77"/>
      <c r="EP7" s="283"/>
      <c r="EQ7" s="284"/>
      <c r="ER7" s="262" t="s">
        <v>12</v>
      </c>
      <c r="ES7" s="263"/>
      <c r="ET7" s="264"/>
      <c r="EU7" s="262">
        <f t="shared" si="0"/>
        <v>724</v>
      </c>
      <c r="EV7" s="264"/>
      <c r="EW7" s="40"/>
      <c r="EX7" s="244"/>
      <c r="EY7" s="269"/>
      <c r="EZ7" s="269"/>
      <c r="FA7" s="77"/>
    </row>
    <row r="8" spans="1:157" ht="24.95" customHeight="1" thickBot="1" x14ac:dyDescent="0.25">
      <c r="A8" s="285">
        <f>-C1</f>
        <v>0</v>
      </c>
      <c r="B8" s="255" t="s">
        <v>14</v>
      </c>
      <c r="C8" s="256" t="s">
        <v>29</v>
      </c>
      <c r="D8" s="257"/>
      <c r="E8" s="257"/>
      <c r="F8" s="291">
        <f>'أسنان '!F319:G319</f>
        <v>335</v>
      </c>
      <c r="G8" s="294"/>
      <c r="H8" s="40"/>
      <c r="I8" s="279" t="s">
        <v>15</v>
      </c>
      <c r="J8" s="256" t="s">
        <v>7</v>
      </c>
      <c r="K8" s="298">
        <f>SUM('أسنان '!K319:K320)</f>
        <v>443</v>
      </c>
      <c r="L8" s="42"/>
      <c r="M8" s="285">
        <f>-O1</f>
        <v>0</v>
      </c>
      <c r="N8" s="255" t="s">
        <v>14</v>
      </c>
      <c r="O8" s="256" t="s">
        <v>29</v>
      </c>
      <c r="P8" s="257"/>
      <c r="Q8" s="257"/>
      <c r="R8" s="291">
        <f>'أسنان '!R319:S319</f>
        <v>284</v>
      </c>
      <c r="S8" s="294"/>
      <c r="T8" s="40"/>
      <c r="U8" s="279" t="s">
        <v>15</v>
      </c>
      <c r="V8" s="256" t="s">
        <v>7</v>
      </c>
      <c r="W8" s="298">
        <f>SUM('أسنان '!W319:W320)</f>
        <v>510</v>
      </c>
      <c r="X8" s="42"/>
      <c r="Y8" s="285">
        <f>-AA1</f>
        <v>0</v>
      </c>
      <c r="Z8" s="255" t="s">
        <v>14</v>
      </c>
      <c r="AA8" s="256" t="s">
        <v>29</v>
      </c>
      <c r="AB8" s="257"/>
      <c r="AC8" s="257"/>
      <c r="AD8" s="291">
        <f>'أسنان '!AD319:AE319</f>
        <v>164</v>
      </c>
      <c r="AE8" s="294"/>
      <c r="AF8" s="40"/>
      <c r="AG8" s="279" t="s">
        <v>15</v>
      </c>
      <c r="AH8" s="256" t="s">
        <v>7</v>
      </c>
      <c r="AI8" s="298">
        <f>SUM('أسنان '!AI319:AI320)</f>
        <v>350</v>
      </c>
      <c r="AJ8" s="42"/>
      <c r="AK8" s="285">
        <f>-AM1</f>
        <v>0</v>
      </c>
      <c r="AL8" s="255" t="s">
        <v>14</v>
      </c>
      <c r="AM8" s="256" t="s">
        <v>29</v>
      </c>
      <c r="AN8" s="257"/>
      <c r="AO8" s="257"/>
      <c r="AP8" s="291">
        <f>'أسنان '!AP319:AQ319</f>
        <v>309</v>
      </c>
      <c r="AQ8" s="294"/>
      <c r="AR8" s="40"/>
      <c r="AS8" s="279" t="s">
        <v>15</v>
      </c>
      <c r="AT8" s="256" t="s">
        <v>7</v>
      </c>
      <c r="AU8" s="298">
        <f>SUM('أسنان '!AU319:AU320)</f>
        <v>503</v>
      </c>
      <c r="AV8" s="42"/>
      <c r="AW8" s="285">
        <f>-AY1</f>
        <v>0</v>
      </c>
      <c r="AX8" s="255" t="s">
        <v>14</v>
      </c>
      <c r="AY8" s="256" t="s">
        <v>29</v>
      </c>
      <c r="AZ8" s="257"/>
      <c r="BA8" s="257"/>
      <c r="BB8" s="291">
        <f>'أسنان '!BB319:BC319</f>
        <v>162</v>
      </c>
      <c r="BC8" s="294"/>
      <c r="BD8" s="40"/>
      <c r="BE8" s="279" t="s">
        <v>15</v>
      </c>
      <c r="BF8" s="256" t="s">
        <v>7</v>
      </c>
      <c r="BG8" s="298">
        <f>SUM('أسنان '!BG319:BG320)</f>
        <v>446</v>
      </c>
      <c r="BH8" s="42"/>
      <c r="BI8" s="285">
        <f>-BK1</f>
        <v>0</v>
      </c>
      <c r="BJ8" s="255" t="s">
        <v>14</v>
      </c>
      <c r="BK8" s="256" t="s">
        <v>29</v>
      </c>
      <c r="BL8" s="257"/>
      <c r="BM8" s="257"/>
      <c r="BN8" s="291">
        <f>'أسنان '!BN319:BO319</f>
        <v>83</v>
      </c>
      <c r="BO8" s="294"/>
      <c r="BP8" s="40"/>
      <c r="BQ8" s="279" t="s">
        <v>15</v>
      </c>
      <c r="BR8" s="256" t="s">
        <v>7</v>
      </c>
      <c r="BS8" s="298">
        <f>SUM('أسنان '!BS319:BS320)</f>
        <v>170</v>
      </c>
      <c r="BT8" s="42"/>
      <c r="BU8" s="285">
        <f>-BW1</f>
        <v>0</v>
      </c>
      <c r="BV8" s="255" t="s">
        <v>14</v>
      </c>
      <c r="BW8" s="256" t="s">
        <v>29</v>
      </c>
      <c r="BX8" s="257"/>
      <c r="BY8" s="257"/>
      <c r="BZ8" s="291">
        <f>'أسنان '!BZ319:CA319</f>
        <v>296</v>
      </c>
      <c r="CA8" s="294"/>
      <c r="CB8" s="40"/>
      <c r="CC8" s="279" t="s">
        <v>15</v>
      </c>
      <c r="CD8" s="256" t="s">
        <v>7</v>
      </c>
      <c r="CE8" s="298">
        <f>SUM('أسنان '!CE319:CE320)</f>
        <v>459</v>
      </c>
      <c r="CF8" s="42"/>
      <c r="CG8" s="285">
        <f>-CI1</f>
        <v>0</v>
      </c>
      <c r="CH8" s="255" t="s">
        <v>14</v>
      </c>
      <c r="CI8" s="256" t="s">
        <v>29</v>
      </c>
      <c r="CJ8" s="257"/>
      <c r="CK8" s="257"/>
      <c r="CL8" s="291">
        <f>'أسنان '!CL319:CM319</f>
        <v>9</v>
      </c>
      <c r="CM8" s="294"/>
      <c r="CN8" s="40"/>
      <c r="CO8" s="279" t="s">
        <v>15</v>
      </c>
      <c r="CP8" s="256" t="s">
        <v>7</v>
      </c>
      <c r="CQ8" s="298">
        <f>SUM('أسنان '!CQ319:CQ320)</f>
        <v>61</v>
      </c>
      <c r="CR8" s="42"/>
      <c r="CS8" s="285">
        <f>-CU1</f>
        <v>0</v>
      </c>
      <c r="CT8" s="255" t="s">
        <v>14</v>
      </c>
      <c r="CU8" s="256" t="s">
        <v>29</v>
      </c>
      <c r="CV8" s="257"/>
      <c r="CW8" s="257"/>
      <c r="CX8" s="291">
        <f>'أسنان '!CX319:CY319</f>
        <v>0</v>
      </c>
      <c r="CY8" s="294"/>
      <c r="CZ8" s="40"/>
      <c r="DA8" s="279" t="s">
        <v>15</v>
      </c>
      <c r="DB8" s="256" t="s">
        <v>7</v>
      </c>
      <c r="DC8" s="298">
        <f>SUM('أسنان '!DC319:DC320)</f>
        <v>0</v>
      </c>
      <c r="DD8" s="42"/>
      <c r="DE8" s="285">
        <f>-DG1</f>
        <v>0</v>
      </c>
      <c r="DF8" s="255" t="s">
        <v>14</v>
      </c>
      <c r="DG8" s="256" t="s">
        <v>29</v>
      </c>
      <c r="DH8" s="257"/>
      <c r="DI8" s="257"/>
      <c r="DJ8" s="291">
        <f>'أسنان '!DJ319:DK319</f>
        <v>156</v>
      </c>
      <c r="DK8" s="294"/>
      <c r="DL8" s="40"/>
      <c r="DM8" s="279" t="s">
        <v>15</v>
      </c>
      <c r="DN8" s="256" t="s">
        <v>7</v>
      </c>
      <c r="DO8" s="298">
        <f>SUM('أسنان '!DO319:DO320)</f>
        <v>483</v>
      </c>
      <c r="DP8" s="42"/>
      <c r="DQ8" s="285">
        <f>-DS1</f>
        <v>0</v>
      </c>
      <c r="DR8" s="255" t="s">
        <v>14</v>
      </c>
      <c r="DS8" s="256" t="s">
        <v>29</v>
      </c>
      <c r="DT8" s="257"/>
      <c r="DU8" s="257"/>
      <c r="DV8" s="291">
        <f>'أسنان '!DV319:DW319</f>
        <v>0</v>
      </c>
      <c r="DW8" s="294"/>
      <c r="DX8" s="40"/>
      <c r="DY8" s="279" t="s">
        <v>15</v>
      </c>
      <c r="DZ8" s="256" t="s">
        <v>7</v>
      </c>
      <c r="EA8" s="298">
        <f>SUM('أسنان '!EA319:EA320)</f>
        <v>0</v>
      </c>
      <c r="EB8" s="42"/>
      <c r="EC8" s="285">
        <f>-EE1</f>
        <v>0</v>
      </c>
      <c r="ED8" s="255" t="s">
        <v>14</v>
      </c>
      <c r="EE8" s="256" t="s">
        <v>29</v>
      </c>
      <c r="EF8" s="257"/>
      <c r="EG8" s="257"/>
      <c r="EH8" s="291">
        <f>'أسنان '!EH319:EI319</f>
        <v>0</v>
      </c>
      <c r="EI8" s="294"/>
      <c r="EJ8" s="40"/>
      <c r="EK8" s="279" t="s">
        <v>15</v>
      </c>
      <c r="EL8" s="256" t="s">
        <v>7</v>
      </c>
      <c r="EM8" s="298">
        <f>SUM('أسنان '!EM319:EM320)</f>
        <v>0</v>
      </c>
      <c r="EN8" s="42"/>
      <c r="EO8" s="77"/>
      <c r="EP8" s="285">
        <f>-ER1</f>
        <v>0</v>
      </c>
      <c r="EQ8" s="243" t="s">
        <v>14</v>
      </c>
      <c r="ER8" s="256" t="s">
        <v>29</v>
      </c>
      <c r="ES8" s="257"/>
      <c r="ET8" s="258"/>
      <c r="EU8" s="256">
        <f t="shared" si="0"/>
        <v>1798</v>
      </c>
      <c r="EV8" s="258"/>
      <c r="EW8" s="40"/>
      <c r="EX8" s="243" t="s">
        <v>15</v>
      </c>
      <c r="EY8" s="267" t="s">
        <v>7</v>
      </c>
      <c r="EZ8" s="267">
        <f>SUM(K8+W8+AI8+AU8+BG8+BS8+CE8+CQ8+DC8+DO8+EA8+EM8)</f>
        <v>3425</v>
      </c>
      <c r="FA8" s="77"/>
    </row>
    <row r="9" spans="1:157" ht="24.95" customHeight="1" thickBot="1" x14ac:dyDescent="0.25">
      <c r="A9" s="286"/>
      <c r="B9" s="255"/>
      <c r="C9" s="259" t="s">
        <v>16</v>
      </c>
      <c r="D9" s="260"/>
      <c r="E9" s="260"/>
      <c r="F9" s="291">
        <f>'أسنان '!F320:G320</f>
        <v>102</v>
      </c>
      <c r="G9" s="294"/>
      <c r="H9" s="40"/>
      <c r="I9" s="281"/>
      <c r="J9" s="259"/>
      <c r="K9" s="299"/>
      <c r="L9" s="42"/>
      <c r="M9" s="286"/>
      <c r="N9" s="255"/>
      <c r="O9" s="259" t="s">
        <v>16</v>
      </c>
      <c r="P9" s="260"/>
      <c r="Q9" s="260"/>
      <c r="R9" s="291">
        <f>'أسنان '!R320:S320</f>
        <v>92</v>
      </c>
      <c r="S9" s="294"/>
      <c r="T9" s="40"/>
      <c r="U9" s="281"/>
      <c r="V9" s="259"/>
      <c r="W9" s="299"/>
      <c r="X9" s="42"/>
      <c r="Y9" s="286"/>
      <c r="Z9" s="255"/>
      <c r="AA9" s="259" t="s">
        <v>16</v>
      </c>
      <c r="AB9" s="260"/>
      <c r="AC9" s="260"/>
      <c r="AD9" s="291">
        <f>'أسنان '!AD320:AE320</f>
        <v>55</v>
      </c>
      <c r="AE9" s="294"/>
      <c r="AF9" s="40"/>
      <c r="AG9" s="281"/>
      <c r="AH9" s="259"/>
      <c r="AI9" s="299"/>
      <c r="AJ9" s="42"/>
      <c r="AK9" s="286"/>
      <c r="AL9" s="255"/>
      <c r="AM9" s="259" t="s">
        <v>16</v>
      </c>
      <c r="AN9" s="260"/>
      <c r="AO9" s="260"/>
      <c r="AP9" s="291">
        <f>'أسنان '!AP320:AQ320</f>
        <v>83</v>
      </c>
      <c r="AQ9" s="294"/>
      <c r="AR9" s="40"/>
      <c r="AS9" s="281"/>
      <c r="AT9" s="259"/>
      <c r="AU9" s="299"/>
      <c r="AV9" s="42"/>
      <c r="AW9" s="286"/>
      <c r="AX9" s="255"/>
      <c r="AY9" s="259" t="s">
        <v>16</v>
      </c>
      <c r="AZ9" s="260"/>
      <c r="BA9" s="260"/>
      <c r="BB9" s="291">
        <f>'أسنان '!BB320:BC320</f>
        <v>115</v>
      </c>
      <c r="BC9" s="294"/>
      <c r="BD9" s="40"/>
      <c r="BE9" s="281"/>
      <c r="BF9" s="259"/>
      <c r="BG9" s="299"/>
      <c r="BH9" s="42"/>
      <c r="BI9" s="286"/>
      <c r="BJ9" s="255"/>
      <c r="BK9" s="259" t="s">
        <v>16</v>
      </c>
      <c r="BL9" s="260"/>
      <c r="BM9" s="260"/>
      <c r="BN9" s="291">
        <f>'أسنان '!BN320:BO320</f>
        <v>75</v>
      </c>
      <c r="BO9" s="294"/>
      <c r="BP9" s="40"/>
      <c r="BQ9" s="281"/>
      <c r="BR9" s="259"/>
      <c r="BS9" s="299"/>
      <c r="BT9" s="42"/>
      <c r="BU9" s="286"/>
      <c r="BV9" s="255"/>
      <c r="BW9" s="259" t="s">
        <v>16</v>
      </c>
      <c r="BX9" s="260"/>
      <c r="BY9" s="260"/>
      <c r="BZ9" s="291">
        <f>'أسنان '!BZ320:CA320</f>
        <v>84</v>
      </c>
      <c r="CA9" s="294"/>
      <c r="CB9" s="40"/>
      <c r="CC9" s="281"/>
      <c r="CD9" s="259"/>
      <c r="CE9" s="299"/>
      <c r="CF9" s="42"/>
      <c r="CG9" s="286"/>
      <c r="CH9" s="255"/>
      <c r="CI9" s="259" t="s">
        <v>16</v>
      </c>
      <c r="CJ9" s="260"/>
      <c r="CK9" s="260"/>
      <c r="CL9" s="291">
        <f>'أسنان '!CL320:CM320</f>
        <v>54</v>
      </c>
      <c r="CM9" s="294"/>
      <c r="CN9" s="40"/>
      <c r="CO9" s="281"/>
      <c r="CP9" s="259"/>
      <c r="CQ9" s="299"/>
      <c r="CR9" s="42"/>
      <c r="CS9" s="286"/>
      <c r="CT9" s="255"/>
      <c r="CU9" s="259" t="s">
        <v>16</v>
      </c>
      <c r="CV9" s="260"/>
      <c r="CW9" s="260"/>
      <c r="CX9" s="291">
        <f>'أسنان '!CX320:CY320</f>
        <v>0</v>
      </c>
      <c r="CY9" s="294"/>
      <c r="CZ9" s="40"/>
      <c r="DA9" s="281"/>
      <c r="DB9" s="259"/>
      <c r="DC9" s="299"/>
      <c r="DD9" s="42"/>
      <c r="DE9" s="286"/>
      <c r="DF9" s="255"/>
      <c r="DG9" s="259" t="s">
        <v>16</v>
      </c>
      <c r="DH9" s="260"/>
      <c r="DI9" s="260"/>
      <c r="DJ9" s="291">
        <f>'أسنان '!DJ320:DK320</f>
        <v>98</v>
      </c>
      <c r="DK9" s="294"/>
      <c r="DL9" s="40"/>
      <c r="DM9" s="281"/>
      <c r="DN9" s="259"/>
      <c r="DO9" s="299"/>
      <c r="DP9" s="42"/>
      <c r="DQ9" s="286"/>
      <c r="DR9" s="255"/>
      <c r="DS9" s="259" t="s">
        <v>16</v>
      </c>
      <c r="DT9" s="260"/>
      <c r="DU9" s="260"/>
      <c r="DV9" s="291">
        <f>'أسنان '!DV320:DW320</f>
        <v>0</v>
      </c>
      <c r="DW9" s="294"/>
      <c r="DX9" s="40"/>
      <c r="DY9" s="281"/>
      <c r="DZ9" s="259"/>
      <c r="EA9" s="299"/>
      <c r="EB9" s="42"/>
      <c r="EC9" s="286"/>
      <c r="ED9" s="255"/>
      <c r="EE9" s="259" t="s">
        <v>16</v>
      </c>
      <c r="EF9" s="260"/>
      <c r="EG9" s="260"/>
      <c r="EH9" s="291">
        <f>'أسنان '!EH320:EI320</f>
        <v>0</v>
      </c>
      <c r="EI9" s="294"/>
      <c r="EJ9" s="40"/>
      <c r="EK9" s="281"/>
      <c r="EL9" s="259"/>
      <c r="EM9" s="299"/>
      <c r="EN9" s="42"/>
      <c r="EO9" s="77"/>
      <c r="EP9" s="286"/>
      <c r="EQ9" s="255"/>
      <c r="ER9" s="259" t="s">
        <v>16</v>
      </c>
      <c r="ES9" s="260"/>
      <c r="ET9" s="261"/>
      <c r="EU9" s="259">
        <f t="shared" si="0"/>
        <v>758</v>
      </c>
      <c r="EV9" s="261"/>
      <c r="EW9" s="40"/>
      <c r="EX9" s="255"/>
      <c r="EY9" s="268"/>
      <c r="EZ9" s="268"/>
      <c r="FA9" s="77"/>
    </row>
    <row r="10" spans="1:157" ht="24.95" customHeight="1" thickBot="1" x14ac:dyDescent="0.25">
      <c r="A10" s="286"/>
      <c r="B10" s="244"/>
      <c r="C10" s="262" t="s">
        <v>17</v>
      </c>
      <c r="D10" s="263"/>
      <c r="E10" s="263"/>
      <c r="F10" s="291">
        <f>'أسنان '!F321:G321</f>
        <v>0</v>
      </c>
      <c r="G10" s="294"/>
      <c r="H10" s="40"/>
      <c r="I10" s="281"/>
      <c r="J10" s="259" t="s">
        <v>11</v>
      </c>
      <c r="K10" s="298">
        <f>SUM('أسنان '!K321:K322)</f>
        <v>485</v>
      </c>
      <c r="L10" s="42"/>
      <c r="M10" s="286"/>
      <c r="N10" s="244"/>
      <c r="O10" s="262" t="s">
        <v>17</v>
      </c>
      <c r="P10" s="263"/>
      <c r="Q10" s="263"/>
      <c r="R10" s="291">
        <f>'أسنان '!R321:S321</f>
        <v>0</v>
      </c>
      <c r="S10" s="294"/>
      <c r="T10" s="40"/>
      <c r="U10" s="281"/>
      <c r="V10" s="259" t="s">
        <v>11</v>
      </c>
      <c r="W10" s="298">
        <f>SUM('أسنان '!W321:W322)</f>
        <v>631</v>
      </c>
      <c r="X10" s="42"/>
      <c r="Y10" s="286"/>
      <c r="Z10" s="244"/>
      <c r="AA10" s="262" t="s">
        <v>17</v>
      </c>
      <c r="AB10" s="263"/>
      <c r="AC10" s="263"/>
      <c r="AD10" s="291">
        <f>'أسنان '!AD321:AE321</f>
        <v>0</v>
      </c>
      <c r="AE10" s="294"/>
      <c r="AF10" s="40"/>
      <c r="AG10" s="281"/>
      <c r="AH10" s="259" t="s">
        <v>11</v>
      </c>
      <c r="AI10" s="298">
        <f>SUM('أسنان '!AI321:AI322)</f>
        <v>397</v>
      </c>
      <c r="AJ10" s="42"/>
      <c r="AK10" s="286"/>
      <c r="AL10" s="244"/>
      <c r="AM10" s="262" t="s">
        <v>17</v>
      </c>
      <c r="AN10" s="263"/>
      <c r="AO10" s="263"/>
      <c r="AP10" s="291">
        <f>'أسنان '!AP321:AQ321</f>
        <v>0</v>
      </c>
      <c r="AQ10" s="294"/>
      <c r="AR10" s="40"/>
      <c r="AS10" s="281"/>
      <c r="AT10" s="259" t="s">
        <v>11</v>
      </c>
      <c r="AU10" s="298">
        <f>SUM('أسنان '!AU321:AU322)</f>
        <v>541</v>
      </c>
      <c r="AV10" s="42"/>
      <c r="AW10" s="286"/>
      <c r="AX10" s="244"/>
      <c r="AY10" s="262" t="s">
        <v>17</v>
      </c>
      <c r="AZ10" s="263"/>
      <c r="BA10" s="263"/>
      <c r="BB10" s="291">
        <f>'أسنان '!BB321:BC321</f>
        <v>0</v>
      </c>
      <c r="BC10" s="294"/>
      <c r="BD10" s="40"/>
      <c r="BE10" s="281"/>
      <c r="BF10" s="259" t="s">
        <v>11</v>
      </c>
      <c r="BG10" s="298">
        <f>SUM('أسنان '!BG321:BG322)</f>
        <v>284</v>
      </c>
      <c r="BH10" s="42"/>
      <c r="BI10" s="286"/>
      <c r="BJ10" s="244"/>
      <c r="BK10" s="262" t="s">
        <v>17</v>
      </c>
      <c r="BL10" s="263"/>
      <c r="BM10" s="263"/>
      <c r="BN10" s="291">
        <f>'أسنان '!BN321:BO321</f>
        <v>0</v>
      </c>
      <c r="BO10" s="294"/>
      <c r="BP10" s="40"/>
      <c r="BQ10" s="281"/>
      <c r="BR10" s="259" t="s">
        <v>11</v>
      </c>
      <c r="BS10" s="298">
        <f>SUM('أسنان '!BS321:BS322)</f>
        <v>186</v>
      </c>
      <c r="BT10" s="42"/>
      <c r="BU10" s="286"/>
      <c r="BV10" s="244"/>
      <c r="BW10" s="262" t="s">
        <v>17</v>
      </c>
      <c r="BX10" s="263"/>
      <c r="BY10" s="263"/>
      <c r="BZ10" s="291">
        <f>'أسنان '!BZ321:CA321</f>
        <v>0</v>
      </c>
      <c r="CA10" s="294"/>
      <c r="CB10" s="40"/>
      <c r="CC10" s="281"/>
      <c r="CD10" s="259" t="s">
        <v>11</v>
      </c>
      <c r="CE10" s="298">
        <f>SUM('أسنان '!CE321:CE322)</f>
        <v>489</v>
      </c>
      <c r="CF10" s="42"/>
      <c r="CG10" s="286"/>
      <c r="CH10" s="244"/>
      <c r="CI10" s="262" t="s">
        <v>17</v>
      </c>
      <c r="CJ10" s="263"/>
      <c r="CK10" s="263"/>
      <c r="CL10" s="291">
        <f>'أسنان '!CL321:CM321</f>
        <v>0</v>
      </c>
      <c r="CM10" s="294"/>
      <c r="CN10" s="40"/>
      <c r="CO10" s="281"/>
      <c r="CP10" s="259" t="s">
        <v>11</v>
      </c>
      <c r="CQ10" s="298">
        <f>SUM('أسنان '!CQ321:CQ322)</f>
        <v>63</v>
      </c>
      <c r="CR10" s="42"/>
      <c r="CS10" s="286"/>
      <c r="CT10" s="244"/>
      <c r="CU10" s="262" t="s">
        <v>17</v>
      </c>
      <c r="CV10" s="263"/>
      <c r="CW10" s="263"/>
      <c r="CX10" s="291">
        <f>'أسنان '!CX321:CY321</f>
        <v>0</v>
      </c>
      <c r="CY10" s="294"/>
      <c r="CZ10" s="40"/>
      <c r="DA10" s="281"/>
      <c r="DB10" s="259" t="s">
        <v>11</v>
      </c>
      <c r="DC10" s="298">
        <f>SUM('أسنان '!DC321:DC322)</f>
        <v>0</v>
      </c>
      <c r="DD10" s="42"/>
      <c r="DE10" s="286"/>
      <c r="DF10" s="244"/>
      <c r="DG10" s="262" t="s">
        <v>17</v>
      </c>
      <c r="DH10" s="263"/>
      <c r="DI10" s="263"/>
      <c r="DJ10" s="291">
        <f>'أسنان '!DJ321:DK321</f>
        <v>0</v>
      </c>
      <c r="DK10" s="294"/>
      <c r="DL10" s="40"/>
      <c r="DM10" s="281"/>
      <c r="DN10" s="259" t="s">
        <v>11</v>
      </c>
      <c r="DO10" s="298">
        <f>SUM('أسنان '!DO321:DO322)</f>
        <v>350</v>
      </c>
      <c r="DP10" s="42"/>
      <c r="DQ10" s="286"/>
      <c r="DR10" s="244"/>
      <c r="DS10" s="262" t="s">
        <v>17</v>
      </c>
      <c r="DT10" s="263"/>
      <c r="DU10" s="263"/>
      <c r="DV10" s="291">
        <f>'أسنان '!DV321:DW321</f>
        <v>0</v>
      </c>
      <c r="DW10" s="294"/>
      <c r="DX10" s="40"/>
      <c r="DY10" s="281"/>
      <c r="DZ10" s="259" t="s">
        <v>11</v>
      </c>
      <c r="EA10" s="298">
        <f>SUM('أسنان '!EA321:EA322)</f>
        <v>0</v>
      </c>
      <c r="EB10" s="42"/>
      <c r="EC10" s="286"/>
      <c r="ED10" s="244"/>
      <c r="EE10" s="262" t="s">
        <v>17</v>
      </c>
      <c r="EF10" s="263"/>
      <c r="EG10" s="263"/>
      <c r="EH10" s="291">
        <f>'أسنان '!EH321:EI321</f>
        <v>0</v>
      </c>
      <c r="EI10" s="294"/>
      <c r="EJ10" s="40"/>
      <c r="EK10" s="281"/>
      <c r="EL10" s="259" t="s">
        <v>11</v>
      </c>
      <c r="EM10" s="298">
        <f>SUM('أسنان '!EM321:EM322)</f>
        <v>0</v>
      </c>
      <c r="EN10" s="42"/>
      <c r="EO10" s="77"/>
      <c r="EP10" s="286"/>
      <c r="EQ10" s="244"/>
      <c r="ER10" s="262" t="s">
        <v>17</v>
      </c>
      <c r="ES10" s="263"/>
      <c r="ET10" s="264"/>
      <c r="EU10" s="262">
        <f t="shared" si="0"/>
        <v>0</v>
      </c>
      <c r="EV10" s="264"/>
      <c r="EW10" s="40"/>
      <c r="EX10" s="255"/>
      <c r="EY10" s="278" t="s">
        <v>11</v>
      </c>
      <c r="EZ10" s="278">
        <f>SUM(K10+W10+AI10+AU10+BG10+BS10+CE10+CQ10+DC10+DO10+EA10+EM10)</f>
        <v>3426</v>
      </c>
      <c r="FA10" s="77"/>
    </row>
    <row r="11" spans="1:157" ht="24.95" customHeight="1" thickBot="1" x14ac:dyDescent="0.25">
      <c r="A11" s="286"/>
      <c r="B11" s="252" t="s">
        <v>18</v>
      </c>
      <c r="C11" s="256" t="s">
        <v>45</v>
      </c>
      <c r="D11" s="257"/>
      <c r="E11" s="257"/>
      <c r="F11" s="291">
        <f>'أسنان '!F322:G322</f>
        <v>0</v>
      </c>
      <c r="G11" s="294"/>
      <c r="H11" s="40"/>
      <c r="I11" s="283"/>
      <c r="J11" s="262"/>
      <c r="K11" s="299"/>
      <c r="L11" s="42"/>
      <c r="M11" s="286"/>
      <c r="N11" s="252" t="s">
        <v>18</v>
      </c>
      <c r="O11" s="256" t="s">
        <v>45</v>
      </c>
      <c r="P11" s="257"/>
      <c r="Q11" s="257"/>
      <c r="R11" s="291">
        <f>'أسنان '!R322:S322</f>
        <v>0</v>
      </c>
      <c r="S11" s="294"/>
      <c r="T11" s="40"/>
      <c r="U11" s="283"/>
      <c r="V11" s="262"/>
      <c r="W11" s="299"/>
      <c r="X11" s="42"/>
      <c r="Y11" s="286"/>
      <c r="Z11" s="252" t="s">
        <v>18</v>
      </c>
      <c r="AA11" s="256" t="s">
        <v>45</v>
      </c>
      <c r="AB11" s="257"/>
      <c r="AC11" s="257"/>
      <c r="AD11" s="291">
        <f>'أسنان '!AD322:AE322</f>
        <v>0</v>
      </c>
      <c r="AE11" s="294"/>
      <c r="AF11" s="40"/>
      <c r="AG11" s="283"/>
      <c r="AH11" s="262"/>
      <c r="AI11" s="299"/>
      <c r="AJ11" s="42"/>
      <c r="AK11" s="286"/>
      <c r="AL11" s="252" t="s">
        <v>18</v>
      </c>
      <c r="AM11" s="256" t="s">
        <v>45</v>
      </c>
      <c r="AN11" s="257"/>
      <c r="AO11" s="257"/>
      <c r="AP11" s="291">
        <f>'أسنان '!AP322:AQ322</f>
        <v>0</v>
      </c>
      <c r="AQ11" s="294"/>
      <c r="AR11" s="40"/>
      <c r="AS11" s="283"/>
      <c r="AT11" s="262"/>
      <c r="AU11" s="299"/>
      <c r="AV11" s="42"/>
      <c r="AW11" s="286"/>
      <c r="AX11" s="252" t="s">
        <v>18</v>
      </c>
      <c r="AY11" s="256" t="s">
        <v>45</v>
      </c>
      <c r="AZ11" s="257"/>
      <c r="BA11" s="257"/>
      <c r="BB11" s="291">
        <f>'أسنان '!BB322:BC322</f>
        <v>0</v>
      </c>
      <c r="BC11" s="294"/>
      <c r="BD11" s="40"/>
      <c r="BE11" s="283"/>
      <c r="BF11" s="262"/>
      <c r="BG11" s="299"/>
      <c r="BH11" s="42"/>
      <c r="BI11" s="286"/>
      <c r="BJ11" s="252" t="s">
        <v>18</v>
      </c>
      <c r="BK11" s="256" t="s">
        <v>45</v>
      </c>
      <c r="BL11" s="257"/>
      <c r="BM11" s="257"/>
      <c r="BN11" s="291">
        <f>'أسنان '!BN322:BO322</f>
        <v>0</v>
      </c>
      <c r="BO11" s="294"/>
      <c r="BP11" s="40"/>
      <c r="BQ11" s="283"/>
      <c r="BR11" s="262"/>
      <c r="BS11" s="299"/>
      <c r="BT11" s="42"/>
      <c r="BU11" s="286"/>
      <c r="BV11" s="252" t="s">
        <v>18</v>
      </c>
      <c r="BW11" s="256" t="s">
        <v>45</v>
      </c>
      <c r="BX11" s="257"/>
      <c r="BY11" s="257"/>
      <c r="BZ11" s="291">
        <f>'أسنان '!BZ322:CA322</f>
        <v>0</v>
      </c>
      <c r="CA11" s="294"/>
      <c r="CB11" s="40"/>
      <c r="CC11" s="283"/>
      <c r="CD11" s="262"/>
      <c r="CE11" s="299"/>
      <c r="CF11" s="42"/>
      <c r="CG11" s="286"/>
      <c r="CH11" s="252" t="s">
        <v>18</v>
      </c>
      <c r="CI11" s="256" t="s">
        <v>45</v>
      </c>
      <c r="CJ11" s="257"/>
      <c r="CK11" s="257"/>
      <c r="CL11" s="291">
        <f>'أسنان '!CL322:CM322</f>
        <v>0</v>
      </c>
      <c r="CM11" s="294"/>
      <c r="CN11" s="40"/>
      <c r="CO11" s="283"/>
      <c r="CP11" s="262"/>
      <c r="CQ11" s="299"/>
      <c r="CR11" s="42"/>
      <c r="CS11" s="286"/>
      <c r="CT11" s="252" t="s">
        <v>18</v>
      </c>
      <c r="CU11" s="256" t="s">
        <v>45</v>
      </c>
      <c r="CV11" s="257"/>
      <c r="CW11" s="257"/>
      <c r="CX11" s="291">
        <f>'أسنان '!CX322:CY322</f>
        <v>0</v>
      </c>
      <c r="CY11" s="294"/>
      <c r="CZ11" s="40"/>
      <c r="DA11" s="283"/>
      <c r="DB11" s="262"/>
      <c r="DC11" s="299"/>
      <c r="DD11" s="42"/>
      <c r="DE11" s="286"/>
      <c r="DF11" s="252" t="s">
        <v>18</v>
      </c>
      <c r="DG11" s="256" t="s">
        <v>45</v>
      </c>
      <c r="DH11" s="257"/>
      <c r="DI11" s="257"/>
      <c r="DJ11" s="291">
        <f>'أسنان '!DJ322:DK322</f>
        <v>0</v>
      </c>
      <c r="DK11" s="294"/>
      <c r="DL11" s="40"/>
      <c r="DM11" s="283"/>
      <c r="DN11" s="262"/>
      <c r="DO11" s="299"/>
      <c r="DP11" s="42"/>
      <c r="DQ11" s="286"/>
      <c r="DR11" s="252" t="s">
        <v>18</v>
      </c>
      <c r="DS11" s="256" t="s">
        <v>45</v>
      </c>
      <c r="DT11" s="257"/>
      <c r="DU11" s="257"/>
      <c r="DV11" s="291">
        <f>'أسنان '!DV322:DW322</f>
        <v>0</v>
      </c>
      <c r="DW11" s="294"/>
      <c r="DX11" s="40"/>
      <c r="DY11" s="283"/>
      <c r="DZ11" s="262"/>
      <c r="EA11" s="299"/>
      <c r="EB11" s="42"/>
      <c r="EC11" s="286"/>
      <c r="ED11" s="252" t="s">
        <v>18</v>
      </c>
      <c r="EE11" s="256" t="s">
        <v>45</v>
      </c>
      <c r="EF11" s="257"/>
      <c r="EG11" s="257"/>
      <c r="EH11" s="291">
        <f>'أسنان '!EH322:EI322</f>
        <v>0</v>
      </c>
      <c r="EI11" s="294"/>
      <c r="EJ11" s="40"/>
      <c r="EK11" s="283"/>
      <c r="EL11" s="262"/>
      <c r="EM11" s="299"/>
      <c r="EN11" s="42"/>
      <c r="EO11" s="77"/>
      <c r="EP11" s="286"/>
      <c r="EQ11" s="267" t="s">
        <v>18</v>
      </c>
      <c r="ER11" s="256" t="s">
        <v>45</v>
      </c>
      <c r="ES11" s="257"/>
      <c r="ET11" s="258"/>
      <c r="EU11" s="256">
        <f t="shared" si="0"/>
        <v>0</v>
      </c>
      <c r="EV11" s="258"/>
      <c r="EW11" s="40"/>
      <c r="EX11" s="244"/>
      <c r="EY11" s="269"/>
      <c r="EZ11" s="269"/>
      <c r="FA11" s="77"/>
    </row>
    <row r="12" spans="1:157" ht="24.95" customHeight="1" thickBot="1" x14ac:dyDescent="0.25">
      <c r="A12" s="286"/>
      <c r="B12" s="247"/>
      <c r="C12" s="262" t="s">
        <v>20</v>
      </c>
      <c r="D12" s="263"/>
      <c r="E12" s="263"/>
      <c r="F12" s="291">
        <f>'أسنان '!F323:G323</f>
        <v>0</v>
      </c>
      <c r="G12" s="294"/>
      <c r="H12" s="40"/>
      <c r="I12" s="245" t="s">
        <v>21</v>
      </c>
      <c r="J12" s="253"/>
      <c r="K12" s="254" t="e">
        <f>SUM(K4:K11)</f>
        <v>#VALUE!</v>
      </c>
      <c r="L12" s="42"/>
      <c r="M12" s="286"/>
      <c r="N12" s="247"/>
      <c r="O12" s="262" t="s">
        <v>20</v>
      </c>
      <c r="P12" s="263"/>
      <c r="Q12" s="263"/>
      <c r="R12" s="291">
        <f>'أسنان '!R323:S323</f>
        <v>0</v>
      </c>
      <c r="S12" s="294"/>
      <c r="T12" s="40"/>
      <c r="U12" s="245" t="s">
        <v>21</v>
      </c>
      <c r="V12" s="253"/>
      <c r="W12" s="254">
        <f>SUM(W4:W11)</f>
        <v>3190</v>
      </c>
      <c r="X12" s="42"/>
      <c r="Y12" s="286"/>
      <c r="Z12" s="247"/>
      <c r="AA12" s="262" t="s">
        <v>20</v>
      </c>
      <c r="AB12" s="263"/>
      <c r="AC12" s="263"/>
      <c r="AD12" s="291">
        <f>'أسنان '!AD323:AE323</f>
        <v>0</v>
      </c>
      <c r="AE12" s="294"/>
      <c r="AF12" s="40"/>
      <c r="AG12" s="245" t="s">
        <v>21</v>
      </c>
      <c r="AH12" s="253"/>
      <c r="AI12" s="254">
        <f>SUM(AI4:AI11)</f>
        <v>2711</v>
      </c>
      <c r="AJ12" s="42"/>
      <c r="AK12" s="286"/>
      <c r="AL12" s="247"/>
      <c r="AM12" s="262" t="s">
        <v>20</v>
      </c>
      <c r="AN12" s="263"/>
      <c r="AO12" s="263"/>
      <c r="AP12" s="291">
        <f>'أسنان '!AP323:AQ323</f>
        <v>0</v>
      </c>
      <c r="AQ12" s="294"/>
      <c r="AR12" s="40"/>
      <c r="AS12" s="245" t="s">
        <v>21</v>
      </c>
      <c r="AT12" s="253"/>
      <c r="AU12" s="254">
        <f>SUM(AU4:AU11)</f>
        <v>2917</v>
      </c>
      <c r="AV12" s="42"/>
      <c r="AW12" s="286"/>
      <c r="AX12" s="247"/>
      <c r="AY12" s="262" t="s">
        <v>20</v>
      </c>
      <c r="AZ12" s="263"/>
      <c r="BA12" s="263"/>
      <c r="BB12" s="291">
        <f>'أسنان '!BB323:BC323</f>
        <v>6</v>
      </c>
      <c r="BC12" s="294"/>
      <c r="BD12" s="40"/>
      <c r="BE12" s="245" t="s">
        <v>21</v>
      </c>
      <c r="BF12" s="253"/>
      <c r="BG12" s="254">
        <f>SUM(BG4:BG11)</f>
        <v>2957</v>
      </c>
      <c r="BH12" s="42"/>
      <c r="BI12" s="286"/>
      <c r="BJ12" s="247"/>
      <c r="BK12" s="262" t="s">
        <v>20</v>
      </c>
      <c r="BL12" s="263"/>
      <c r="BM12" s="263"/>
      <c r="BN12" s="291">
        <f>'أسنان '!BN323:BO323</f>
        <v>0</v>
      </c>
      <c r="BO12" s="294"/>
      <c r="BP12" s="40"/>
      <c r="BQ12" s="245" t="s">
        <v>21</v>
      </c>
      <c r="BR12" s="253"/>
      <c r="BS12" s="254">
        <f>SUM(BS4:BS11)</f>
        <v>2472</v>
      </c>
      <c r="BT12" s="42"/>
      <c r="BU12" s="286"/>
      <c r="BV12" s="247"/>
      <c r="BW12" s="262" t="s">
        <v>20</v>
      </c>
      <c r="BX12" s="263"/>
      <c r="BY12" s="263"/>
      <c r="BZ12" s="291">
        <f>'أسنان '!BZ323:CA323</f>
        <v>0</v>
      </c>
      <c r="CA12" s="294"/>
      <c r="CB12" s="40"/>
      <c r="CC12" s="245" t="s">
        <v>21</v>
      </c>
      <c r="CD12" s="253"/>
      <c r="CE12" s="254">
        <f>SUM(CE4:CE11)</f>
        <v>2806</v>
      </c>
      <c r="CF12" s="42"/>
      <c r="CG12" s="286"/>
      <c r="CH12" s="247"/>
      <c r="CI12" s="262" t="s">
        <v>20</v>
      </c>
      <c r="CJ12" s="263"/>
      <c r="CK12" s="263"/>
      <c r="CL12" s="291">
        <f>'أسنان '!CL323:CM323</f>
        <v>0</v>
      </c>
      <c r="CM12" s="294"/>
      <c r="CN12" s="40"/>
      <c r="CO12" s="245" t="s">
        <v>21</v>
      </c>
      <c r="CP12" s="253"/>
      <c r="CQ12" s="254">
        <f>SUM(CQ4:CQ11)</f>
        <v>1144</v>
      </c>
      <c r="CR12" s="42"/>
      <c r="CS12" s="286"/>
      <c r="CT12" s="247"/>
      <c r="CU12" s="262" t="s">
        <v>20</v>
      </c>
      <c r="CV12" s="263"/>
      <c r="CW12" s="263"/>
      <c r="CX12" s="291">
        <f>'أسنان '!CX323:CY323</f>
        <v>0</v>
      </c>
      <c r="CY12" s="294"/>
      <c r="CZ12" s="40"/>
      <c r="DA12" s="245" t="s">
        <v>21</v>
      </c>
      <c r="DB12" s="253"/>
      <c r="DC12" s="254">
        <f>SUM(DC4:DC11)</f>
        <v>0</v>
      </c>
      <c r="DD12" s="42"/>
      <c r="DE12" s="286"/>
      <c r="DF12" s="247"/>
      <c r="DG12" s="262" t="s">
        <v>20</v>
      </c>
      <c r="DH12" s="263"/>
      <c r="DI12" s="263"/>
      <c r="DJ12" s="291">
        <f>'أسنان '!DJ323:DK323</f>
        <v>0</v>
      </c>
      <c r="DK12" s="294"/>
      <c r="DL12" s="40"/>
      <c r="DM12" s="245" t="s">
        <v>21</v>
      </c>
      <c r="DN12" s="253"/>
      <c r="DO12" s="254">
        <f>SUM(DO4:DO11)</f>
        <v>2463</v>
      </c>
      <c r="DP12" s="42"/>
      <c r="DQ12" s="286"/>
      <c r="DR12" s="247"/>
      <c r="DS12" s="262" t="s">
        <v>20</v>
      </c>
      <c r="DT12" s="263"/>
      <c r="DU12" s="263"/>
      <c r="DV12" s="291">
        <f>'أسنان '!DV323:DW323</f>
        <v>0</v>
      </c>
      <c r="DW12" s="294"/>
      <c r="DX12" s="40"/>
      <c r="DY12" s="245" t="s">
        <v>21</v>
      </c>
      <c r="DZ12" s="253"/>
      <c r="EA12" s="254">
        <f>SUM(EA4:EA11)</f>
        <v>0</v>
      </c>
      <c r="EB12" s="42"/>
      <c r="EC12" s="286"/>
      <c r="ED12" s="247"/>
      <c r="EE12" s="262" t="s">
        <v>20</v>
      </c>
      <c r="EF12" s="263"/>
      <c r="EG12" s="263"/>
      <c r="EH12" s="291">
        <f>'أسنان '!EH323:EI323</f>
        <v>0</v>
      </c>
      <c r="EI12" s="294"/>
      <c r="EJ12" s="40"/>
      <c r="EK12" s="245" t="s">
        <v>21</v>
      </c>
      <c r="EL12" s="253"/>
      <c r="EM12" s="254">
        <f>SUM(EM4:EM11)</f>
        <v>0</v>
      </c>
      <c r="EN12" s="42"/>
      <c r="EO12" s="77"/>
      <c r="EP12" s="286"/>
      <c r="EQ12" s="269"/>
      <c r="ER12" s="262" t="s">
        <v>20</v>
      </c>
      <c r="ES12" s="263"/>
      <c r="ET12" s="264"/>
      <c r="EU12" s="262">
        <f t="shared" si="0"/>
        <v>6</v>
      </c>
      <c r="EV12" s="264"/>
      <c r="EW12" s="40"/>
      <c r="EX12" s="245" t="s">
        <v>21</v>
      </c>
      <c r="EY12" s="246"/>
      <c r="EZ12" s="249" t="e">
        <f>SUM(EZ4:EZ11)</f>
        <v>#VALUE!</v>
      </c>
      <c r="FA12" s="77"/>
    </row>
    <row r="13" spans="1:157" ht="24.95" customHeight="1" thickBot="1" x14ac:dyDescent="0.25">
      <c r="A13" s="286"/>
      <c r="B13" s="243" t="s">
        <v>22</v>
      </c>
      <c r="C13" s="256" t="s">
        <v>23</v>
      </c>
      <c r="D13" s="257"/>
      <c r="E13" s="257"/>
      <c r="F13" s="291">
        <f>'أسنان '!F324:G324</f>
        <v>371</v>
      </c>
      <c r="G13" s="294"/>
      <c r="H13" s="40"/>
      <c r="I13" s="252"/>
      <c r="J13" s="253"/>
      <c r="K13" s="254"/>
      <c r="L13" s="42"/>
      <c r="M13" s="286"/>
      <c r="N13" s="243" t="s">
        <v>22</v>
      </c>
      <c r="O13" s="256" t="s">
        <v>23</v>
      </c>
      <c r="P13" s="257"/>
      <c r="Q13" s="257"/>
      <c r="R13" s="291">
        <f>'أسنان '!R324:S324</f>
        <v>353</v>
      </c>
      <c r="S13" s="294"/>
      <c r="T13" s="40"/>
      <c r="U13" s="252"/>
      <c r="V13" s="253"/>
      <c r="W13" s="254"/>
      <c r="X13" s="42"/>
      <c r="Y13" s="286"/>
      <c r="Z13" s="243" t="s">
        <v>22</v>
      </c>
      <c r="AA13" s="256" t="s">
        <v>23</v>
      </c>
      <c r="AB13" s="257"/>
      <c r="AC13" s="257"/>
      <c r="AD13" s="291">
        <f>'أسنان '!AD324:AE324</f>
        <v>196</v>
      </c>
      <c r="AE13" s="294"/>
      <c r="AF13" s="40"/>
      <c r="AG13" s="252"/>
      <c r="AH13" s="253"/>
      <c r="AI13" s="254"/>
      <c r="AJ13" s="42"/>
      <c r="AK13" s="286"/>
      <c r="AL13" s="243" t="s">
        <v>22</v>
      </c>
      <c r="AM13" s="256" t="s">
        <v>23</v>
      </c>
      <c r="AN13" s="257"/>
      <c r="AO13" s="257"/>
      <c r="AP13" s="291">
        <f>'أسنان '!AP324:AQ324</f>
        <v>388</v>
      </c>
      <c r="AQ13" s="294"/>
      <c r="AR13" s="40"/>
      <c r="AS13" s="252"/>
      <c r="AT13" s="253"/>
      <c r="AU13" s="254"/>
      <c r="AV13" s="42"/>
      <c r="AW13" s="286"/>
      <c r="AX13" s="243" t="s">
        <v>22</v>
      </c>
      <c r="AY13" s="256" t="s">
        <v>23</v>
      </c>
      <c r="AZ13" s="257"/>
      <c r="BA13" s="257"/>
      <c r="BB13" s="291">
        <f>'أسنان '!BB324:BC324</f>
        <v>147</v>
      </c>
      <c r="BC13" s="294"/>
      <c r="BD13" s="40"/>
      <c r="BE13" s="252"/>
      <c r="BF13" s="253"/>
      <c r="BG13" s="254"/>
      <c r="BH13" s="42"/>
      <c r="BI13" s="286"/>
      <c r="BJ13" s="243" t="s">
        <v>22</v>
      </c>
      <c r="BK13" s="256" t="s">
        <v>23</v>
      </c>
      <c r="BL13" s="257"/>
      <c r="BM13" s="257"/>
      <c r="BN13" s="291">
        <f>'أسنان '!BN324:BO324</f>
        <v>72</v>
      </c>
      <c r="BO13" s="294"/>
      <c r="BP13" s="40"/>
      <c r="BQ13" s="252"/>
      <c r="BR13" s="253"/>
      <c r="BS13" s="254"/>
      <c r="BT13" s="42"/>
      <c r="BU13" s="286"/>
      <c r="BV13" s="243" t="s">
        <v>22</v>
      </c>
      <c r="BW13" s="256" t="s">
        <v>23</v>
      </c>
      <c r="BX13" s="257"/>
      <c r="BY13" s="257"/>
      <c r="BZ13" s="291">
        <f>'أسنان '!BZ324:CA324</f>
        <v>383</v>
      </c>
      <c r="CA13" s="294"/>
      <c r="CB13" s="40"/>
      <c r="CC13" s="252"/>
      <c r="CD13" s="253"/>
      <c r="CE13" s="254"/>
      <c r="CF13" s="42"/>
      <c r="CG13" s="286"/>
      <c r="CH13" s="243" t="s">
        <v>22</v>
      </c>
      <c r="CI13" s="256" t="s">
        <v>23</v>
      </c>
      <c r="CJ13" s="257"/>
      <c r="CK13" s="257"/>
      <c r="CL13" s="291">
        <f>'أسنان '!CL324:CM324</f>
        <v>17</v>
      </c>
      <c r="CM13" s="294"/>
      <c r="CN13" s="40"/>
      <c r="CO13" s="252"/>
      <c r="CP13" s="253"/>
      <c r="CQ13" s="254"/>
      <c r="CR13" s="42"/>
      <c r="CS13" s="286"/>
      <c r="CT13" s="243" t="s">
        <v>22</v>
      </c>
      <c r="CU13" s="256" t="s">
        <v>23</v>
      </c>
      <c r="CV13" s="257"/>
      <c r="CW13" s="257"/>
      <c r="CX13" s="291">
        <f>'أسنان '!CX324:CY324</f>
        <v>0</v>
      </c>
      <c r="CY13" s="294"/>
      <c r="CZ13" s="40"/>
      <c r="DA13" s="252"/>
      <c r="DB13" s="253"/>
      <c r="DC13" s="254"/>
      <c r="DD13" s="42"/>
      <c r="DE13" s="286"/>
      <c r="DF13" s="243" t="s">
        <v>22</v>
      </c>
      <c r="DG13" s="256" t="s">
        <v>23</v>
      </c>
      <c r="DH13" s="257"/>
      <c r="DI13" s="257"/>
      <c r="DJ13" s="291">
        <f>'أسنان '!DJ324:DK324</f>
        <v>216</v>
      </c>
      <c r="DK13" s="294"/>
      <c r="DL13" s="40"/>
      <c r="DM13" s="252"/>
      <c r="DN13" s="253"/>
      <c r="DO13" s="254"/>
      <c r="DP13" s="42"/>
      <c r="DQ13" s="286"/>
      <c r="DR13" s="243" t="s">
        <v>22</v>
      </c>
      <c r="DS13" s="256" t="s">
        <v>23</v>
      </c>
      <c r="DT13" s="257"/>
      <c r="DU13" s="257"/>
      <c r="DV13" s="291">
        <f>'أسنان '!DV324:DW324</f>
        <v>0</v>
      </c>
      <c r="DW13" s="294"/>
      <c r="DX13" s="40"/>
      <c r="DY13" s="252"/>
      <c r="DZ13" s="253"/>
      <c r="EA13" s="254"/>
      <c r="EB13" s="42"/>
      <c r="EC13" s="286"/>
      <c r="ED13" s="243" t="s">
        <v>22</v>
      </c>
      <c r="EE13" s="256" t="s">
        <v>23</v>
      </c>
      <c r="EF13" s="257"/>
      <c r="EG13" s="257"/>
      <c r="EH13" s="291">
        <f>'أسنان '!EH324:EI324</f>
        <v>0</v>
      </c>
      <c r="EI13" s="294"/>
      <c r="EJ13" s="40"/>
      <c r="EK13" s="252"/>
      <c r="EL13" s="253"/>
      <c r="EM13" s="254"/>
      <c r="EN13" s="42"/>
      <c r="EO13" s="77"/>
      <c r="EP13" s="286"/>
      <c r="EQ13" s="243" t="s">
        <v>22</v>
      </c>
      <c r="ER13" s="256" t="s">
        <v>23</v>
      </c>
      <c r="ES13" s="257"/>
      <c r="ET13" s="258"/>
      <c r="EU13" s="256">
        <f t="shared" si="0"/>
        <v>2143</v>
      </c>
      <c r="EV13" s="258"/>
      <c r="EW13" s="40"/>
      <c r="EX13" s="252"/>
      <c r="EY13" s="253"/>
      <c r="EZ13" s="254"/>
      <c r="FA13" s="77"/>
    </row>
    <row r="14" spans="1:157" ht="24.95" customHeight="1" thickBot="1" x14ac:dyDescent="0.25">
      <c r="A14" s="286"/>
      <c r="B14" s="255"/>
      <c r="C14" s="276" t="s">
        <v>24</v>
      </c>
      <c r="D14" s="309"/>
      <c r="E14" s="309"/>
      <c r="F14" s="291">
        <f>'أسنان '!F325:G325</f>
        <v>112</v>
      </c>
      <c r="G14" s="294"/>
      <c r="H14" s="40"/>
      <c r="I14" s="247"/>
      <c r="J14" s="248"/>
      <c r="K14" s="250"/>
      <c r="L14" s="42"/>
      <c r="M14" s="286"/>
      <c r="N14" s="255"/>
      <c r="O14" s="276" t="s">
        <v>24</v>
      </c>
      <c r="P14" s="309"/>
      <c r="Q14" s="309"/>
      <c r="R14" s="291">
        <f>'أسنان '!R325:S325</f>
        <v>102</v>
      </c>
      <c r="S14" s="294"/>
      <c r="T14" s="40"/>
      <c r="U14" s="247"/>
      <c r="V14" s="248"/>
      <c r="W14" s="250"/>
      <c r="X14" s="42"/>
      <c r="Y14" s="286"/>
      <c r="Z14" s="255"/>
      <c r="AA14" s="276" t="s">
        <v>24</v>
      </c>
      <c r="AB14" s="309"/>
      <c r="AC14" s="309"/>
      <c r="AD14" s="291">
        <f>'أسنان '!AD325:AE325</f>
        <v>107</v>
      </c>
      <c r="AE14" s="294"/>
      <c r="AF14" s="40"/>
      <c r="AG14" s="247"/>
      <c r="AH14" s="248"/>
      <c r="AI14" s="250"/>
      <c r="AJ14" s="42"/>
      <c r="AK14" s="286"/>
      <c r="AL14" s="255"/>
      <c r="AM14" s="276" t="s">
        <v>24</v>
      </c>
      <c r="AN14" s="309"/>
      <c r="AO14" s="309"/>
      <c r="AP14" s="291">
        <f>'أسنان '!AP325:AQ325</f>
        <v>111</v>
      </c>
      <c r="AQ14" s="294"/>
      <c r="AR14" s="40"/>
      <c r="AS14" s="247"/>
      <c r="AT14" s="248"/>
      <c r="AU14" s="250"/>
      <c r="AV14" s="42"/>
      <c r="AW14" s="286"/>
      <c r="AX14" s="255"/>
      <c r="AY14" s="276" t="s">
        <v>24</v>
      </c>
      <c r="AZ14" s="309"/>
      <c r="BA14" s="309"/>
      <c r="BB14" s="291">
        <f>'أسنان '!BB325:BC325</f>
        <v>36</v>
      </c>
      <c r="BC14" s="294"/>
      <c r="BD14" s="40"/>
      <c r="BE14" s="247"/>
      <c r="BF14" s="248"/>
      <c r="BG14" s="250"/>
      <c r="BH14" s="42"/>
      <c r="BI14" s="286"/>
      <c r="BJ14" s="255"/>
      <c r="BK14" s="276" t="s">
        <v>24</v>
      </c>
      <c r="BL14" s="309"/>
      <c r="BM14" s="309"/>
      <c r="BN14" s="291">
        <f>'أسنان '!BN325:BO325</f>
        <v>51</v>
      </c>
      <c r="BO14" s="294"/>
      <c r="BP14" s="40"/>
      <c r="BQ14" s="247"/>
      <c r="BR14" s="248"/>
      <c r="BS14" s="250"/>
      <c r="BT14" s="42"/>
      <c r="BU14" s="286"/>
      <c r="BV14" s="255"/>
      <c r="BW14" s="276" t="s">
        <v>24</v>
      </c>
      <c r="BX14" s="309"/>
      <c r="BY14" s="309"/>
      <c r="BZ14" s="291">
        <f>'أسنان '!BZ325:CA325</f>
        <v>111</v>
      </c>
      <c r="CA14" s="294"/>
      <c r="CB14" s="40"/>
      <c r="CC14" s="247"/>
      <c r="CD14" s="248"/>
      <c r="CE14" s="250"/>
      <c r="CF14" s="42"/>
      <c r="CG14" s="286"/>
      <c r="CH14" s="255"/>
      <c r="CI14" s="276" t="s">
        <v>24</v>
      </c>
      <c r="CJ14" s="309"/>
      <c r="CK14" s="309"/>
      <c r="CL14" s="291">
        <f>'أسنان '!CL325:CM325</f>
        <v>51</v>
      </c>
      <c r="CM14" s="294"/>
      <c r="CN14" s="40"/>
      <c r="CO14" s="247"/>
      <c r="CP14" s="248"/>
      <c r="CQ14" s="250"/>
      <c r="CR14" s="42"/>
      <c r="CS14" s="286"/>
      <c r="CT14" s="255"/>
      <c r="CU14" s="276" t="s">
        <v>24</v>
      </c>
      <c r="CV14" s="309"/>
      <c r="CW14" s="309"/>
      <c r="CX14" s="291">
        <f>'أسنان '!CX325:CY325</f>
        <v>0</v>
      </c>
      <c r="CY14" s="294"/>
      <c r="CZ14" s="40"/>
      <c r="DA14" s="247"/>
      <c r="DB14" s="248"/>
      <c r="DC14" s="250"/>
      <c r="DD14" s="42"/>
      <c r="DE14" s="286"/>
      <c r="DF14" s="255"/>
      <c r="DG14" s="276" t="s">
        <v>24</v>
      </c>
      <c r="DH14" s="309"/>
      <c r="DI14" s="309"/>
      <c r="DJ14" s="291">
        <f>'أسنان '!DJ325:DK325</f>
        <v>73</v>
      </c>
      <c r="DK14" s="294"/>
      <c r="DL14" s="40"/>
      <c r="DM14" s="247"/>
      <c r="DN14" s="248"/>
      <c r="DO14" s="250"/>
      <c r="DP14" s="42"/>
      <c r="DQ14" s="286"/>
      <c r="DR14" s="255"/>
      <c r="DS14" s="276" t="s">
        <v>24</v>
      </c>
      <c r="DT14" s="309"/>
      <c r="DU14" s="309"/>
      <c r="DV14" s="291">
        <f>'أسنان '!DV325:DW325</f>
        <v>0</v>
      </c>
      <c r="DW14" s="294"/>
      <c r="DX14" s="40"/>
      <c r="DY14" s="247"/>
      <c r="DZ14" s="248"/>
      <c r="EA14" s="250"/>
      <c r="EB14" s="42"/>
      <c r="EC14" s="286"/>
      <c r="ED14" s="255"/>
      <c r="EE14" s="276" t="s">
        <v>24</v>
      </c>
      <c r="EF14" s="309"/>
      <c r="EG14" s="309"/>
      <c r="EH14" s="291">
        <f>'أسنان '!EH325:EI325</f>
        <v>0</v>
      </c>
      <c r="EI14" s="294"/>
      <c r="EJ14" s="40"/>
      <c r="EK14" s="247"/>
      <c r="EL14" s="248"/>
      <c r="EM14" s="250"/>
      <c r="EN14" s="42"/>
      <c r="EO14" s="77"/>
      <c r="EP14" s="286"/>
      <c r="EQ14" s="255"/>
      <c r="ER14" s="259" t="s">
        <v>24</v>
      </c>
      <c r="ES14" s="260"/>
      <c r="ET14" s="261"/>
      <c r="EU14" s="259">
        <f t="shared" si="0"/>
        <v>754</v>
      </c>
      <c r="EV14" s="261"/>
      <c r="EW14" s="40"/>
      <c r="EX14" s="247"/>
      <c r="EY14" s="248"/>
      <c r="EZ14" s="250"/>
      <c r="FA14" s="77"/>
    </row>
    <row r="15" spans="1:157" ht="24.95" customHeight="1" thickBot="1" x14ac:dyDescent="0.25">
      <c r="A15" s="286"/>
      <c r="B15" s="255"/>
      <c r="C15" s="273" t="s">
        <v>25</v>
      </c>
      <c r="D15" s="274"/>
      <c r="E15" s="275"/>
      <c r="F15" s="291">
        <f>'أسنان '!F326:G326</f>
        <v>451</v>
      </c>
      <c r="G15" s="294"/>
      <c r="H15" s="40"/>
      <c r="I15" s="43"/>
      <c r="J15" s="44"/>
      <c r="K15" s="45"/>
      <c r="L15" s="42"/>
      <c r="M15" s="286"/>
      <c r="N15" s="255"/>
      <c r="O15" s="273" t="s">
        <v>25</v>
      </c>
      <c r="P15" s="274"/>
      <c r="Q15" s="275"/>
      <c r="R15" s="291">
        <f>'أسنان '!R326:S326</f>
        <v>570</v>
      </c>
      <c r="S15" s="294"/>
      <c r="T15" s="40"/>
      <c r="U15" s="43"/>
      <c r="V15" s="44"/>
      <c r="W15" s="45"/>
      <c r="X15" s="42"/>
      <c r="Y15" s="286"/>
      <c r="Z15" s="255"/>
      <c r="AA15" s="273" t="s">
        <v>25</v>
      </c>
      <c r="AB15" s="274"/>
      <c r="AC15" s="275"/>
      <c r="AD15" s="291">
        <f>'أسنان '!AD326:AE326</f>
        <v>433</v>
      </c>
      <c r="AE15" s="294"/>
      <c r="AF15" s="40"/>
      <c r="AG15" s="43"/>
      <c r="AH15" s="44"/>
      <c r="AI15" s="45"/>
      <c r="AJ15" s="42"/>
      <c r="AK15" s="286"/>
      <c r="AL15" s="255"/>
      <c r="AM15" s="273" t="s">
        <v>25</v>
      </c>
      <c r="AN15" s="274"/>
      <c r="AO15" s="275"/>
      <c r="AP15" s="291">
        <f>'أسنان '!AP326:AQ326</f>
        <v>665</v>
      </c>
      <c r="AQ15" s="294"/>
      <c r="AR15" s="40"/>
      <c r="AS15" s="43"/>
      <c r="AT15" s="44"/>
      <c r="AU15" s="45"/>
      <c r="AV15" s="42"/>
      <c r="AW15" s="286"/>
      <c r="AX15" s="255"/>
      <c r="AY15" s="273" t="s">
        <v>25</v>
      </c>
      <c r="AZ15" s="274"/>
      <c r="BA15" s="275"/>
      <c r="BB15" s="291">
        <f>'أسنان '!BB326:BC326</f>
        <v>625</v>
      </c>
      <c r="BC15" s="294"/>
      <c r="BD15" s="40"/>
      <c r="BE15" s="43"/>
      <c r="BF15" s="44"/>
      <c r="BG15" s="45"/>
      <c r="BH15" s="42"/>
      <c r="BI15" s="286"/>
      <c r="BJ15" s="255"/>
      <c r="BK15" s="273" t="s">
        <v>25</v>
      </c>
      <c r="BL15" s="274"/>
      <c r="BM15" s="275"/>
      <c r="BN15" s="291">
        <f>'أسنان '!BN326:BO326</f>
        <v>210</v>
      </c>
      <c r="BO15" s="294"/>
      <c r="BP15" s="40"/>
      <c r="BQ15" s="43"/>
      <c r="BR15" s="44"/>
      <c r="BS15" s="45"/>
      <c r="BT15" s="42"/>
      <c r="BU15" s="286"/>
      <c r="BV15" s="255"/>
      <c r="BW15" s="273" t="s">
        <v>25</v>
      </c>
      <c r="BX15" s="274"/>
      <c r="BY15" s="275"/>
      <c r="BZ15" s="291">
        <f>'أسنان '!BZ326:CA326</f>
        <v>548</v>
      </c>
      <c r="CA15" s="294"/>
      <c r="CB15" s="40"/>
      <c r="CC15" s="43"/>
      <c r="CD15" s="44"/>
      <c r="CE15" s="45"/>
      <c r="CF15" s="42"/>
      <c r="CG15" s="286"/>
      <c r="CH15" s="255"/>
      <c r="CI15" s="273" t="s">
        <v>25</v>
      </c>
      <c r="CJ15" s="274"/>
      <c r="CK15" s="275"/>
      <c r="CL15" s="291">
        <f>'أسنان '!CL326:CM326</f>
        <v>60</v>
      </c>
      <c r="CM15" s="294"/>
      <c r="CN15" s="40"/>
      <c r="CO15" s="43"/>
      <c r="CP15" s="44"/>
      <c r="CQ15" s="45"/>
      <c r="CR15" s="42"/>
      <c r="CS15" s="286"/>
      <c r="CT15" s="255"/>
      <c r="CU15" s="273" t="s">
        <v>25</v>
      </c>
      <c r="CV15" s="274"/>
      <c r="CW15" s="275"/>
      <c r="CX15" s="291">
        <f>'أسنان '!CX326:CY326</f>
        <v>0</v>
      </c>
      <c r="CY15" s="294"/>
      <c r="CZ15" s="40"/>
      <c r="DA15" s="43"/>
      <c r="DB15" s="44"/>
      <c r="DC15" s="45"/>
      <c r="DD15" s="42"/>
      <c r="DE15" s="286"/>
      <c r="DF15" s="255"/>
      <c r="DG15" s="273" t="s">
        <v>25</v>
      </c>
      <c r="DH15" s="274"/>
      <c r="DI15" s="275"/>
      <c r="DJ15" s="291">
        <f>'أسنان '!DJ326:DK326</f>
        <v>317</v>
      </c>
      <c r="DK15" s="294"/>
      <c r="DL15" s="40"/>
      <c r="DM15" s="43"/>
      <c r="DN15" s="44"/>
      <c r="DO15" s="45"/>
      <c r="DP15" s="42"/>
      <c r="DQ15" s="286"/>
      <c r="DR15" s="255"/>
      <c r="DS15" s="273" t="s">
        <v>25</v>
      </c>
      <c r="DT15" s="274"/>
      <c r="DU15" s="275"/>
      <c r="DV15" s="291">
        <f>'أسنان '!DV326:DW326</f>
        <v>0</v>
      </c>
      <c r="DW15" s="294"/>
      <c r="DX15" s="40"/>
      <c r="DY15" s="43"/>
      <c r="DZ15" s="44"/>
      <c r="EA15" s="45"/>
      <c r="EB15" s="42"/>
      <c r="EC15" s="286"/>
      <c r="ED15" s="255"/>
      <c r="EE15" s="273" t="s">
        <v>25</v>
      </c>
      <c r="EF15" s="274"/>
      <c r="EG15" s="275"/>
      <c r="EH15" s="291">
        <f>'أسنان '!EH326:EI326</f>
        <v>0</v>
      </c>
      <c r="EI15" s="294"/>
      <c r="EJ15" s="40"/>
      <c r="EK15" s="43"/>
      <c r="EL15" s="44"/>
      <c r="EM15" s="45"/>
      <c r="EN15" s="42"/>
      <c r="EO15" s="77"/>
      <c r="EP15" s="286"/>
      <c r="EQ15" s="255"/>
      <c r="ER15" s="259" t="s">
        <v>25</v>
      </c>
      <c r="ES15" s="260"/>
      <c r="ET15" s="261"/>
      <c r="EU15" s="259">
        <f t="shared" si="0"/>
        <v>3879</v>
      </c>
      <c r="EV15" s="261"/>
      <c r="EW15" s="40"/>
      <c r="EX15" s="43"/>
      <c r="EY15" s="44"/>
      <c r="EZ15" s="45"/>
      <c r="FA15" s="77"/>
    </row>
    <row r="16" spans="1:157" ht="24.95" customHeight="1" thickBot="1" x14ac:dyDescent="0.25">
      <c r="A16" s="286"/>
      <c r="B16" s="244"/>
      <c r="C16" s="252" t="s">
        <v>27</v>
      </c>
      <c r="D16" s="251"/>
      <c r="E16" s="251"/>
      <c r="F16" s="291">
        <f>'أسنان '!F327:G327</f>
        <v>186</v>
      </c>
      <c r="G16" s="294"/>
      <c r="H16" s="40"/>
      <c r="I16" s="291" t="s">
        <v>26</v>
      </c>
      <c r="J16" s="293"/>
      <c r="K16" s="296">
        <f>SUM('أسنان '!K326:K327)</f>
        <v>2679</v>
      </c>
      <c r="L16" s="42"/>
      <c r="M16" s="286"/>
      <c r="N16" s="244"/>
      <c r="O16" s="252" t="s">
        <v>27</v>
      </c>
      <c r="P16" s="251"/>
      <c r="Q16" s="251"/>
      <c r="R16" s="291">
        <f>'أسنان '!R327:S327</f>
        <v>240</v>
      </c>
      <c r="S16" s="294"/>
      <c r="T16" s="40"/>
      <c r="U16" s="291" t="s">
        <v>26</v>
      </c>
      <c r="V16" s="293"/>
      <c r="W16" s="296">
        <f>SUM('أسنان '!W326:W327)</f>
        <v>2866</v>
      </c>
      <c r="X16" s="42"/>
      <c r="Y16" s="286"/>
      <c r="Z16" s="244"/>
      <c r="AA16" s="252" t="s">
        <v>27</v>
      </c>
      <c r="AB16" s="251"/>
      <c r="AC16" s="251"/>
      <c r="AD16" s="291">
        <f>'أسنان '!AD327:AE327</f>
        <v>261</v>
      </c>
      <c r="AE16" s="294"/>
      <c r="AF16" s="40"/>
      <c r="AG16" s="291" t="s">
        <v>26</v>
      </c>
      <c r="AH16" s="293"/>
      <c r="AI16" s="296">
        <f>SUM('أسنان '!AI326:AI327)</f>
        <v>2711</v>
      </c>
      <c r="AJ16" s="42"/>
      <c r="AK16" s="286"/>
      <c r="AL16" s="244"/>
      <c r="AM16" s="252" t="s">
        <v>27</v>
      </c>
      <c r="AN16" s="251"/>
      <c r="AO16" s="251"/>
      <c r="AP16" s="291">
        <f>'أسنان '!AP327:AQ327</f>
        <v>274</v>
      </c>
      <c r="AQ16" s="294"/>
      <c r="AR16" s="40"/>
      <c r="AS16" s="291" t="s">
        <v>26</v>
      </c>
      <c r="AT16" s="293"/>
      <c r="AU16" s="296">
        <f>SUM('أسنان '!AU326:AU327)</f>
        <v>2917</v>
      </c>
      <c r="AV16" s="42"/>
      <c r="AW16" s="286"/>
      <c r="AX16" s="244"/>
      <c r="AY16" s="252" t="s">
        <v>27</v>
      </c>
      <c r="AZ16" s="251"/>
      <c r="BA16" s="251"/>
      <c r="BB16" s="291">
        <f>'أسنان '!BB327:BC327</f>
        <v>609</v>
      </c>
      <c r="BC16" s="294"/>
      <c r="BD16" s="40"/>
      <c r="BE16" s="291" t="s">
        <v>26</v>
      </c>
      <c r="BF16" s="293"/>
      <c r="BG16" s="296">
        <f>SUM('أسنان '!BG326:BG327)</f>
        <v>2647</v>
      </c>
      <c r="BH16" s="42"/>
      <c r="BI16" s="286"/>
      <c r="BJ16" s="244"/>
      <c r="BK16" s="252" t="s">
        <v>27</v>
      </c>
      <c r="BL16" s="251"/>
      <c r="BM16" s="251"/>
      <c r="BN16" s="291">
        <f>'أسنان '!BN327:BO327</f>
        <v>122</v>
      </c>
      <c r="BO16" s="294"/>
      <c r="BP16" s="40"/>
      <c r="BQ16" s="291" t="s">
        <v>26</v>
      </c>
      <c r="BR16" s="293"/>
      <c r="BS16" s="296">
        <f>SUM('أسنان '!BS326:BS327)</f>
        <v>2472</v>
      </c>
      <c r="BT16" s="42"/>
      <c r="BU16" s="286"/>
      <c r="BV16" s="244"/>
      <c r="BW16" s="252" t="s">
        <v>27</v>
      </c>
      <c r="BX16" s="251"/>
      <c r="BY16" s="251"/>
      <c r="BZ16" s="291">
        <f>'أسنان '!BZ327:CA327</f>
        <v>259</v>
      </c>
      <c r="CA16" s="294"/>
      <c r="CB16" s="40"/>
      <c r="CC16" s="291" t="s">
        <v>26</v>
      </c>
      <c r="CD16" s="293"/>
      <c r="CE16" s="296">
        <f>SUM('أسنان '!CE326:CE327)</f>
        <v>2806</v>
      </c>
      <c r="CF16" s="42"/>
      <c r="CG16" s="286"/>
      <c r="CH16" s="244"/>
      <c r="CI16" s="252" t="s">
        <v>27</v>
      </c>
      <c r="CJ16" s="251"/>
      <c r="CK16" s="251"/>
      <c r="CL16" s="291">
        <f>'أسنان '!CL327:CM327</f>
        <v>47</v>
      </c>
      <c r="CM16" s="294"/>
      <c r="CN16" s="40"/>
      <c r="CO16" s="291" t="s">
        <v>26</v>
      </c>
      <c r="CP16" s="293"/>
      <c r="CQ16" s="296">
        <f>SUM('أسنان '!CQ326:CQ327)</f>
        <v>1144</v>
      </c>
      <c r="CR16" s="42"/>
      <c r="CS16" s="286"/>
      <c r="CT16" s="244"/>
      <c r="CU16" s="252" t="s">
        <v>27</v>
      </c>
      <c r="CV16" s="251"/>
      <c r="CW16" s="251"/>
      <c r="CX16" s="291">
        <f>'أسنان '!CX327:CY327</f>
        <v>0</v>
      </c>
      <c r="CY16" s="294"/>
      <c r="CZ16" s="40"/>
      <c r="DA16" s="291" t="s">
        <v>26</v>
      </c>
      <c r="DB16" s="293"/>
      <c r="DC16" s="296">
        <f>SUM('أسنان '!DC326:DC327)</f>
        <v>0</v>
      </c>
      <c r="DD16" s="42"/>
      <c r="DE16" s="286"/>
      <c r="DF16" s="244"/>
      <c r="DG16" s="252" t="s">
        <v>27</v>
      </c>
      <c r="DH16" s="251"/>
      <c r="DI16" s="251"/>
      <c r="DJ16" s="291">
        <f>'أسنان '!DJ327:DK327</f>
        <v>196</v>
      </c>
      <c r="DK16" s="294"/>
      <c r="DL16" s="40"/>
      <c r="DM16" s="291" t="s">
        <v>26</v>
      </c>
      <c r="DN16" s="293"/>
      <c r="DO16" s="296">
        <f>SUM('أسنان '!DO326:DO327)</f>
        <v>2454</v>
      </c>
      <c r="DP16" s="42"/>
      <c r="DQ16" s="286"/>
      <c r="DR16" s="244"/>
      <c r="DS16" s="252" t="s">
        <v>27</v>
      </c>
      <c r="DT16" s="251"/>
      <c r="DU16" s="251"/>
      <c r="DV16" s="291">
        <f>'أسنان '!DV327:DW327</f>
        <v>0</v>
      </c>
      <c r="DW16" s="294"/>
      <c r="DX16" s="40"/>
      <c r="DY16" s="291" t="s">
        <v>26</v>
      </c>
      <c r="DZ16" s="293"/>
      <c r="EA16" s="296">
        <f>SUM('أسنان '!EA326:EA327)</f>
        <v>0</v>
      </c>
      <c r="EB16" s="42"/>
      <c r="EC16" s="286"/>
      <c r="ED16" s="244"/>
      <c r="EE16" s="252" t="s">
        <v>27</v>
      </c>
      <c r="EF16" s="251"/>
      <c r="EG16" s="251"/>
      <c r="EH16" s="291">
        <f>'أسنان '!EH327:EI327</f>
        <v>0</v>
      </c>
      <c r="EI16" s="294"/>
      <c r="EJ16" s="40"/>
      <c r="EK16" s="291" t="s">
        <v>26</v>
      </c>
      <c r="EL16" s="293"/>
      <c r="EM16" s="296">
        <f>SUM('أسنان '!EM326:EM327)</f>
        <v>0</v>
      </c>
      <c r="EN16" s="42"/>
      <c r="EO16" s="77"/>
      <c r="EP16" s="286"/>
      <c r="EQ16" s="244"/>
      <c r="ER16" s="262" t="s">
        <v>27</v>
      </c>
      <c r="ES16" s="263"/>
      <c r="ET16" s="264"/>
      <c r="EU16" s="262">
        <f t="shared" si="0"/>
        <v>2194</v>
      </c>
      <c r="EV16" s="264"/>
      <c r="EW16" s="40"/>
      <c r="EX16" s="245" t="s">
        <v>26</v>
      </c>
      <c r="EY16" s="246"/>
      <c r="EZ16" s="267">
        <f>SUM(K16+W16+AI16+AU16+BG16+BS16+CE16+CQ16+DC16+DO16+EA16+EM16)</f>
        <v>22696</v>
      </c>
      <c r="FA16" s="77"/>
    </row>
    <row r="17" spans="1:157" ht="24.95" customHeight="1" thickBot="1" x14ac:dyDescent="0.25">
      <c r="A17" s="286"/>
      <c r="B17" s="281" t="s">
        <v>28</v>
      </c>
      <c r="C17" s="291" t="s">
        <v>29</v>
      </c>
      <c r="D17" s="292"/>
      <c r="E17" s="293"/>
      <c r="F17" s="291">
        <f>'أسنان '!F328:G328</f>
        <v>11</v>
      </c>
      <c r="G17" s="294"/>
      <c r="H17" s="40"/>
      <c r="I17" s="295"/>
      <c r="J17" s="297"/>
      <c r="K17" s="296"/>
      <c r="L17" s="42"/>
      <c r="M17" s="286"/>
      <c r="N17" s="281" t="s">
        <v>28</v>
      </c>
      <c r="O17" s="291" t="s">
        <v>29</v>
      </c>
      <c r="P17" s="292"/>
      <c r="Q17" s="293"/>
      <c r="R17" s="291">
        <f>'أسنان '!R328:S328</f>
        <v>5</v>
      </c>
      <c r="S17" s="294"/>
      <c r="T17" s="40"/>
      <c r="U17" s="295"/>
      <c r="V17" s="297"/>
      <c r="W17" s="296"/>
      <c r="X17" s="42"/>
      <c r="Y17" s="286"/>
      <c r="Z17" s="281" t="s">
        <v>28</v>
      </c>
      <c r="AA17" s="291" t="s">
        <v>29</v>
      </c>
      <c r="AB17" s="292"/>
      <c r="AC17" s="293"/>
      <c r="AD17" s="291">
        <f>'أسنان '!AD328:AE328</f>
        <v>47</v>
      </c>
      <c r="AE17" s="294"/>
      <c r="AF17" s="40"/>
      <c r="AG17" s="295"/>
      <c r="AH17" s="297"/>
      <c r="AI17" s="296"/>
      <c r="AJ17" s="42"/>
      <c r="AK17" s="286"/>
      <c r="AL17" s="281" t="s">
        <v>28</v>
      </c>
      <c r="AM17" s="291" t="s">
        <v>29</v>
      </c>
      <c r="AN17" s="292"/>
      <c r="AO17" s="293"/>
      <c r="AP17" s="291">
        <f>'أسنان '!AP328:AQ328</f>
        <v>5</v>
      </c>
      <c r="AQ17" s="294"/>
      <c r="AR17" s="40"/>
      <c r="AS17" s="295"/>
      <c r="AT17" s="297"/>
      <c r="AU17" s="296"/>
      <c r="AV17" s="42"/>
      <c r="AW17" s="286"/>
      <c r="AX17" s="281" t="s">
        <v>28</v>
      </c>
      <c r="AY17" s="291" t="s">
        <v>29</v>
      </c>
      <c r="AZ17" s="292"/>
      <c r="BA17" s="293"/>
      <c r="BB17" s="291">
        <f>'أسنان '!BB328:BC328</f>
        <v>30</v>
      </c>
      <c r="BC17" s="294"/>
      <c r="BD17" s="40"/>
      <c r="BE17" s="295"/>
      <c r="BF17" s="297"/>
      <c r="BG17" s="296"/>
      <c r="BH17" s="42"/>
      <c r="BI17" s="286"/>
      <c r="BJ17" s="281" t="s">
        <v>28</v>
      </c>
      <c r="BK17" s="291" t="s">
        <v>29</v>
      </c>
      <c r="BL17" s="292"/>
      <c r="BM17" s="293"/>
      <c r="BN17" s="291">
        <f>'أسنان '!BN328:BO328</f>
        <v>21</v>
      </c>
      <c r="BO17" s="294"/>
      <c r="BP17" s="40"/>
      <c r="BQ17" s="295"/>
      <c r="BR17" s="297"/>
      <c r="BS17" s="296"/>
      <c r="BT17" s="42"/>
      <c r="BU17" s="286"/>
      <c r="BV17" s="281" t="s">
        <v>28</v>
      </c>
      <c r="BW17" s="291" t="s">
        <v>29</v>
      </c>
      <c r="BX17" s="292"/>
      <c r="BY17" s="293"/>
      <c r="BZ17" s="291">
        <f>'أسنان '!BZ328:CA328</f>
        <v>5</v>
      </c>
      <c r="CA17" s="294"/>
      <c r="CB17" s="40"/>
      <c r="CC17" s="295"/>
      <c r="CD17" s="297"/>
      <c r="CE17" s="296"/>
      <c r="CF17" s="42"/>
      <c r="CG17" s="286"/>
      <c r="CH17" s="281" t="s">
        <v>28</v>
      </c>
      <c r="CI17" s="291" t="s">
        <v>29</v>
      </c>
      <c r="CJ17" s="292"/>
      <c r="CK17" s="293"/>
      <c r="CL17" s="291">
        <f>'أسنان '!CL328:CM328</f>
        <v>17</v>
      </c>
      <c r="CM17" s="294"/>
      <c r="CN17" s="40"/>
      <c r="CO17" s="295"/>
      <c r="CP17" s="297"/>
      <c r="CQ17" s="296"/>
      <c r="CR17" s="42"/>
      <c r="CS17" s="286"/>
      <c r="CT17" s="281" t="s">
        <v>28</v>
      </c>
      <c r="CU17" s="291" t="s">
        <v>29</v>
      </c>
      <c r="CV17" s="292"/>
      <c r="CW17" s="293"/>
      <c r="CX17" s="291">
        <f>'أسنان '!CX328:CY328</f>
        <v>0</v>
      </c>
      <c r="CY17" s="294"/>
      <c r="CZ17" s="40"/>
      <c r="DA17" s="295"/>
      <c r="DB17" s="297"/>
      <c r="DC17" s="296"/>
      <c r="DD17" s="42"/>
      <c r="DE17" s="286"/>
      <c r="DF17" s="281" t="s">
        <v>28</v>
      </c>
      <c r="DG17" s="291" t="s">
        <v>29</v>
      </c>
      <c r="DH17" s="292"/>
      <c r="DI17" s="293"/>
      <c r="DJ17" s="291">
        <f>'أسنان '!DJ328:DK328</f>
        <v>5</v>
      </c>
      <c r="DK17" s="294"/>
      <c r="DL17" s="40"/>
      <c r="DM17" s="295"/>
      <c r="DN17" s="297"/>
      <c r="DO17" s="296"/>
      <c r="DP17" s="42"/>
      <c r="DQ17" s="286"/>
      <c r="DR17" s="281" t="s">
        <v>28</v>
      </c>
      <c r="DS17" s="291" t="s">
        <v>29</v>
      </c>
      <c r="DT17" s="292"/>
      <c r="DU17" s="293"/>
      <c r="DV17" s="291">
        <f>'أسنان '!DV328:DW328</f>
        <v>0</v>
      </c>
      <c r="DW17" s="294"/>
      <c r="DX17" s="40"/>
      <c r="DY17" s="295"/>
      <c r="DZ17" s="297"/>
      <c r="EA17" s="296"/>
      <c r="EB17" s="42"/>
      <c r="EC17" s="286"/>
      <c r="ED17" s="281" t="s">
        <v>28</v>
      </c>
      <c r="EE17" s="291" t="s">
        <v>29</v>
      </c>
      <c r="EF17" s="292"/>
      <c r="EG17" s="293"/>
      <c r="EH17" s="291">
        <f>'أسنان '!EH328:EI328</f>
        <v>0</v>
      </c>
      <c r="EI17" s="294"/>
      <c r="EJ17" s="40"/>
      <c r="EK17" s="295"/>
      <c r="EL17" s="297"/>
      <c r="EM17" s="296"/>
      <c r="EN17" s="42"/>
      <c r="EO17" s="77"/>
      <c r="EP17" s="286"/>
      <c r="EQ17" s="243" t="s">
        <v>28</v>
      </c>
      <c r="ER17" s="256" t="s">
        <v>29</v>
      </c>
      <c r="ES17" s="257"/>
      <c r="ET17" s="258"/>
      <c r="EU17" s="256">
        <f t="shared" si="0"/>
        <v>146</v>
      </c>
      <c r="EV17" s="258"/>
      <c r="EW17" s="40"/>
      <c r="EX17" s="265"/>
      <c r="EY17" s="266"/>
      <c r="EZ17" s="268"/>
      <c r="FA17" s="77"/>
    </row>
    <row r="18" spans="1:157" ht="24.95" customHeight="1" thickBot="1" x14ac:dyDescent="0.25">
      <c r="A18" s="286"/>
      <c r="B18" s="281"/>
      <c r="C18" s="295" t="s">
        <v>30</v>
      </c>
      <c r="D18" s="296"/>
      <c r="E18" s="297"/>
      <c r="F18" s="291">
        <f>'أسنان '!F329:G329</f>
        <v>353</v>
      </c>
      <c r="G18" s="294"/>
      <c r="H18" s="40"/>
      <c r="I18" s="295" t="s">
        <v>31</v>
      </c>
      <c r="J18" s="297"/>
      <c r="K18" s="296">
        <f>SUM('أسنان '!K328:K329)</f>
        <v>0</v>
      </c>
      <c r="L18" s="42"/>
      <c r="M18" s="286"/>
      <c r="N18" s="281"/>
      <c r="O18" s="295" t="s">
        <v>30</v>
      </c>
      <c r="P18" s="296"/>
      <c r="Q18" s="297"/>
      <c r="R18" s="291">
        <f>'أسنان '!R329:S329</f>
        <v>310</v>
      </c>
      <c r="S18" s="294"/>
      <c r="T18" s="40"/>
      <c r="U18" s="295" t="s">
        <v>31</v>
      </c>
      <c r="V18" s="297"/>
      <c r="W18" s="296">
        <f>SUM('أسنان '!W328:W329)</f>
        <v>0</v>
      </c>
      <c r="X18" s="42"/>
      <c r="Y18" s="286"/>
      <c r="Z18" s="281"/>
      <c r="AA18" s="295" t="s">
        <v>30</v>
      </c>
      <c r="AB18" s="296"/>
      <c r="AC18" s="297"/>
      <c r="AD18" s="291">
        <f>'أسنان '!AD329:AE329</f>
        <v>160</v>
      </c>
      <c r="AE18" s="294"/>
      <c r="AF18" s="40"/>
      <c r="AG18" s="295" t="s">
        <v>31</v>
      </c>
      <c r="AH18" s="297"/>
      <c r="AI18" s="296">
        <f>SUM('أسنان '!AI328:AI329)</f>
        <v>0</v>
      </c>
      <c r="AJ18" s="42"/>
      <c r="AK18" s="286"/>
      <c r="AL18" s="281"/>
      <c r="AM18" s="295" t="s">
        <v>30</v>
      </c>
      <c r="AN18" s="296"/>
      <c r="AO18" s="297"/>
      <c r="AP18" s="291">
        <f>'أسنان '!AP329:AQ329</f>
        <v>338</v>
      </c>
      <c r="AQ18" s="294"/>
      <c r="AR18" s="40"/>
      <c r="AS18" s="295" t="s">
        <v>31</v>
      </c>
      <c r="AT18" s="297"/>
      <c r="AU18" s="296">
        <f>SUM('أسنان '!AU328:AU329)</f>
        <v>0</v>
      </c>
      <c r="AV18" s="42"/>
      <c r="AW18" s="286"/>
      <c r="AX18" s="281"/>
      <c r="AY18" s="295" t="s">
        <v>30</v>
      </c>
      <c r="AZ18" s="296"/>
      <c r="BA18" s="297"/>
      <c r="BB18" s="291">
        <f>'أسنان '!BB329:BC329</f>
        <v>116</v>
      </c>
      <c r="BC18" s="294"/>
      <c r="BD18" s="40"/>
      <c r="BE18" s="295" t="s">
        <v>31</v>
      </c>
      <c r="BF18" s="297"/>
      <c r="BG18" s="296">
        <f>SUM('أسنان '!BG328:BG329)</f>
        <v>310</v>
      </c>
      <c r="BH18" s="42"/>
      <c r="BI18" s="286"/>
      <c r="BJ18" s="281"/>
      <c r="BK18" s="295" t="s">
        <v>30</v>
      </c>
      <c r="BL18" s="296"/>
      <c r="BM18" s="297"/>
      <c r="BN18" s="291">
        <f>'أسنان '!BN329:BO329</f>
        <v>75</v>
      </c>
      <c r="BO18" s="294"/>
      <c r="BP18" s="40"/>
      <c r="BQ18" s="295" t="s">
        <v>31</v>
      </c>
      <c r="BR18" s="297"/>
      <c r="BS18" s="296">
        <f>SUM('أسنان '!BS328:BS329)</f>
        <v>0</v>
      </c>
      <c r="BT18" s="42"/>
      <c r="BU18" s="286"/>
      <c r="BV18" s="281"/>
      <c r="BW18" s="295" t="s">
        <v>30</v>
      </c>
      <c r="BX18" s="296"/>
      <c r="BY18" s="297"/>
      <c r="BZ18" s="291">
        <f>'أسنان '!BZ329:CA329</f>
        <v>301</v>
      </c>
      <c r="CA18" s="294"/>
      <c r="CB18" s="40"/>
      <c r="CC18" s="295" t="s">
        <v>31</v>
      </c>
      <c r="CD18" s="297"/>
      <c r="CE18" s="296">
        <f>SUM('أسنان '!CE328:CE329)</f>
        <v>0</v>
      </c>
      <c r="CF18" s="42"/>
      <c r="CG18" s="286"/>
      <c r="CH18" s="281"/>
      <c r="CI18" s="295" t="s">
        <v>30</v>
      </c>
      <c r="CJ18" s="296"/>
      <c r="CK18" s="297"/>
      <c r="CL18" s="291">
        <f>'أسنان '!CL329:CM329</f>
        <v>32</v>
      </c>
      <c r="CM18" s="294"/>
      <c r="CN18" s="40"/>
      <c r="CO18" s="295" t="s">
        <v>31</v>
      </c>
      <c r="CP18" s="297"/>
      <c r="CQ18" s="296">
        <f>SUM('أسنان '!CQ328:CQ329)</f>
        <v>0</v>
      </c>
      <c r="CR18" s="42"/>
      <c r="CS18" s="286"/>
      <c r="CT18" s="281"/>
      <c r="CU18" s="295" t="s">
        <v>30</v>
      </c>
      <c r="CV18" s="296"/>
      <c r="CW18" s="297"/>
      <c r="CX18" s="291">
        <f>'أسنان '!CX329:CY329</f>
        <v>0</v>
      </c>
      <c r="CY18" s="294"/>
      <c r="CZ18" s="40"/>
      <c r="DA18" s="295" t="s">
        <v>31</v>
      </c>
      <c r="DB18" s="297"/>
      <c r="DC18" s="296">
        <f>SUM('أسنان '!DC328:DC329)</f>
        <v>0</v>
      </c>
      <c r="DD18" s="42"/>
      <c r="DE18" s="286"/>
      <c r="DF18" s="281"/>
      <c r="DG18" s="295" t="s">
        <v>30</v>
      </c>
      <c r="DH18" s="296"/>
      <c r="DI18" s="297"/>
      <c r="DJ18" s="291">
        <f>'أسنان '!DJ329:DK329</f>
        <v>224</v>
      </c>
      <c r="DK18" s="294"/>
      <c r="DL18" s="40"/>
      <c r="DM18" s="295" t="s">
        <v>31</v>
      </c>
      <c r="DN18" s="297"/>
      <c r="DO18" s="296">
        <f>SUM('أسنان '!DO328:DO329)</f>
        <v>0</v>
      </c>
      <c r="DP18" s="42"/>
      <c r="DQ18" s="286"/>
      <c r="DR18" s="281"/>
      <c r="DS18" s="295" t="s">
        <v>30</v>
      </c>
      <c r="DT18" s="296"/>
      <c r="DU18" s="297"/>
      <c r="DV18" s="291">
        <f>'أسنان '!DV329:DW329</f>
        <v>0</v>
      </c>
      <c r="DW18" s="294"/>
      <c r="DX18" s="40"/>
      <c r="DY18" s="295" t="s">
        <v>31</v>
      </c>
      <c r="DZ18" s="297"/>
      <c r="EA18" s="296">
        <f>SUM('أسنان '!EA328:EA329)</f>
        <v>0</v>
      </c>
      <c r="EB18" s="42"/>
      <c r="EC18" s="286"/>
      <c r="ED18" s="281"/>
      <c r="EE18" s="295" t="s">
        <v>30</v>
      </c>
      <c r="EF18" s="296"/>
      <c r="EG18" s="297"/>
      <c r="EH18" s="291">
        <f>'أسنان '!EH329:EI329</f>
        <v>0</v>
      </c>
      <c r="EI18" s="294"/>
      <c r="EJ18" s="40"/>
      <c r="EK18" s="295" t="s">
        <v>31</v>
      </c>
      <c r="EL18" s="297"/>
      <c r="EM18" s="296">
        <f>SUM('أسنان '!EM328:EM329)</f>
        <v>0</v>
      </c>
      <c r="EN18" s="42"/>
      <c r="EO18" s="77"/>
      <c r="EP18" s="286"/>
      <c r="EQ18" s="255"/>
      <c r="ER18" s="259" t="s">
        <v>30</v>
      </c>
      <c r="ES18" s="260"/>
      <c r="ET18" s="261"/>
      <c r="EU18" s="259">
        <f t="shared" si="0"/>
        <v>1909</v>
      </c>
      <c r="EV18" s="261"/>
      <c r="EW18" s="40"/>
      <c r="EX18" s="276" t="s">
        <v>31</v>
      </c>
      <c r="EY18" s="277"/>
      <c r="EZ18" s="278">
        <f>SUM(K18+W18+AI18+AU18+BG18+BS18+CE18+CQ18+DC18+DO18+EA18+EM18)</f>
        <v>310</v>
      </c>
      <c r="FA18" s="77"/>
    </row>
    <row r="19" spans="1:157" ht="24.95" customHeight="1" thickBot="1" x14ac:dyDescent="0.25">
      <c r="A19" s="286"/>
      <c r="B19" s="281"/>
      <c r="C19" s="310" t="s">
        <v>32</v>
      </c>
      <c r="D19" s="311"/>
      <c r="E19" s="312"/>
      <c r="F19" s="291">
        <f>'أسنان '!F330:G330</f>
        <v>51</v>
      </c>
      <c r="G19" s="294"/>
      <c r="H19" s="40"/>
      <c r="I19" s="300"/>
      <c r="J19" s="302"/>
      <c r="K19" s="296"/>
      <c r="L19" s="42"/>
      <c r="M19" s="286"/>
      <c r="N19" s="281"/>
      <c r="O19" s="310" t="s">
        <v>32</v>
      </c>
      <c r="P19" s="311"/>
      <c r="Q19" s="312"/>
      <c r="R19" s="291">
        <f>'أسنان '!R330:S330</f>
        <v>42</v>
      </c>
      <c r="S19" s="294"/>
      <c r="T19" s="40"/>
      <c r="U19" s="300"/>
      <c r="V19" s="302"/>
      <c r="W19" s="296"/>
      <c r="X19" s="42"/>
      <c r="Y19" s="286"/>
      <c r="Z19" s="281"/>
      <c r="AA19" s="310" t="s">
        <v>32</v>
      </c>
      <c r="AB19" s="311"/>
      <c r="AC19" s="312"/>
      <c r="AD19" s="291">
        <f>'أسنان '!AD330:AE330</f>
        <v>0</v>
      </c>
      <c r="AE19" s="294"/>
      <c r="AF19" s="40"/>
      <c r="AG19" s="300"/>
      <c r="AH19" s="302"/>
      <c r="AI19" s="296"/>
      <c r="AJ19" s="42"/>
      <c r="AK19" s="286"/>
      <c r="AL19" s="281"/>
      <c r="AM19" s="310" t="s">
        <v>32</v>
      </c>
      <c r="AN19" s="311"/>
      <c r="AO19" s="312"/>
      <c r="AP19" s="291">
        <f>'أسنان '!AP330:AQ330</f>
        <v>52</v>
      </c>
      <c r="AQ19" s="294"/>
      <c r="AR19" s="40"/>
      <c r="AS19" s="300"/>
      <c r="AT19" s="302"/>
      <c r="AU19" s="296"/>
      <c r="AV19" s="42"/>
      <c r="AW19" s="286"/>
      <c r="AX19" s="281"/>
      <c r="AY19" s="310" t="s">
        <v>32</v>
      </c>
      <c r="AZ19" s="311"/>
      <c r="BA19" s="312"/>
      <c r="BB19" s="291">
        <f>'أسنان '!BB330:BC330</f>
        <v>0</v>
      </c>
      <c r="BC19" s="294"/>
      <c r="BD19" s="40"/>
      <c r="BE19" s="300"/>
      <c r="BF19" s="302"/>
      <c r="BG19" s="296"/>
      <c r="BH19" s="42"/>
      <c r="BI19" s="286"/>
      <c r="BJ19" s="281"/>
      <c r="BK19" s="310" t="s">
        <v>32</v>
      </c>
      <c r="BL19" s="311"/>
      <c r="BM19" s="312"/>
      <c r="BN19" s="291">
        <f>'أسنان '!BN330:BO330</f>
        <v>0</v>
      </c>
      <c r="BO19" s="294"/>
      <c r="BP19" s="40"/>
      <c r="BQ19" s="300"/>
      <c r="BR19" s="302"/>
      <c r="BS19" s="296"/>
      <c r="BT19" s="42"/>
      <c r="BU19" s="286"/>
      <c r="BV19" s="281"/>
      <c r="BW19" s="310" t="s">
        <v>32</v>
      </c>
      <c r="BX19" s="311"/>
      <c r="BY19" s="312"/>
      <c r="BZ19" s="291">
        <f>'أسنان '!BZ330:CA330</f>
        <v>52</v>
      </c>
      <c r="CA19" s="294"/>
      <c r="CB19" s="40"/>
      <c r="CC19" s="300"/>
      <c r="CD19" s="302"/>
      <c r="CE19" s="296"/>
      <c r="CF19" s="42"/>
      <c r="CG19" s="286"/>
      <c r="CH19" s="281"/>
      <c r="CI19" s="310" t="s">
        <v>32</v>
      </c>
      <c r="CJ19" s="311"/>
      <c r="CK19" s="312"/>
      <c r="CL19" s="291">
        <f>'أسنان '!CL330:CM330</f>
        <v>0</v>
      </c>
      <c r="CM19" s="294"/>
      <c r="CN19" s="40"/>
      <c r="CO19" s="300"/>
      <c r="CP19" s="302"/>
      <c r="CQ19" s="296"/>
      <c r="CR19" s="42"/>
      <c r="CS19" s="286"/>
      <c r="CT19" s="281"/>
      <c r="CU19" s="310" t="s">
        <v>32</v>
      </c>
      <c r="CV19" s="311"/>
      <c r="CW19" s="312"/>
      <c r="CX19" s="291">
        <f>'أسنان '!CX330:CY330</f>
        <v>0</v>
      </c>
      <c r="CY19" s="294"/>
      <c r="CZ19" s="40"/>
      <c r="DA19" s="300"/>
      <c r="DB19" s="302"/>
      <c r="DC19" s="296"/>
      <c r="DD19" s="42"/>
      <c r="DE19" s="286"/>
      <c r="DF19" s="281"/>
      <c r="DG19" s="310" t="s">
        <v>32</v>
      </c>
      <c r="DH19" s="311"/>
      <c r="DI19" s="312"/>
      <c r="DJ19" s="291">
        <f>'أسنان '!DJ330:DK330</f>
        <v>13</v>
      </c>
      <c r="DK19" s="294"/>
      <c r="DL19" s="40"/>
      <c r="DM19" s="300"/>
      <c r="DN19" s="302"/>
      <c r="DO19" s="296"/>
      <c r="DP19" s="42"/>
      <c r="DQ19" s="286"/>
      <c r="DR19" s="281"/>
      <c r="DS19" s="310" t="s">
        <v>32</v>
      </c>
      <c r="DT19" s="311"/>
      <c r="DU19" s="312"/>
      <c r="DV19" s="291">
        <f>'أسنان '!DV330:DW330</f>
        <v>0</v>
      </c>
      <c r="DW19" s="294"/>
      <c r="DX19" s="40"/>
      <c r="DY19" s="300"/>
      <c r="DZ19" s="302"/>
      <c r="EA19" s="296"/>
      <c r="EB19" s="42"/>
      <c r="EC19" s="286"/>
      <c r="ED19" s="281"/>
      <c r="EE19" s="310" t="s">
        <v>32</v>
      </c>
      <c r="EF19" s="311"/>
      <c r="EG19" s="312"/>
      <c r="EH19" s="291">
        <f>'أسنان '!EH330:EI330</f>
        <v>0</v>
      </c>
      <c r="EI19" s="294"/>
      <c r="EJ19" s="40"/>
      <c r="EK19" s="300"/>
      <c r="EL19" s="302"/>
      <c r="EM19" s="296"/>
      <c r="EN19" s="42"/>
      <c r="EO19" s="77"/>
      <c r="EP19" s="286"/>
      <c r="EQ19" s="244"/>
      <c r="ER19" s="262" t="s">
        <v>32</v>
      </c>
      <c r="ES19" s="263"/>
      <c r="ET19" s="264"/>
      <c r="EU19" s="262">
        <f t="shared" si="0"/>
        <v>210</v>
      </c>
      <c r="EV19" s="264"/>
      <c r="EW19" s="40"/>
      <c r="EX19" s="247"/>
      <c r="EY19" s="248"/>
      <c r="EZ19" s="269"/>
      <c r="FA19" s="77"/>
    </row>
    <row r="20" spans="1:157" ht="24.95" customHeight="1" thickBot="1" x14ac:dyDescent="0.25">
      <c r="A20" s="286"/>
      <c r="B20" s="245" t="s">
        <v>33</v>
      </c>
      <c r="C20" s="291" t="s">
        <v>34</v>
      </c>
      <c r="D20" s="292"/>
      <c r="E20" s="293"/>
      <c r="F20" s="291">
        <f>'أسنان '!F331:G331</f>
        <v>254</v>
      </c>
      <c r="G20" s="294"/>
      <c r="H20" s="40"/>
      <c r="I20" s="303" t="s">
        <v>21</v>
      </c>
      <c r="J20" s="304"/>
      <c r="K20" s="313">
        <f>SUM(K16:K19)</f>
        <v>2679</v>
      </c>
      <c r="L20" s="42"/>
      <c r="M20" s="286"/>
      <c r="N20" s="245" t="s">
        <v>33</v>
      </c>
      <c r="O20" s="291" t="s">
        <v>34</v>
      </c>
      <c r="P20" s="292"/>
      <c r="Q20" s="293"/>
      <c r="R20" s="291">
        <f>'أسنان '!R331:S331</f>
        <v>267</v>
      </c>
      <c r="S20" s="294"/>
      <c r="T20" s="40"/>
      <c r="U20" s="303" t="s">
        <v>21</v>
      </c>
      <c r="V20" s="304"/>
      <c r="W20" s="313">
        <f>SUM(W16:W19)</f>
        <v>2866</v>
      </c>
      <c r="X20" s="42"/>
      <c r="Y20" s="286"/>
      <c r="Z20" s="245" t="s">
        <v>33</v>
      </c>
      <c r="AA20" s="291" t="s">
        <v>34</v>
      </c>
      <c r="AB20" s="292"/>
      <c r="AC20" s="293"/>
      <c r="AD20" s="291">
        <f>'أسنان '!AD331:AE331</f>
        <v>339</v>
      </c>
      <c r="AE20" s="294"/>
      <c r="AF20" s="40"/>
      <c r="AG20" s="303" t="s">
        <v>21</v>
      </c>
      <c r="AH20" s="304"/>
      <c r="AI20" s="313">
        <f>SUM(AI16:AI19)</f>
        <v>2711</v>
      </c>
      <c r="AJ20" s="42"/>
      <c r="AK20" s="286"/>
      <c r="AL20" s="245" t="s">
        <v>33</v>
      </c>
      <c r="AM20" s="291" t="s">
        <v>34</v>
      </c>
      <c r="AN20" s="292"/>
      <c r="AO20" s="293"/>
      <c r="AP20" s="291">
        <f>'أسنان '!AP331:AQ331</f>
        <v>266</v>
      </c>
      <c r="AQ20" s="294"/>
      <c r="AR20" s="40"/>
      <c r="AS20" s="303" t="s">
        <v>21</v>
      </c>
      <c r="AT20" s="304"/>
      <c r="AU20" s="313">
        <f>SUM(AU16:AU19)</f>
        <v>2917</v>
      </c>
      <c r="AV20" s="42"/>
      <c r="AW20" s="286"/>
      <c r="AX20" s="245" t="s">
        <v>33</v>
      </c>
      <c r="AY20" s="291" t="s">
        <v>34</v>
      </c>
      <c r="AZ20" s="292"/>
      <c r="BA20" s="293"/>
      <c r="BB20" s="291">
        <f>'أسنان '!BB331:BC331</f>
        <v>294</v>
      </c>
      <c r="BC20" s="294"/>
      <c r="BD20" s="40"/>
      <c r="BE20" s="303" t="s">
        <v>21</v>
      </c>
      <c r="BF20" s="304"/>
      <c r="BG20" s="313">
        <f>SUM(BG16:BG19)</f>
        <v>2957</v>
      </c>
      <c r="BH20" s="42"/>
      <c r="BI20" s="286"/>
      <c r="BJ20" s="245" t="s">
        <v>33</v>
      </c>
      <c r="BK20" s="291" t="s">
        <v>34</v>
      </c>
      <c r="BL20" s="292"/>
      <c r="BM20" s="293"/>
      <c r="BN20" s="291">
        <f>'أسنان '!BN331:BO331</f>
        <v>111</v>
      </c>
      <c r="BO20" s="294"/>
      <c r="BP20" s="40"/>
      <c r="BQ20" s="303" t="s">
        <v>21</v>
      </c>
      <c r="BR20" s="304"/>
      <c r="BS20" s="313">
        <f>SUM(BS16:BS19)</f>
        <v>2472</v>
      </c>
      <c r="BT20" s="42"/>
      <c r="BU20" s="286"/>
      <c r="BV20" s="245" t="s">
        <v>33</v>
      </c>
      <c r="BW20" s="291" t="s">
        <v>34</v>
      </c>
      <c r="BX20" s="292"/>
      <c r="BY20" s="293"/>
      <c r="BZ20" s="291">
        <f>'أسنان '!BZ331:CA331</f>
        <v>237</v>
      </c>
      <c r="CA20" s="294"/>
      <c r="CB20" s="40"/>
      <c r="CC20" s="303" t="s">
        <v>21</v>
      </c>
      <c r="CD20" s="304"/>
      <c r="CE20" s="313">
        <f>SUM(CE16:CE19)</f>
        <v>2806</v>
      </c>
      <c r="CF20" s="42"/>
      <c r="CG20" s="286"/>
      <c r="CH20" s="245" t="s">
        <v>33</v>
      </c>
      <c r="CI20" s="291" t="s">
        <v>34</v>
      </c>
      <c r="CJ20" s="292"/>
      <c r="CK20" s="293"/>
      <c r="CL20" s="291">
        <f>'أسنان '!CL331:CM331</f>
        <v>21</v>
      </c>
      <c r="CM20" s="294"/>
      <c r="CN20" s="40"/>
      <c r="CO20" s="303" t="s">
        <v>21</v>
      </c>
      <c r="CP20" s="304"/>
      <c r="CQ20" s="313">
        <f>SUM(CQ16:CQ19)</f>
        <v>1144</v>
      </c>
      <c r="CR20" s="42"/>
      <c r="CS20" s="286"/>
      <c r="CT20" s="245" t="s">
        <v>33</v>
      </c>
      <c r="CU20" s="291" t="s">
        <v>34</v>
      </c>
      <c r="CV20" s="292"/>
      <c r="CW20" s="293"/>
      <c r="CX20" s="291">
        <f>'أسنان '!CX331:CY331</f>
        <v>0</v>
      </c>
      <c r="CY20" s="294"/>
      <c r="CZ20" s="40"/>
      <c r="DA20" s="303" t="s">
        <v>21</v>
      </c>
      <c r="DB20" s="304"/>
      <c r="DC20" s="313">
        <f>SUM(DC16:DC19)</f>
        <v>0</v>
      </c>
      <c r="DD20" s="42"/>
      <c r="DE20" s="286"/>
      <c r="DF20" s="245" t="s">
        <v>33</v>
      </c>
      <c r="DG20" s="291" t="s">
        <v>34</v>
      </c>
      <c r="DH20" s="292"/>
      <c r="DI20" s="293"/>
      <c r="DJ20" s="291">
        <f>'أسنان '!DJ331:DK331</f>
        <v>262</v>
      </c>
      <c r="DK20" s="294"/>
      <c r="DL20" s="40"/>
      <c r="DM20" s="303" t="s">
        <v>21</v>
      </c>
      <c r="DN20" s="304"/>
      <c r="DO20" s="313">
        <f>SUM(DO16:DO19)</f>
        <v>2454</v>
      </c>
      <c r="DP20" s="42"/>
      <c r="DQ20" s="286"/>
      <c r="DR20" s="245" t="s">
        <v>33</v>
      </c>
      <c r="DS20" s="291" t="s">
        <v>34</v>
      </c>
      <c r="DT20" s="292"/>
      <c r="DU20" s="293"/>
      <c r="DV20" s="291">
        <f>'أسنان '!DV331:DW331</f>
        <v>0</v>
      </c>
      <c r="DW20" s="294"/>
      <c r="DX20" s="40"/>
      <c r="DY20" s="303" t="s">
        <v>21</v>
      </c>
      <c r="DZ20" s="304"/>
      <c r="EA20" s="313">
        <f>SUM(EA16:EA19)</f>
        <v>0</v>
      </c>
      <c r="EB20" s="42"/>
      <c r="EC20" s="286"/>
      <c r="ED20" s="245" t="s">
        <v>33</v>
      </c>
      <c r="EE20" s="291" t="s">
        <v>34</v>
      </c>
      <c r="EF20" s="292"/>
      <c r="EG20" s="293"/>
      <c r="EH20" s="291">
        <f>'أسنان '!EH331:EI331</f>
        <v>0</v>
      </c>
      <c r="EI20" s="294"/>
      <c r="EJ20" s="40"/>
      <c r="EK20" s="303" t="s">
        <v>21</v>
      </c>
      <c r="EL20" s="304"/>
      <c r="EM20" s="313">
        <f>SUM(EM16:EM19)</f>
        <v>0</v>
      </c>
      <c r="EN20" s="42"/>
      <c r="EO20" s="77"/>
      <c r="EP20" s="286"/>
      <c r="EQ20" s="267" t="s">
        <v>33</v>
      </c>
      <c r="ER20" s="256" t="s">
        <v>34</v>
      </c>
      <c r="ES20" s="257"/>
      <c r="ET20" s="258"/>
      <c r="EU20" s="256">
        <f t="shared" si="0"/>
        <v>2051</v>
      </c>
      <c r="EV20" s="258"/>
      <c r="EW20" s="40"/>
      <c r="EX20" s="245" t="s">
        <v>21</v>
      </c>
      <c r="EY20" s="246"/>
      <c r="EZ20" s="249">
        <f>SUM(EZ16:EZ19)</f>
        <v>23006</v>
      </c>
      <c r="FA20" s="77"/>
    </row>
    <row r="21" spans="1:157" ht="24.95" customHeight="1" thickBot="1" x14ac:dyDescent="0.25">
      <c r="A21" s="286"/>
      <c r="B21" s="252"/>
      <c r="C21" s="306" t="s">
        <v>46</v>
      </c>
      <c r="D21" s="307"/>
      <c r="E21" s="308"/>
      <c r="F21" s="291">
        <f>'أسنان '!F332:G332</f>
        <v>0</v>
      </c>
      <c r="G21" s="294"/>
      <c r="H21" s="40"/>
      <c r="I21" s="300"/>
      <c r="J21" s="305"/>
      <c r="K21" s="314"/>
      <c r="L21" s="42"/>
      <c r="M21" s="286"/>
      <c r="N21" s="252"/>
      <c r="O21" s="306" t="s">
        <v>46</v>
      </c>
      <c r="P21" s="307"/>
      <c r="Q21" s="308"/>
      <c r="R21" s="291">
        <f>'أسنان '!R332:S332</f>
        <v>0</v>
      </c>
      <c r="S21" s="294"/>
      <c r="T21" s="40"/>
      <c r="U21" s="300"/>
      <c r="V21" s="305"/>
      <c r="W21" s="314"/>
      <c r="X21" s="42"/>
      <c r="Y21" s="286"/>
      <c r="Z21" s="252"/>
      <c r="AA21" s="306" t="s">
        <v>46</v>
      </c>
      <c r="AB21" s="307"/>
      <c r="AC21" s="308"/>
      <c r="AD21" s="291">
        <f>'أسنان '!AD332:AE332</f>
        <v>0</v>
      </c>
      <c r="AE21" s="294"/>
      <c r="AF21" s="40"/>
      <c r="AG21" s="300"/>
      <c r="AH21" s="305"/>
      <c r="AI21" s="314"/>
      <c r="AJ21" s="42"/>
      <c r="AK21" s="286"/>
      <c r="AL21" s="252"/>
      <c r="AM21" s="306" t="s">
        <v>46</v>
      </c>
      <c r="AN21" s="307"/>
      <c r="AO21" s="308"/>
      <c r="AP21" s="291">
        <f>'أسنان '!AP332:AQ332</f>
        <v>0</v>
      </c>
      <c r="AQ21" s="294"/>
      <c r="AR21" s="40"/>
      <c r="AS21" s="300"/>
      <c r="AT21" s="305"/>
      <c r="AU21" s="314"/>
      <c r="AV21" s="42"/>
      <c r="AW21" s="286"/>
      <c r="AX21" s="252"/>
      <c r="AY21" s="306" t="s">
        <v>46</v>
      </c>
      <c r="AZ21" s="307"/>
      <c r="BA21" s="308"/>
      <c r="BB21" s="291">
        <f>'أسنان '!BB332:BC332</f>
        <v>0</v>
      </c>
      <c r="BC21" s="294"/>
      <c r="BD21" s="40"/>
      <c r="BE21" s="300"/>
      <c r="BF21" s="305"/>
      <c r="BG21" s="314"/>
      <c r="BH21" s="42"/>
      <c r="BI21" s="286"/>
      <c r="BJ21" s="252"/>
      <c r="BK21" s="306" t="s">
        <v>46</v>
      </c>
      <c r="BL21" s="307"/>
      <c r="BM21" s="308"/>
      <c r="BN21" s="291">
        <f>'أسنان '!BN332:BO332</f>
        <v>0</v>
      </c>
      <c r="BO21" s="294"/>
      <c r="BP21" s="40"/>
      <c r="BQ21" s="300"/>
      <c r="BR21" s="305"/>
      <c r="BS21" s="314"/>
      <c r="BT21" s="42"/>
      <c r="BU21" s="286"/>
      <c r="BV21" s="252"/>
      <c r="BW21" s="306" t="s">
        <v>46</v>
      </c>
      <c r="BX21" s="307"/>
      <c r="BY21" s="308"/>
      <c r="BZ21" s="291">
        <f>'أسنان '!BZ332:CA332</f>
        <v>0</v>
      </c>
      <c r="CA21" s="294"/>
      <c r="CB21" s="40"/>
      <c r="CC21" s="300"/>
      <c r="CD21" s="305"/>
      <c r="CE21" s="314"/>
      <c r="CF21" s="42"/>
      <c r="CG21" s="286"/>
      <c r="CH21" s="252"/>
      <c r="CI21" s="306" t="s">
        <v>46</v>
      </c>
      <c r="CJ21" s="307"/>
      <c r="CK21" s="308"/>
      <c r="CL21" s="291">
        <f>'أسنان '!CL332:CM332</f>
        <v>0</v>
      </c>
      <c r="CM21" s="294"/>
      <c r="CN21" s="40"/>
      <c r="CO21" s="300"/>
      <c r="CP21" s="305"/>
      <c r="CQ21" s="314"/>
      <c r="CR21" s="42"/>
      <c r="CS21" s="286"/>
      <c r="CT21" s="252"/>
      <c r="CU21" s="306" t="s">
        <v>46</v>
      </c>
      <c r="CV21" s="307"/>
      <c r="CW21" s="308"/>
      <c r="CX21" s="291">
        <f>'أسنان '!CX332:CY332</f>
        <v>0</v>
      </c>
      <c r="CY21" s="294"/>
      <c r="CZ21" s="40"/>
      <c r="DA21" s="300"/>
      <c r="DB21" s="305"/>
      <c r="DC21" s="314"/>
      <c r="DD21" s="42"/>
      <c r="DE21" s="286"/>
      <c r="DF21" s="252"/>
      <c r="DG21" s="306" t="s">
        <v>46</v>
      </c>
      <c r="DH21" s="307"/>
      <c r="DI21" s="308"/>
      <c r="DJ21" s="291">
        <f>'أسنان '!DJ332:DK332</f>
        <v>0</v>
      </c>
      <c r="DK21" s="294"/>
      <c r="DL21" s="40"/>
      <c r="DM21" s="300"/>
      <c r="DN21" s="305"/>
      <c r="DO21" s="314"/>
      <c r="DP21" s="42"/>
      <c r="DQ21" s="286"/>
      <c r="DR21" s="252"/>
      <c r="DS21" s="306" t="s">
        <v>46</v>
      </c>
      <c r="DT21" s="307"/>
      <c r="DU21" s="308"/>
      <c r="DV21" s="291">
        <f>'أسنان '!DV332:DW332</f>
        <v>0</v>
      </c>
      <c r="DW21" s="294"/>
      <c r="DX21" s="40"/>
      <c r="DY21" s="300"/>
      <c r="DZ21" s="305"/>
      <c r="EA21" s="314"/>
      <c r="EB21" s="42"/>
      <c r="EC21" s="286"/>
      <c r="ED21" s="252"/>
      <c r="EE21" s="306" t="s">
        <v>46</v>
      </c>
      <c r="EF21" s="307"/>
      <c r="EG21" s="308"/>
      <c r="EH21" s="291">
        <f>'أسنان '!EH332:EI332</f>
        <v>0</v>
      </c>
      <c r="EI21" s="294"/>
      <c r="EJ21" s="40"/>
      <c r="EK21" s="300"/>
      <c r="EL21" s="305"/>
      <c r="EM21" s="314"/>
      <c r="EN21" s="42"/>
      <c r="EO21" s="77"/>
      <c r="EP21" s="286"/>
      <c r="EQ21" s="269"/>
      <c r="ER21" s="270" t="s">
        <v>46</v>
      </c>
      <c r="ES21" s="271"/>
      <c r="ET21" s="272"/>
      <c r="EU21" s="262">
        <f t="shared" si="0"/>
        <v>0</v>
      </c>
      <c r="EV21" s="264"/>
      <c r="EW21" s="40"/>
      <c r="EX21" s="247"/>
      <c r="EY21" s="248"/>
      <c r="EZ21" s="250"/>
      <c r="FA21" s="77"/>
    </row>
    <row r="22" spans="1:157" ht="24.95" customHeight="1" thickBot="1" x14ac:dyDescent="0.25">
      <c r="A22" s="287"/>
      <c r="B22" s="273" t="s">
        <v>36</v>
      </c>
      <c r="C22" s="274"/>
      <c r="D22" s="274"/>
      <c r="E22" s="274"/>
      <c r="F22" s="291">
        <f>'أسنان '!F333:G333</f>
        <v>0</v>
      </c>
      <c r="G22" s="294"/>
      <c r="H22" s="40"/>
      <c r="I22" s="43"/>
      <c r="J22" s="44"/>
      <c r="K22" s="46"/>
      <c r="L22" s="42"/>
      <c r="M22" s="287"/>
      <c r="N22" s="273" t="s">
        <v>36</v>
      </c>
      <c r="O22" s="274"/>
      <c r="P22" s="274"/>
      <c r="Q22" s="274"/>
      <c r="R22" s="291">
        <f>'أسنان '!R333:S333</f>
        <v>0</v>
      </c>
      <c r="S22" s="294"/>
      <c r="T22" s="40"/>
      <c r="U22" s="43"/>
      <c r="V22" s="44"/>
      <c r="W22" s="46"/>
      <c r="X22" s="42"/>
      <c r="Y22" s="287"/>
      <c r="Z22" s="273" t="s">
        <v>36</v>
      </c>
      <c r="AA22" s="274"/>
      <c r="AB22" s="274"/>
      <c r="AC22" s="274"/>
      <c r="AD22" s="291">
        <f>'أسنان '!AD333:AE333</f>
        <v>0</v>
      </c>
      <c r="AE22" s="294"/>
      <c r="AF22" s="40"/>
      <c r="AG22" s="43"/>
      <c r="AH22" s="44"/>
      <c r="AI22" s="46"/>
      <c r="AJ22" s="42"/>
      <c r="AK22" s="287"/>
      <c r="AL22" s="273" t="s">
        <v>36</v>
      </c>
      <c r="AM22" s="274"/>
      <c r="AN22" s="274"/>
      <c r="AO22" s="274"/>
      <c r="AP22" s="291">
        <f>'أسنان '!AP333:AQ333</f>
        <v>0</v>
      </c>
      <c r="AQ22" s="294"/>
      <c r="AR22" s="40"/>
      <c r="AS22" s="43"/>
      <c r="AT22" s="44"/>
      <c r="AU22" s="46"/>
      <c r="AV22" s="42"/>
      <c r="AW22" s="287"/>
      <c r="AX22" s="273" t="s">
        <v>36</v>
      </c>
      <c r="AY22" s="274"/>
      <c r="AZ22" s="274"/>
      <c r="BA22" s="274"/>
      <c r="BB22" s="291">
        <f>'أسنان '!BB333:BC333</f>
        <v>0</v>
      </c>
      <c r="BC22" s="294"/>
      <c r="BD22" s="40"/>
      <c r="BE22" s="43"/>
      <c r="BF22" s="44"/>
      <c r="BG22" s="46"/>
      <c r="BH22" s="42"/>
      <c r="BI22" s="287"/>
      <c r="BJ22" s="273" t="s">
        <v>36</v>
      </c>
      <c r="BK22" s="274"/>
      <c r="BL22" s="274"/>
      <c r="BM22" s="274"/>
      <c r="BN22" s="291">
        <f>'أسنان '!BN333:BO333</f>
        <v>0</v>
      </c>
      <c r="BO22" s="294"/>
      <c r="BP22" s="40"/>
      <c r="BQ22" s="43"/>
      <c r="BR22" s="44"/>
      <c r="BS22" s="46"/>
      <c r="BT22" s="42"/>
      <c r="BU22" s="287"/>
      <c r="BV22" s="273" t="s">
        <v>36</v>
      </c>
      <c r="BW22" s="274"/>
      <c r="BX22" s="274"/>
      <c r="BY22" s="274"/>
      <c r="BZ22" s="291">
        <f>'أسنان '!BZ333:CA333</f>
        <v>0</v>
      </c>
      <c r="CA22" s="294"/>
      <c r="CB22" s="40"/>
      <c r="CC22" s="43"/>
      <c r="CD22" s="44"/>
      <c r="CE22" s="46"/>
      <c r="CF22" s="42"/>
      <c r="CG22" s="287"/>
      <c r="CH22" s="273" t="s">
        <v>36</v>
      </c>
      <c r="CI22" s="274"/>
      <c r="CJ22" s="274"/>
      <c r="CK22" s="274"/>
      <c r="CL22" s="291">
        <f>'أسنان '!CL333:CM333</f>
        <v>0</v>
      </c>
      <c r="CM22" s="294"/>
      <c r="CN22" s="40"/>
      <c r="CO22" s="43"/>
      <c r="CP22" s="44"/>
      <c r="CQ22" s="46"/>
      <c r="CR22" s="42"/>
      <c r="CS22" s="287"/>
      <c r="CT22" s="273" t="s">
        <v>36</v>
      </c>
      <c r="CU22" s="274"/>
      <c r="CV22" s="274"/>
      <c r="CW22" s="274"/>
      <c r="CX22" s="291">
        <f>'أسنان '!CX333:CY333</f>
        <v>0</v>
      </c>
      <c r="CY22" s="294"/>
      <c r="CZ22" s="40"/>
      <c r="DA22" s="43"/>
      <c r="DB22" s="44"/>
      <c r="DC22" s="46"/>
      <c r="DD22" s="42"/>
      <c r="DE22" s="287"/>
      <c r="DF22" s="273" t="s">
        <v>36</v>
      </c>
      <c r="DG22" s="274"/>
      <c r="DH22" s="274"/>
      <c r="DI22" s="274"/>
      <c r="DJ22" s="291">
        <f>'أسنان '!DJ333:DK333</f>
        <v>0</v>
      </c>
      <c r="DK22" s="294"/>
      <c r="DL22" s="40"/>
      <c r="DM22" s="43"/>
      <c r="DN22" s="44"/>
      <c r="DO22" s="46"/>
      <c r="DP22" s="42"/>
      <c r="DQ22" s="287"/>
      <c r="DR22" s="273" t="s">
        <v>36</v>
      </c>
      <c r="DS22" s="274"/>
      <c r="DT22" s="274"/>
      <c r="DU22" s="274"/>
      <c r="DV22" s="291">
        <f>'أسنان '!DV333:DW333</f>
        <v>0</v>
      </c>
      <c r="DW22" s="294"/>
      <c r="DX22" s="40"/>
      <c r="DY22" s="43"/>
      <c r="DZ22" s="44"/>
      <c r="EA22" s="46"/>
      <c r="EB22" s="42"/>
      <c r="EC22" s="287"/>
      <c r="ED22" s="273" t="s">
        <v>36</v>
      </c>
      <c r="EE22" s="274"/>
      <c r="EF22" s="274"/>
      <c r="EG22" s="274"/>
      <c r="EH22" s="291">
        <f>'أسنان '!EH333:EI333</f>
        <v>0</v>
      </c>
      <c r="EI22" s="294"/>
      <c r="EJ22" s="40"/>
      <c r="EK22" s="43"/>
      <c r="EL22" s="44"/>
      <c r="EM22" s="46"/>
      <c r="EN22" s="42"/>
      <c r="EO22" s="77"/>
      <c r="EP22" s="287"/>
      <c r="EQ22" s="273" t="s">
        <v>36</v>
      </c>
      <c r="ER22" s="274"/>
      <c r="ES22" s="274"/>
      <c r="ET22" s="275"/>
      <c r="EU22" s="273">
        <f t="shared" si="0"/>
        <v>0</v>
      </c>
      <c r="EV22" s="275"/>
      <c r="EW22" s="40"/>
      <c r="EX22" s="43"/>
      <c r="EY22" s="44"/>
      <c r="EZ22" s="45"/>
      <c r="FA22" s="77"/>
    </row>
    <row r="23" spans="1:157" ht="24.95" customHeight="1" thickBot="1" x14ac:dyDescent="0.25">
      <c r="A23" s="243" t="s">
        <v>38</v>
      </c>
      <c r="B23" s="256" t="s">
        <v>39</v>
      </c>
      <c r="C23" s="257"/>
      <c r="D23" s="257"/>
      <c r="E23" s="257"/>
      <c r="F23" s="291">
        <f>'أسنان '!F334:G334</f>
        <v>2391</v>
      </c>
      <c r="G23" s="294"/>
      <c r="H23" s="40"/>
      <c r="I23" s="291" t="s">
        <v>37</v>
      </c>
      <c r="J23" s="294"/>
      <c r="K23" s="268">
        <f>SUM('أسنان '!K333:K334)</f>
        <v>816</v>
      </c>
      <c r="L23" s="42"/>
      <c r="M23" s="243" t="s">
        <v>38</v>
      </c>
      <c r="N23" s="256" t="s">
        <v>39</v>
      </c>
      <c r="O23" s="257"/>
      <c r="P23" s="257"/>
      <c r="Q23" s="257"/>
      <c r="R23" s="291">
        <f>'أسنان '!R334:S334</f>
        <v>2870</v>
      </c>
      <c r="S23" s="294"/>
      <c r="T23" s="40"/>
      <c r="U23" s="291" t="s">
        <v>37</v>
      </c>
      <c r="V23" s="294"/>
      <c r="W23" s="268">
        <f>SUM('أسنان '!W333:W334)</f>
        <v>1174</v>
      </c>
      <c r="X23" s="42"/>
      <c r="Y23" s="243" t="s">
        <v>38</v>
      </c>
      <c r="Z23" s="256" t="s">
        <v>39</v>
      </c>
      <c r="AA23" s="257"/>
      <c r="AB23" s="257"/>
      <c r="AC23" s="257"/>
      <c r="AD23" s="291">
        <f>'أسنان '!AD334:AE334</f>
        <v>2604</v>
      </c>
      <c r="AE23" s="294"/>
      <c r="AF23" s="40"/>
      <c r="AG23" s="291" t="s">
        <v>37</v>
      </c>
      <c r="AH23" s="294"/>
      <c r="AI23" s="268">
        <f>SUM('أسنان '!AI333:AI334)</f>
        <v>349</v>
      </c>
      <c r="AJ23" s="42"/>
      <c r="AK23" s="243" t="s">
        <v>38</v>
      </c>
      <c r="AL23" s="256" t="s">
        <v>39</v>
      </c>
      <c r="AM23" s="257"/>
      <c r="AN23" s="257"/>
      <c r="AO23" s="257"/>
      <c r="AP23" s="291">
        <f>'أسنان '!AP334:AQ334</f>
        <v>2718</v>
      </c>
      <c r="AQ23" s="294"/>
      <c r="AR23" s="40"/>
      <c r="AS23" s="291" t="s">
        <v>37</v>
      </c>
      <c r="AT23" s="294"/>
      <c r="AU23" s="268">
        <f>SUM('أسنان '!AU333:AU334)</f>
        <v>344</v>
      </c>
      <c r="AV23" s="42"/>
      <c r="AW23" s="243" t="s">
        <v>38</v>
      </c>
      <c r="AX23" s="256" t="s">
        <v>39</v>
      </c>
      <c r="AY23" s="257"/>
      <c r="AZ23" s="257"/>
      <c r="BA23" s="257"/>
      <c r="BB23" s="291">
        <f>'أسنان '!BB334:BC334</f>
        <v>2675</v>
      </c>
      <c r="BC23" s="294"/>
      <c r="BD23" s="40"/>
      <c r="BE23" s="291" t="s">
        <v>37</v>
      </c>
      <c r="BF23" s="294"/>
      <c r="BG23" s="268">
        <f>SUM('أسنان '!BG333:BG334)</f>
        <v>1349</v>
      </c>
      <c r="BH23" s="42"/>
      <c r="BI23" s="243" t="s">
        <v>38</v>
      </c>
      <c r="BJ23" s="256" t="s">
        <v>39</v>
      </c>
      <c r="BK23" s="257"/>
      <c r="BL23" s="257"/>
      <c r="BM23" s="257"/>
      <c r="BN23" s="291">
        <f>'أسنان '!BN334:BO334</f>
        <v>1544</v>
      </c>
      <c r="BO23" s="294"/>
      <c r="BP23" s="40"/>
      <c r="BQ23" s="291" t="s">
        <v>37</v>
      </c>
      <c r="BR23" s="294"/>
      <c r="BS23" s="268">
        <f>SUM('أسنان '!BS333:BS334)</f>
        <v>1086</v>
      </c>
      <c r="BT23" s="42"/>
      <c r="BU23" s="243" t="s">
        <v>38</v>
      </c>
      <c r="BV23" s="256" t="s">
        <v>39</v>
      </c>
      <c r="BW23" s="257"/>
      <c r="BX23" s="257"/>
      <c r="BY23" s="257"/>
      <c r="BZ23" s="291">
        <f>'أسنان '!BZ334:CA334</f>
        <v>2516</v>
      </c>
      <c r="CA23" s="294"/>
      <c r="CB23" s="40"/>
      <c r="CC23" s="291" t="s">
        <v>37</v>
      </c>
      <c r="CD23" s="294"/>
      <c r="CE23" s="268">
        <f>SUM('أسنان '!CE333:CE334)</f>
        <v>521</v>
      </c>
      <c r="CF23" s="42"/>
      <c r="CG23" s="243" t="s">
        <v>38</v>
      </c>
      <c r="CH23" s="256" t="s">
        <v>39</v>
      </c>
      <c r="CI23" s="257"/>
      <c r="CJ23" s="257"/>
      <c r="CK23" s="257"/>
      <c r="CL23" s="291">
        <f>'أسنان '!CL334:CM334</f>
        <v>216</v>
      </c>
      <c r="CM23" s="294"/>
      <c r="CN23" s="40"/>
      <c r="CO23" s="291" t="s">
        <v>37</v>
      </c>
      <c r="CP23" s="294"/>
      <c r="CQ23" s="268">
        <f>SUM('أسنان '!CQ333:CQ334)</f>
        <v>677</v>
      </c>
      <c r="CR23" s="42"/>
      <c r="CS23" s="243" t="s">
        <v>38</v>
      </c>
      <c r="CT23" s="256" t="s">
        <v>39</v>
      </c>
      <c r="CU23" s="257"/>
      <c r="CV23" s="257"/>
      <c r="CW23" s="257"/>
      <c r="CX23" s="291">
        <f>'أسنان '!CX334:CY334</f>
        <v>0</v>
      </c>
      <c r="CY23" s="294"/>
      <c r="CZ23" s="40"/>
      <c r="DA23" s="291" t="s">
        <v>37</v>
      </c>
      <c r="DB23" s="294"/>
      <c r="DC23" s="268">
        <f>SUM('أسنان '!DC333:DC334)</f>
        <v>0</v>
      </c>
      <c r="DD23" s="42"/>
      <c r="DE23" s="243" t="s">
        <v>38</v>
      </c>
      <c r="DF23" s="256" t="s">
        <v>39</v>
      </c>
      <c r="DG23" s="257"/>
      <c r="DH23" s="257"/>
      <c r="DI23" s="257"/>
      <c r="DJ23" s="291">
        <f>'أسنان '!DJ334:DK334</f>
        <v>2310</v>
      </c>
      <c r="DK23" s="294"/>
      <c r="DL23" s="40"/>
      <c r="DM23" s="291" t="s">
        <v>37</v>
      </c>
      <c r="DN23" s="294"/>
      <c r="DO23" s="268">
        <f>SUM('أسنان '!DO333:DO334)</f>
        <v>525</v>
      </c>
      <c r="DP23" s="42"/>
      <c r="DQ23" s="243" t="s">
        <v>38</v>
      </c>
      <c r="DR23" s="256" t="s">
        <v>39</v>
      </c>
      <c r="DS23" s="257"/>
      <c r="DT23" s="257"/>
      <c r="DU23" s="257"/>
      <c r="DV23" s="291">
        <f>'أسنان '!DV334:DW334</f>
        <v>0</v>
      </c>
      <c r="DW23" s="294"/>
      <c r="DX23" s="40"/>
      <c r="DY23" s="291" t="s">
        <v>37</v>
      </c>
      <c r="DZ23" s="294"/>
      <c r="EA23" s="268">
        <f>SUM('أسنان '!EA333:EA334)</f>
        <v>0</v>
      </c>
      <c r="EB23" s="42"/>
      <c r="EC23" s="243" t="s">
        <v>38</v>
      </c>
      <c r="ED23" s="256" t="s">
        <v>39</v>
      </c>
      <c r="EE23" s="257"/>
      <c r="EF23" s="257"/>
      <c r="EG23" s="257"/>
      <c r="EH23" s="291">
        <f>'أسنان '!EH334:EI334</f>
        <v>0</v>
      </c>
      <c r="EI23" s="294"/>
      <c r="EJ23" s="40"/>
      <c r="EK23" s="291" t="s">
        <v>37</v>
      </c>
      <c r="EL23" s="294"/>
      <c r="EM23" s="268">
        <f>SUM('أسنان '!EM333:EM334)</f>
        <v>0</v>
      </c>
      <c r="EN23" s="42"/>
      <c r="EO23" s="77"/>
      <c r="EP23" s="243" t="s">
        <v>38</v>
      </c>
      <c r="EQ23" s="256" t="s">
        <v>39</v>
      </c>
      <c r="ER23" s="257"/>
      <c r="ES23" s="257"/>
      <c r="ET23" s="258"/>
      <c r="EU23" s="256">
        <f t="shared" si="0"/>
        <v>19844</v>
      </c>
      <c r="EV23" s="258"/>
      <c r="EW23" s="40"/>
      <c r="EX23" s="245" t="s">
        <v>37</v>
      </c>
      <c r="EY23" s="246"/>
      <c r="EZ23" s="267">
        <f>SUM(K23+W23+AI23+AU23+BG23+BS23+CE23+CQ23+DC23+DO23+EA23+EM23)</f>
        <v>6841</v>
      </c>
      <c r="FA23" s="77"/>
    </row>
    <row r="24" spans="1:157" ht="24.95" customHeight="1" thickBot="1" x14ac:dyDescent="0.25">
      <c r="A24" s="255"/>
      <c r="B24" s="259" t="s">
        <v>40</v>
      </c>
      <c r="C24" s="260"/>
      <c r="D24" s="260"/>
      <c r="E24" s="260"/>
      <c r="F24" s="291">
        <f>'أسنان '!F335:G335</f>
        <v>0</v>
      </c>
      <c r="G24" s="294"/>
      <c r="H24" s="40"/>
      <c r="I24" s="295"/>
      <c r="J24" s="315"/>
      <c r="K24" s="299"/>
      <c r="L24" s="42"/>
      <c r="M24" s="255"/>
      <c r="N24" s="259" t="s">
        <v>40</v>
      </c>
      <c r="O24" s="260"/>
      <c r="P24" s="260"/>
      <c r="Q24" s="260"/>
      <c r="R24" s="291">
        <f>'أسنان '!R335:S335</f>
        <v>2</v>
      </c>
      <c r="S24" s="294"/>
      <c r="T24" s="40"/>
      <c r="U24" s="295"/>
      <c r="V24" s="315"/>
      <c r="W24" s="299"/>
      <c r="X24" s="42"/>
      <c r="Y24" s="255"/>
      <c r="Z24" s="259" t="s">
        <v>40</v>
      </c>
      <c r="AA24" s="260"/>
      <c r="AB24" s="260"/>
      <c r="AC24" s="260"/>
      <c r="AD24" s="291">
        <f>'أسنان '!AD335:AE335</f>
        <v>0</v>
      </c>
      <c r="AE24" s="294"/>
      <c r="AF24" s="40"/>
      <c r="AG24" s="295"/>
      <c r="AH24" s="315"/>
      <c r="AI24" s="299"/>
      <c r="AJ24" s="42"/>
      <c r="AK24" s="255"/>
      <c r="AL24" s="259" t="s">
        <v>40</v>
      </c>
      <c r="AM24" s="260"/>
      <c r="AN24" s="260"/>
      <c r="AO24" s="260"/>
      <c r="AP24" s="291">
        <f>'أسنان '!AP335:AQ335</f>
        <v>0</v>
      </c>
      <c r="AQ24" s="294"/>
      <c r="AR24" s="40"/>
      <c r="AS24" s="295"/>
      <c r="AT24" s="315"/>
      <c r="AU24" s="299"/>
      <c r="AV24" s="42"/>
      <c r="AW24" s="255"/>
      <c r="AX24" s="259" t="s">
        <v>40</v>
      </c>
      <c r="AY24" s="260"/>
      <c r="AZ24" s="260"/>
      <c r="BA24" s="260"/>
      <c r="BB24" s="291">
        <f>'أسنان '!BB335:BC335</f>
        <v>12</v>
      </c>
      <c r="BC24" s="294"/>
      <c r="BD24" s="40"/>
      <c r="BE24" s="295"/>
      <c r="BF24" s="315"/>
      <c r="BG24" s="299"/>
      <c r="BH24" s="42"/>
      <c r="BI24" s="255"/>
      <c r="BJ24" s="259" t="s">
        <v>40</v>
      </c>
      <c r="BK24" s="260"/>
      <c r="BL24" s="260"/>
      <c r="BM24" s="260"/>
      <c r="BN24" s="291">
        <f>'أسنان '!BN335:BO335</f>
        <v>0</v>
      </c>
      <c r="BO24" s="294"/>
      <c r="BP24" s="40"/>
      <c r="BQ24" s="295"/>
      <c r="BR24" s="315"/>
      <c r="BS24" s="299"/>
      <c r="BT24" s="42"/>
      <c r="BU24" s="255"/>
      <c r="BV24" s="259" t="s">
        <v>40</v>
      </c>
      <c r="BW24" s="260"/>
      <c r="BX24" s="260"/>
      <c r="BY24" s="260"/>
      <c r="BZ24" s="291">
        <f>'أسنان '!BZ335:CA335</f>
        <v>0</v>
      </c>
      <c r="CA24" s="294"/>
      <c r="CB24" s="40"/>
      <c r="CC24" s="295"/>
      <c r="CD24" s="315"/>
      <c r="CE24" s="299"/>
      <c r="CF24" s="42"/>
      <c r="CG24" s="255"/>
      <c r="CH24" s="259" t="s">
        <v>40</v>
      </c>
      <c r="CI24" s="260"/>
      <c r="CJ24" s="260"/>
      <c r="CK24" s="260"/>
      <c r="CL24" s="291">
        <f>'أسنان '!CL335:CM335</f>
        <v>0</v>
      </c>
      <c r="CM24" s="294"/>
      <c r="CN24" s="40"/>
      <c r="CO24" s="295"/>
      <c r="CP24" s="315"/>
      <c r="CQ24" s="299"/>
      <c r="CR24" s="42"/>
      <c r="CS24" s="255"/>
      <c r="CT24" s="259" t="s">
        <v>40</v>
      </c>
      <c r="CU24" s="260"/>
      <c r="CV24" s="260"/>
      <c r="CW24" s="260"/>
      <c r="CX24" s="291">
        <f>'أسنان '!CX335:CY335</f>
        <v>0</v>
      </c>
      <c r="CY24" s="294"/>
      <c r="CZ24" s="40"/>
      <c r="DA24" s="295"/>
      <c r="DB24" s="315"/>
      <c r="DC24" s="299"/>
      <c r="DD24" s="42"/>
      <c r="DE24" s="255"/>
      <c r="DF24" s="259" t="s">
        <v>40</v>
      </c>
      <c r="DG24" s="260"/>
      <c r="DH24" s="260"/>
      <c r="DI24" s="260"/>
      <c r="DJ24" s="291">
        <f>'أسنان '!DJ335:DK335</f>
        <v>10</v>
      </c>
      <c r="DK24" s="294"/>
      <c r="DL24" s="40"/>
      <c r="DM24" s="295"/>
      <c r="DN24" s="315"/>
      <c r="DO24" s="299"/>
      <c r="DP24" s="42"/>
      <c r="DQ24" s="255"/>
      <c r="DR24" s="259" t="s">
        <v>40</v>
      </c>
      <c r="DS24" s="260"/>
      <c r="DT24" s="260"/>
      <c r="DU24" s="260"/>
      <c r="DV24" s="291">
        <f>'أسنان '!DV335:DW335</f>
        <v>0</v>
      </c>
      <c r="DW24" s="294"/>
      <c r="DX24" s="40"/>
      <c r="DY24" s="295"/>
      <c r="DZ24" s="315"/>
      <c r="EA24" s="299"/>
      <c r="EB24" s="42"/>
      <c r="EC24" s="255"/>
      <c r="ED24" s="259" t="s">
        <v>40</v>
      </c>
      <c r="EE24" s="260"/>
      <c r="EF24" s="260"/>
      <c r="EG24" s="260"/>
      <c r="EH24" s="291">
        <f>'أسنان '!EH335:EI335</f>
        <v>0</v>
      </c>
      <c r="EI24" s="294"/>
      <c r="EJ24" s="40"/>
      <c r="EK24" s="295"/>
      <c r="EL24" s="315"/>
      <c r="EM24" s="299"/>
      <c r="EN24" s="42"/>
      <c r="EO24" s="77"/>
      <c r="EP24" s="255"/>
      <c r="EQ24" s="259" t="s">
        <v>40</v>
      </c>
      <c r="ER24" s="260"/>
      <c r="ES24" s="260"/>
      <c r="ET24" s="261"/>
      <c r="EU24" s="259">
        <f t="shared" si="0"/>
        <v>24</v>
      </c>
      <c r="EV24" s="261"/>
      <c r="EW24" s="40"/>
      <c r="EX24" s="265"/>
      <c r="EY24" s="266"/>
      <c r="EZ24" s="268"/>
      <c r="FA24" s="77"/>
    </row>
    <row r="25" spans="1:157" ht="24.95" customHeight="1" thickBot="1" x14ac:dyDescent="0.25">
      <c r="A25" s="255"/>
      <c r="B25" s="259" t="s">
        <v>41</v>
      </c>
      <c r="C25" s="260"/>
      <c r="D25" s="260"/>
      <c r="E25" s="260"/>
      <c r="F25" s="291">
        <f>'أسنان '!F336:G336</f>
        <v>0</v>
      </c>
      <c r="G25" s="294"/>
      <c r="H25" s="40"/>
      <c r="I25" s="295" t="s">
        <v>47</v>
      </c>
      <c r="J25" s="315"/>
      <c r="K25" s="268">
        <f>SUM('أسنان '!K335:K336)</f>
        <v>1863</v>
      </c>
      <c r="L25" s="42"/>
      <c r="M25" s="255"/>
      <c r="N25" s="259" t="s">
        <v>41</v>
      </c>
      <c r="O25" s="260"/>
      <c r="P25" s="260"/>
      <c r="Q25" s="260"/>
      <c r="R25" s="291">
        <f>'أسنان '!R336:S336</f>
        <v>4</v>
      </c>
      <c r="S25" s="294"/>
      <c r="T25" s="40"/>
      <c r="U25" s="295" t="s">
        <v>47</v>
      </c>
      <c r="V25" s="315"/>
      <c r="W25" s="268">
        <f>SUM('أسنان '!W335:W336)</f>
        <v>684</v>
      </c>
      <c r="X25" s="42"/>
      <c r="Y25" s="255"/>
      <c r="Z25" s="259" t="s">
        <v>41</v>
      </c>
      <c r="AA25" s="260"/>
      <c r="AB25" s="260"/>
      <c r="AC25" s="260"/>
      <c r="AD25" s="291">
        <f>'أسنان '!AD336:AE336</f>
        <v>118</v>
      </c>
      <c r="AE25" s="294"/>
      <c r="AF25" s="40"/>
      <c r="AG25" s="295" t="s">
        <v>47</v>
      </c>
      <c r="AH25" s="315"/>
      <c r="AI25" s="268">
        <f>SUM('أسنان '!AI335:AI336)</f>
        <v>443</v>
      </c>
      <c r="AJ25" s="42"/>
      <c r="AK25" s="255"/>
      <c r="AL25" s="259" t="s">
        <v>41</v>
      </c>
      <c r="AM25" s="260"/>
      <c r="AN25" s="260"/>
      <c r="AO25" s="260"/>
      <c r="AP25" s="291">
        <f>'أسنان '!AP336:AQ336</f>
        <v>3</v>
      </c>
      <c r="AQ25" s="294"/>
      <c r="AR25" s="40"/>
      <c r="AS25" s="295" t="s">
        <v>47</v>
      </c>
      <c r="AT25" s="315"/>
      <c r="AU25" s="268">
        <f>SUM('أسنان '!AU335:AU336)</f>
        <v>553</v>
      </c>
      <c r="AV25" s="42"/>
      <c r="AW25" s="255"/>
      <c r="AX25" s="259" t="s">
        <v>41</v>
      </c>
      <c r="AY25" s="260"/>
      <c r="AZ25" s="260"/>
      <c r="BA25" s="260"/>
      <c r="BB25" s="291">
        <f>'أسنان '!BB336:BC336</f>
        <v>113</v>
      </c>
      <c r="BC25" s="294"/>
      <c r="BD25" s="40"/>
      <c r="BE25" s="295" t="s">
        <v>47</v>
      </c>
      <c r="BF25" s="315"/>
      <c r="BG25" s="268">
        <f>SUM('أسنان '!BG335:BG336)</f>
        <v>748</v>
      </c>
      <c r="BH25" s="42"/>
      <c r="BI25" s="255"/>
      <c r="BJ25" s="259" t="s">
        <v>41</v>
      </c>
      <c r="BK25" s="260"/>
      <c r="BL25" s="260"/>
      <c r="BM25" s="260"/>
      <c r="BN25" s="291">
        <f>'أسنان '!BN336:BO336</f>
        <v>0</v>
      </c>
      <c r="BO25" s="294"/>
      <c r="BP25" s="40"/>
      <c r="BQ25" s="295" t="s">
        <v>47</v>
      </c>
      <c r="BR25" s="315"/>
      <c r="BS25" s="268">
        <f>SUM('أسنان '!BS335:BS336)</f>
        <v>1029</v>
      </c>
      <c r="BT25" s="42"/>
      <c r="BU25" s="255"/>
      <c r="BV25" s="259" t="s">
        <v>41</v>
      </c>
      <c r="BW25" s="260"/>
      <c r="BX25" s="260"/>
      <c r="BY25" s="260"/>
      <c r="BZ25" s="291">
        <f>'أسنان '!BZ336:CA336</f>
        <v>11</v>
      </c>
      <c r="CA25" s="294"/>
      <c r="CB25" s="40"/>
      <c r="CC25" s="295" t="s">
        <v>47</v>
      </c>
      <c r="CD25" s="315"/>
      <c r="CE25" s="268">
        <f>SUM('أسنان '!CE335:CE336)</f>
        <v>866</v>
      </c>
      <c r="CF25" s="42"/>
      <c r="CG25" s="255"/>
      <c r="CH25" s="259" t="s">
        <v>41</v>
      </c>
      <c r="CI25" s="260"/>
      <c r="CJ25" s="260"/>
      <c r="CK25" s="260"/>
      <c r="CL25" s="291">
        <f>'أسنان '!CL336:CM336</f>
        <v>0</v>
      </c>
      <c r="CM25" s="294"/>
      <c r="CN25" s="40"/>
      <c r="CO25" s="295" t="s">
        <v>47</v>
      </c>
      <c r="CP25" s="315"/>
      <c r="CQ25" s="268">
        <f>SUM('أسنان '!CQ335:CQ336)</f>
        <v>467</v>
      </c>
      <c r="CR25" s="42"/>
      <c r="CS25" s="255"/>
      <c r="CT25" s="259" t="s">
        <v>41</v>
      </c>
      <c r="CU25" s="260"/>
      <c r="CV25" s="260"/>
      <c r="CW25" s="260"/>
      <c r="CX25" s="291">
        <f>'أسنان '!CX336:CY336</f>
        <v>0</v>
      </c>
      <c r="CY25" s="294"/>
      <c r="CZ25" s="40"/>
      <c r="DA25" s="295" t="s">
        <v>47</v>
      </c>
      <c r="DB25" s="315"/>
      <c r="DC25" s="268">
        <f>SUM('أسنان '!DC335:DC336)</f>
        <v>0</v>
      </c>
      <c r="DD25" s="42"/>
      <c r="DE25" s="255"/>
      <c r="DF25" s="259" t="s">
        <v>41</v>
      </c>
      <c r="DG25" s="260"/>
      <c r="DH25" s="260"/>
      <c r="DI25" s="260"/>
      <c r="DJ25" s="291">
        <f>'أسنان '!DJ336:DK336</f>
        <v>5</v>
      </c>
      <c r="DK25" s="294"/>
      <c r="DL25" s="40"/>
      <c r="DM25" s="295" t="s">
        <v>47</v>
      </c>
      <c r="DN25" s="315"/>
      <c r="DO25" s="268">
        <f>SUM('أسنان '!DO335:DO336)</f>
        <v>291</v>
      </c>
      <c r="DP25" s="42"/>
      <c r="DQ25" s="255"/>
      <c r="DR25" s="259" t="s">
        <v>41</v>
      </c>
      <c r="DS25" s="260"/>
      <c r="DT25" s="260"/>
      <c r="DU25" s="260"/>
      <c r="DV25" s="291">
        <f>'أسنان '!DV336:DW336</f>
        <v>0</v>
      </c>
      <c r="DW25" s="294"/>
      <c r="DX25" s="40"/>
      <c r="DY25" s="295" t="s">
        <v>47</v>
      </c>
      <c r="DZ25" s="315"/>
      <c r="EA25" s="268">
        <f>SUM('أسنان '!EA335:EA336)</f>
        <v>0</v>
      </c>
      <c r="EB25" s="42"/>
      <c r="EC25" s="255"/>
      <c r="ED25" s="259" t="s">
        <v>41</v>
      </c>
      <c r="EE25" s="260"/>
      <c r="EF25" s="260"/>
      <c r="EG25" s="260"/>
      <c r="EH25" s="291">
        <f>'أسنان '!EH336:EI336</f>
        <v>0</v>
      </c>
      <c r="EI25" s="294"/>
      <c r="EJ25" s="40"/>
      <c r="EK25" s="295" t="s">
        <v>47</v>
      </c>
      <c r="EL25" s="315"/>
      <c r="EM25" s="268">
        <f>SUM('أسنان '!EM335:EM336)</f>
        <v>0</v>
      </c>
      <c r="EN25" s="42"/>
      <c r="EO25" s="77"/>
      <c r="EP25" s="255"/>
      <c r="EQ25" s="259" t="s">
        <v>41</v>
      </c>
      <c r="ER25" s="260"/>
      <c r="ES25" s="260"/>
      <c r="ET25" s="261"/>
      <c r="EU25" s="259">
        <f t="shared" si="0"/>
        <v>254</v>
      </c>
      <c r="EV25" s="261"/>
      <c r="EW25" s="40"/>
      <c r="EX25" s="276" t="s">
        <v>47</v>
      </c>
      <c r="EY25" s="277"/>
      <c r="EZ25" s="278">
        <f>SUM(K25+W25+AI25+AU25+BG25+BS25+CE25+CQ25+DC25+DO25+EA25+EM25)</f>
        <v>6944</v>
      </c>
      <c r="FA25" s="77"/>
    </row>
    <row r="26" spans="1:157" ht="24.95" customHeight="1" thickBot="1" x14ac:dyDescent="0.25">
      <c r="A26" s="244"/>
      <c r="B26" s="276" t="s">
        <v>42</v>
      </c>
      <c r="C26" s="309"/>
      <c r="D26" s="309"/>
      <c r="E26" s="309"/>
      <c r="F26" s="291">
        <f>'أسنان '!F337:G337</f>
        <v>65</v>
      </c>
      <c r="G26" s="294"/>
      <c r="H26" s="40"/>
      <c r="I26" s="300"/>
      <c r="J26" s="305"/>
      <c r="K26" s="299"/>
      <c r="L26" s="42"/>
      <c r="M26" s="244"/>
      <c r="N26" s="276" t="s">
        <v>42</v>
      </c>
      <c r="O26" s="309"/>
      <c r="P26" s="309"/>
      <c r="Q26" s="309"/>
      <c r="R26" s="291">
        <f>'أسنان '!R337:S337</f>
        <v>105</v>
      </c>
      <c r="S26" s="294"/>
      <c r="T26" s="40"/>
      <c r="U26" s="300"/>
      <c r="V26" s="305"/>
      <c r="W26" s="299"/>
      <c r="X26" s="42"/>
      <c r="Y26" s="244"/>
      <c r="Z26" s="276" t="s">
        <v>42</v>
      </c>
      <c r="AA26" s="309"/>
      <c r="AB26" s="309"/>
      <c r="AC26" s="309"/>
      <c r="AD26" s="291">
        <f>'أسنان '!AD337:AE337</f>
        <v>116</v>
      </c>
      <c r="AE26" s="294"/>
      <c r="AF26" s="40"/>
      <c r="AG26" s="300"/>
      <c r="AH26" s="305"/>
      <c r="AI26" s="299"/>
      <c r="AJ26" s="42"/>
      <c r="AK26" s="244"/>
      <c r="AL26" s="276" t="s">
        <v>42</v>
      </c>
      <c r="AM26" s="309"/>
      <c r="AN26" s="309"/>
      <c r="AO26" s="309"/>
      <c r="AP26" s="291">
        <f>'أسنان '!AP337:AQ337</f>
        <v>108</v>
      </c>
      <c r="AQ26" s="294"/>
      <c r="AR26" s="40"/>
      <c r="AS26" s="300"/>
      <c r="AT26" s="305"/>
      <c r="AU26" s="299"/>
      <c r="AV26" s="42"/>
      <c r="AW26" s="244"/>
      <c r="AX26" s="276" t="s">
        <v>42</v>
      </c>
      <c r="AY26" s="309"/>
      <c r="AZ26" s="309"/>
      <c r="BA26" s="309"/>
      <c r="BB26" s="291">
        <f>'أسنان '!BB337:BC337</f>
        <v>97</v>
      </c>
      <c r="BC26" s="294"/>
      <c r="BD26" s="40"/>
      <c r="BE26" s="300"/>
      <c r="BF26" s="305"/>
      <c r="BG26" s="299"/>
      <c r="BH26" s="42"/>
      <c r="BI26" s="244"/>
      <c r="BJ26" s="276" t="s">
        <v>42</v>
      </c>
      <c r="BK26" s="309"/>
      <c r="BL26" s="309"/>
      <c r="BM26" s="309"/>
      <c r="BN26" s="291">
        <f>'أسنان '!BN337:BO337</f>
        <v>36</v>
      </c>
      <c r="BO26" s="294"/>
      <c r="BP26" s="40"/>
      <c r="BQ26" s="300"/>
      <c r="BR26" s="305"/>
      <c r="BS26" s="299"/>
      <c r="BT26" s="42"/>
      <c r="BU26" s="244"/>
      <c r="BV26" s="276" t="s">
        <v>42</v>
      </c>
      <c r="BW26" s="309"/>
      <c r="BX26" s="309"/>
      <c r="BY26" s="309"/>
      <c r="BZ26" s="291">
        <f>'أسنان '!BZ337:CA337</f>
        <v>105</v>
      </c>
      <c r="CA26" s="294"/>
      <c r="CB26" s="40"/>
      <c r="CC26" s="300"/>
      <c r="CD26" s="305"/>
      <c r="CE26" s="299"/>
      <c r="CF26" s="42"/>
      <c r="CG26" s="244"/>
      <c r="CH26" s="276" t="s">
        <v>42</v>
      </c>
      <c r="CI26" s="309"/>
      <c r="CJ26" s="309"/>
      <c r="CK26" s="309"/>
      <c r="CL26" s="291">
        <f>'أسنان '!CL337:CM337</f>
        <v>9</v>
      </c>
      <c r="CM26" s="294"/>
      <c r="CN26" s="40"/>
      <c r="CO26" s="300"/>
      <c r="CP26" s="305"/>
      <c r="CQ26" s="299"/>
      <c r="CR26" s="42"/>
      <c r="CS26" s="244"/>
      <c r="CT26" s="276" t="s">
        <v>42</v>
      </c>
      <c r="CU26" s="309"/>
      <c r="CV26" s="309"/>
      <c r="CW26" s="309"/>
      <c r="CX26" s="291">
        <f>'أسنان '!CX337:CY337</f>
        <v>0</v>
      </c>
      <c r="CY26" s="294"/>
      <c r="CZ26" s="40"/>
      <c r="DA26" s="300"/>
      <c r="DB26" s="305"/>
      <c r="DC26" s="299"/>
      <c r="DD26" s="42"/>
      <c r="DE26" s="244"/>
      <c r="DF26" s="276" t="s">
        <v>42</v>
      </c>
      <c r="DG26" s="309"/>
      <c r="DH26" s="309"/>
      <c r="DI26" s="309"/>
      <c r="DJ26" s="291">
        <f>'أسنان '!DJ337:DK337</f>
        <v>38</v>
      </c>
      <c r="DK26" s="294"/>
      <c r="DL26" s="40"/>
      <c r="DM26" s="300"/>
      <c r="DN26" s="305"/>
      <c r="DO26" s="299"/>
      <c r="DP26" s="42"/>
      <c r="DQ26" s="244"/>
      <c r="DR26" s="276" t="s">
        <v>42</v>
      </c>
      <c r="DS26" s="309"/>
      <c r="DT26" s="309"/>
      <c r="DU26" s="309"/>
      <c r="DV26" s="291">
        <f>'أسنان '!DV337:DW337</f>
        <v>0</v>
      </c>
      <c r="DW26" s="294"/>
      <c r="DX26" s="40"/>
      <c r="DY26" s="300"/>
      <c r="DZ26" s="305"/>
      <c r="EA26" s="299"/>
      <c r="EB26" s="42"/>
      <c r="EC26" s="244"/>
      <c r="ED26" s="276" t="s">
        <v>42</v>
      </c>
      <c r="EE26" s="309"/>
      <c r="EF26" s="309"/>
      <c r="EG26" s="309"/>
      <c r="EH26" s="291">
        <f>'أسنان '!EH337:EI337</f>
        <v>0</v>
      </c>
      <c r="EI26" s="294"/>
      <c r="EJ26" s="40"/>
      <c r="EK26" s="300"/>
      <c r="EL26" s="305"/>
      <c r="EM26" s="299"/>
      <c r="EN26" s="42"/>
      <c r="EO26" s="77"/>
      <c r="EP26" s="244"/>
      <c r="EQ26" s="262" t="s">
        <v>42</v>
      </c>
      <c r="ER26" s="263"/>
      <c r="ES26" s="263"/>
      <c r="ET26" s="264"/>
      <c r="EU26" s="262">
        <f t="shared" si="0"/>
        <v>679</v>
      </c>
      <c r="EV26" s="264"/>
      <c r="EW26" s="40"/>
      <c r="EX26" s="247"/>
      <c r="EY26" s="248"/>
      <c r="EZ26" s="269"/>
      <c r="FA26" s="77"/>
    </row>
    <row r="27" spans="1:157" ht="24.95" customHeight="1" thickBot="1" x14ac:dyDescent="0.25">
      <c r="A27" s="279" t="s">
        <v>43</v>
      </c>
      <c r="B27" s="65">
        <v>1</v>
      </c>
      <c r="C27" s="66">
        <v>2</v>
      </c>
      <c r="D27" s="66">
        <v>3</v>
      </c>
      <c r="E27" s="66">
        <v>4</v>
      </c>
      <c r="F27" s="66">
        <v>5</v>
      </c>
      <c r="G27" s="67">
        <v>6</v>
      </c>
      <c r="H27" s="40"/>
      <c r="I27" s="303" t="s">
        <v>21</v>
      </c>
      <c r="J27" s="304"/>
      <c r="K27" s="313">
        <f>SUM(K23:K26)</f>
        <v>2679</v>
      </c>
      <c r="L27" s="42"/>
      <c r="M27" s="279" t="s">
        <v>43</v>
      </c>
      <c r="N27" s="65">
        <v>1</v>
      </c>
      <c r="O27" s="66">
        <v>2</v>
      </c>
      <c r="P27" s="66">
        <v>3</v>
      </c>
      <c r="Q27" s="66">
        <v>4</v>
      </c>
      <c r="R27" s="66">
        <v>5</v>
      </c>
      <c r="S27" s="67">
        <v>6</v>
      </c>
      <c r="T27" s="40"/>
      <c r="U27" s="303" t="s">
        <v>21</v>
      </c>
      <c r="V27" s="304"/>
      <c r="W27" s="313">
        <f>SUM(W23:W26)</f>
        <v>1858</v>
      </c>
      <c r="X27" s="42"/>
      <c r="Y27" s="279" t="s">
        <v>43</v>
      </c>
      <c r="Z27" s="65">
        <v>1</v>
      </c>
      <c r="AA27" s="66">
        <v>2</v>
      </c>
      <c r="AB27" s="66">
        <v>3</v>
      </c>
      <c r="AC27" s="66">
        <v>4</v>
      </c>
      <c r="AD27" s="66">
        <v>5</v>
      </c>
      <c r="AE27" s="67">
        <v>6</v>
      </c>
      <c r="AF27" s="40"/>
      <c r="AG27" s="303" t="s">
        <v>21</v>
      </c>
      <c r="AH27" s="304"/>
      <c r="AI27" s="313">
        <f>SUM(AI23:AI26)</f>
        <v>792</v>
      </c>
      <c r="AJ27" s="42"/>
      <c r="AK27" s="279" t="s">
        <v>43</v>
      </c>
      <c r="AL27" s="65">
        <v>1</v>
      </c>
      <c r="AM27" s="66">
        <v>2</v>
      </c>
      <c r="AN27" s="66">
        <v>3</v>
      </c>
      <c r="AO27" s="66">
        <v>4</v>
      </c>
      <c r="AP27" s="66">
        <v>5</v>
      </c>
      <c r="AQ27" s="67">
        <v>6</v>
      </c>
      <c r="AR27" s="40"/>
      <c r="AS27" s="303" t="s">
        <v>21</v>
      </c>
      <c r="AT27" s="304"/>
      <c r="AU27" s="313">
        <f>SUM(AU23:AU26)</f>
        <v>897</v>
      </c>
      <c r="AV27" s="42"/>
      <c r="AW27" s="279" t="s">
        <v>43</v>
      </c>
      <c r="AX27" s="65">
        <v>1</v>
      </c>
      <c r="AY27" s="66">
        <v>2</v>
      </c>
      <c r="AZ27" s="66">
        <v>3</v>
      </c>
      <c r="BA27" s="66">
        <v>4</v>
      </c>
      <c r="BB27" s="66">
        <v>5</v>
      </c>
      <c r="BC27" s="67">
        <v>6</v>
      </c>
      <c r="BD27" s="40"/>
      <c r="BE27" s="303" t="s">
        <v>21</v>
      </c>
      <c r="BF27" s="304"/>
      <c r="BG27" s="313">
        <f>SUM(BG23:BG26)</f>
        <v>2097</v>
      </c>
      <c r="BH27" s="42"/>
      <c r="BI27" s="279" t="s">
        <v>43</v>
      </c>
      <c r="BJ27" s="65">
        <v>1</v>
      </c>
      <c r="BK27" s="66">
        <v>2</v>
      </c>
      <c r="BL27" s="66">
        <v>3</v>
      </c>
      <c r="BM27" s="66">
        <v>4</v>
      </c>
      <c r="BN27" s="66">
        <v>5</v>
      </c>
      <c r="BO27" s="67">
        <v>6</v>
      </c>
      <c r="BP27" s="40"/>
      <c r="BQ27" s="303" t="s">
        <v>21</v>
      </c>
      <c r="BR27" s="304"/>
      <c r="BS27" s="313">
        <f>SUM(BS23:BS26)</f>
        <v>2115</v>
      </c>
      <c r="BT27" s="42"/>
      <c r="BU27" s="279" t="s">
        <v>43</v>
      </c>
      <c r="BV27" s="65">
        <v>1</v>
      </c>
      <c r="BW27" s="66">
        <v>2</v>
      </c>
      <c r="BX27" s="66">
        <v>3</v>
      </c>
      <c r="BY27" s="66">
        <v>4</v>
      </c>
      <c r="BZ27" s="66">
        <v>5</v>
      </c>
      <c r="CA27" s="67">
        <v>6</v>
      </c>
      <c r="CB27" s="40"/>
      <c r="CC27" s="303" t="s">
        <v>21</v>
      </c>
      <c r="CD27" s="304"/>
      <c r="CE27" s="313">
        <f>SUM(CE23:CE26)</f>
        <v>1387</v>
      </c>
      <c r="CF27" s="42"/>
      <c r="CG27" s="279" t="s">
        <v>43</v>
      </c>
      <c r="CH27" s="65">
        <v>1</v>
      </c>
      <c r="CI27" s="66">
        <v>2</v>
      </c>
      <c r="CJ27" s="66">
        <v>3</v>
      </c>
      <c r="CK27" s="66">
        <v>4</v>
      </c>
      <c r="CL27" s="66">
        <v>5</v>
      </c>
      <c r="CM27" s="67">
        <v>6</v>
      </c>
      <c r="CN27" s="40"/>
      <c r="CO27" s="303" t="s">
        <v>21</v>
      </c>
      <c r="CP27" s="304"/>
      <c r="CQ27" s="313">
        <f>SUM(CQ23:CQ26)</f>
        <v>1144</v>
      </c>
      <c r="CR27" s="42"/>
      <c r="CS27" s="279" t="s">
        <v>43</v>
      </c>
      <c r="CT27" s="65">
        <v>1</v>
      </c>
      <c r="CU27" s="66">
        <v>2</v>
      </c>
      <c r="CV27" s="66">
        <v>3</v>
      </c>
      <c r="CW27" s="66">
        <v>4</v>
      </c>
      <c r="CX27" s="66">
        <v>5</v>
      </c>
      <c r="CY27" s="67">
        <v>6</v>
      </c>
      <c r="CZ27" s="40"/>
      <c r="DA27" s="303" t="s">
        <v>21</v>
      </c>
      <c r="DB27" s="304"/>
      <c r="DC27" s="313">
        <f>SUM(DC23:DC26)</f>
        <v>0</v>
      </c>
      <c r="DD27" s="42"/>
      <c r="DE27" s="279" t="s">
        <v>43</v>
      </c>
      <c r="DF27" s="65">
        <v>1</v>
      </c>
      <c r="DG27" s="66">
        <v>2</v>
      </c>
      <c r="DH27" s="66">
        <v>3</v>
      </c>
      <c r="DI27" s="66">
        <v>4</v>
      </c>
      <c r="DJ27" s="66">
        <v>5</v>
      </c>
      <c r="DK27" s="67">
        <v>6</v>
      </c>
      <c r="DL27" s="40"/>
      <c r="DM27" s="303" t="s">
        <v>21</v>
      </c>
      <c r="DN27" s="304"/>
      <c r="DO27" s="313">
        <f>SUM(DO23:DO26)</f>
        <v>816</v>
      </c>
      <c r="DP27" s="42"/>
      <c r="DQ27" s="279" t="s">
        <v>43</v>
      </c>
      <c r="DR27" s="65">
        <v>1</v>
      </c>
      <c r="DS27" s="66">
        <v>2</v>
      </c>
      <c r="DT27" s="66">
        <v>3</v>
      </c>
      <c r="DU27" s="66">
        <v>4</v>
      </c>
      <c r="DV27" s="66">
        <v>5</v>
      </c>
      <c r="DW27" s="67">
        <v>6</v>
      </c>
      <c r="DX27" s="40"/>
      <c r="DY27" s="303" t="s">
        <v>21</v>
      </c>
      <c r="DZ27" s="304"/>
      <c r="EA27" s="313">
        <f>SUM(EA23:EA26)</f>
        <v>0</v>
      </c>
      <c r="EB27" s="42"/>
      <c r="EC27" s="279" t="s">
        <v>43</v>
      </c>
      <c r="ED27" s="65">
        <v>1</v>
      </c>
      <c r="EE27" s="66">
        <v>2</v>
      </c>
      <c r="EF27" s="66">
        <v>3</v>
      </c>
      <c r="EG27" s="66">
        <v>4</v>
      </c>
      <c r="EH27" s="66">
        <v>5</v>
      </c>
      <c r="EI27" s="67">
        <v>6</v>
      </c>
      <c r="EJ27" s="40"/>
      <c r="EK27" s="303" t="s">
        <v>21</v>
      </c>
      <c r="EL27" s="304"/>
      <c r="EM27" s="313">
        <f>SUM(EM23:EM26)</f>
        <v>0</v>
      </c>
      <c r="EN27" s="42"/>
      <c r="EO27" s="77"/>
      <c r="EP27" s="243" t="s">
        <v>43</v>
      </c>
      <c r="EQ27" s="83">
        <v>1</v>
      </c>
      <c r="ER27" s="84">
        <v>2</v>
      </c>
      <c r="ES27" s="84">
        <v>3</v>
      </c>
      <c r="ET27" s="84">
        <v>4</v>
      </c>
      <c r="EU27" s="47">
        <v>5</v>
      </c>
      <c r="EV27" s="48">
        <v>6</v>
      </c>
      <c r="EW27" s="40"/>
      <c r="EX27" s="245" t="s">
        <v>21</v>
      </c>
      <c r="EY27" s="246"/>
      <c r="EZ27" s="249">
        <f>SUM(EZ23:EZ26)</f>
        <v>13785</v>
      </c>
      <c r="FA27" s="77"/>
    </row>
    <row r="28" spans="1:157" ht="24.95" customHeight="1" thickBot="1" x14ac:dyDescent="0.25">
      <c r="A28" s="283"/>
      <c r="B28" s="68">
        <f>'أسنان '!B339</f>
        <v>70</v>
      </c>
      <c r="C28" s="68">
        <f>'أسنان '!C339</f>
        <v>101</v>
      </c>
      <c r="D28" s="68">
        <f>'أسنان '!D339</f>
        <v>42</v>
      </c>
      <c r="E28" s="68">
        <f>'أسنان '!E339</f>
        <v>3</v>
      </c>
      <c r="F28" s="68">
        <f>'أسنان '!F339</f>
        <v>0</v>
      </c>
      <c r="G28" s="68">
        <f>'أسنان '!G339</f>
        <v>0</v>
      </c>
      <c r="H28" s="40"/>
      <c r="I28" s="300"/>
      <c r="J28" s="305"/>
      <c r="K28" s="314"/>
      <c r="L28" s="42"/>
      <c r="M28" s="283"/>
      <c r="N28" s="68">
        <f>'أسنان '!N339</f>
        <v>91</v>
      </c>
      <c r="O28" s="68">
        <f>'أسنان '!O339</f>
        <v>89</v>
      </c>
      <c r="P28" s="68">
        <f>'أسنان '!P339</f>
        <v>88</v>
      </c>
      <c r="Q28" s="68">
        <f>'أسنان '!Q339</f>
        <v>0</v>
      </c>
      <c r="R28" s="68">
        <f>'أسنان '!R339</f>
        <v>0</v>
      </c>
      <c r="S28" s="68">
        <f>'أسنان '!S339</f>
        <v>0</v>
      </c>
      <c r="T28" s="40"/>
      <c r="U28" s="300"/>
      <c r="V28" s="305"/>
      <c r="W28" s="314"/>
      <c r="X28" s="42"/>
      <c r="Y28" s="283"/>
      <c r="Z28" s="68" t="e">
        <f>'أسنان '!Z339</f>
        <v>#VALUE!</v>
      </c>
      <c r="AA28" s="68" t="e">
        <f>'أسنان '!AA339</f>
        <v>#VALUE!</v>
      </c>
      <c r="AB28" s="68" t="e">
        <f>'أسنان '!AB339</f>
        <v>#VALUE!</v>
      </c>
      <c r="AC28" s="68">
        <f>'أسنان '!AC339</f>
        <v>0</v>
      </c>
      <c r="AD28" s="68">
        <f>'أسنان '!AD339</f>
        <v>0</v>
      </c>
      <c r="AE28" s="68">
        <f>'أسنان '!AE339</f>
        <v>0</v>
      </c>
      <c r="AF28" s="40"/>
      <c r="AG28" s="300"/>
      <c r="AH28" s="305"/>
      <c r="AI28" s="314"/>
      <c r="AJ28" s="42"/>
      <c r="AK28" s="283"/>
      <c r="AL28" s="68">
        <f>'أسنان '!AL339</f>
        <v>135</v>
      </c>
      <c r="AM28" s="68">
        <f>'أسنان '!AM339</f>
        <v>201</v>
      </c>
      <c r="AN28" s="68">
        <f>'أسنان '!AN339</f>
        <v>95</v>
      </c>
      <c r="AO28" s="68">
        <f>'أسنان '!AO339</f>
        <v>0</v>
      </c>
      <c r="AP28" s="68">
        <f>'أسنان '!AP339</f>
        <v>0</v>
      </c>
      <c r="AQ28" s="68">
        <f>'أسنان '!AQ339</f>
        <v>0</v>
      </c>
      <c r="AR28" s="40"/>
      <c r="AS28" s="300"/>
      <c r="AT28" s="305"/>
      <c r="AU28" s="314"/>
      <c r="AV28" s="42"/>
      <c r="AW28" s="283"/>
      <c r="AX28" s="68">
        <f>'أسنان '!AX339</f>
        <v>170</v>
      </c>
      <c r="AY28" s="68">
        <f>'أسنان '!AY339</f>
        <v>177</v>
      </c>
      <c r="AZ28" s="68">
        <f>'أسنان '!AZ339</f>
        <v>72</v>
      </c>
      <c r="BA28" s="68">
        <f>'أسنان '!BA339</f>
        <v>0</v>
      </c>
      <c r="BB28" s="68">
        <f>'أسنان '!BB339</f>
        <v>0</v>
      </c>
      <c r="BC28" s="68">
        <f>'أسنان '!BC339</f>
        <v>0</v>
      </c>
      <c r="BD28" s="40"/>
      <c r="BE28" s="300"/>
      <c r="BF28" s="305"/>
      <c r="BG28" s="314"/>
      <c r="BH28" s="42"/>
      <c r="BI28" s="283"/>
      <c r="BJ28" s="68">
        <f>'أسنان '!BJ339</f>
        <v>107</v>
      </c>
      <c r="BK28" s="68">
        <f>'أسنان '!BK339</f>
        <v>94</v>
      </c>
      <c r="BL28" s="68">
        <f>'أسنان '!BL339</f>
        <v>47</v>
      </c>
      <c r="BM28" s="68">
        <f>'أسنان '!BM339</f>
        <v>0</v>
      </c>
      <c r="BN28" s="68">
        <f>'أسنان '!BN339</f>
        <v>0</v>
      </c>
      <c r="BO28" s="68">
        <f>'أسنان '!BO339</f>
        <v>0</v>
      </c>
      <c r="BP28" s="40"/>
      <c r="BQ28" s="300"/>
      <c r="BR28" s="305"/>
      <c r="BS28" s="314"/>
      <c r="BT28" s="42"/>
      <c r="BU28" s="283"/>
      <c r="BV28" s="68">
        <f>'أسنان '!BV339</f>
        <v>102</v>
      </c>
      <c r="BW28" s="68">
        <f>'أسنان '!BW339</f>
        <v>147</v>
      </c>
      <c r="BX28" s="68">
        <f>'أسنان '!BX339</f>
        <v>62</v>
      </c>
      <c r="BY28" s="68">
        <f>'أسنان '!BY339</f>
        <v>0</v>
      </c>
      <c r="BZ28" s="68">
        <f>'أسنان '!BZ339</f>
        <v>0</v>
      </c>
      <c r="CA28" s="68">
        <f>'أسنان '!CA339</f>
        <v>0</v>
      </c>
      <c r="CB28" s="40"/>
      <c r="CC28" s="300"/>
      <c r="CD28" s="305"/>
      <c r="CE28" s="314"/>
      <c r="CF28" s="42"/>
      <c r="CG28" s="283"/>
      <c r="CH28" s="68">
        <f>'أسنان '!CH339</f>
        <v>23</v>
      </c>
      <c r="CI28" s="68">
        <f>'أسنان '!CI339</f>
        <v>29</v>
      </c>
      <c r="CJ28" s="68">
        <f>'أسنان '!CJ339</f>
        <v>18</v>
      </c>
      <c r="CK28" s="68">
        <f>'أسنان '!CK339</f>
        <v>0</v>
      </c>
      <c r="CL28" s="68">
        <f>'أسنان '!CL339</f>
        <v>0</v>
      </c>
      <c r="CM28" s="68">
        <f>'أسنان '!CM339</f>
        <v>0</v>
      </c>
      <c r="CN28" s="40"/>
      <c r="CO28" s="300"/>
      <c r="CP28" s="305"/>
      <c r="CQ28" s="314"/>
      <c r="CR28" s="42"/>
      <c r="CS28" s="283"/>
      <c r="CT28" s="68">
        <f>'أسنان '!CT339</f>
        <v>0</v>
      </c>
      <c r="CU28" s="68">
        <f>'أسنان '!CU339</f>
        <v>0</v>
      </c>
      <c r="CV28" s="68">
        <f>'أسنان '!CV339</f>
        <v>0</v>
      </c>
      <c r="CW28" s="68">
        <f>'أسنان '!CW339</f>
        <v>0</v>
      </c>
      <c r="CX28" s="68">
        <f>'أسنان '!CX339</f>
        <v>0</v>
      </c>
      <c r="CY28" s="68">
        <f>'أسنان '!CY339</f>
        <v>0</v>
      </c>
      <c r="CZ28" s="40"/>
      <c r="DA28" s="300"/>
      <c r="DB28" s="305"/>
      <c r="DC28" s="314"/>
      <c r="DD28" s="42"/>
      <c r="DE28" s="283"/>
      <c r="DF28" s="68">
        <f>'أسنان '!DF339</f>
        <v>75</v>
      </c>
      <c r="DG28" s="68">
        <f>'أسنان '!DG339</f>
        <v>127</v>
      </c>
      <c r="DH28" s="68">
        <f>'أسنان '!DH339</f>
        <v>72</v>
      </c>
      <c r="DI28" s="68">
        <f>'أسنان '!DI339</f>
        <v>0</v>
      </c>
      <c r="DJ28" s="68">
        <f>'أسنان '!DJ339</f>
        <v>0</v>
      </c>
      <c r="DK28" s="68">
        <f>'أسنان '!DK339</f>
        <v>0</v>
      </c>
      <c r="DL28" s="40"/>
      <c r="DM28" s="300"/>
      <c r="DN28" s="305"/>
      <c r="DO28" s="314"/>
      <c r="DP28" s="42"/>
      <c r="DQ28" s="283"/>
      <c r="DR28" s="68">
        <f>'أسنان '!DR339</f>
        <v>0</v>
      </c>
      <c r="DS28" s="68">
        <f>'أسنان '!DS339</f>
        <v>0</v>
      </c>
      <c r="DT28" s="68">
        <f>'أسنان '!DT339</f>
        <v>0</v>
      </c>
      <c r="DU28" s="68">
        <f>'أسنان '!DU339</f>
        <v>0</v>
      </c>
      <c r="DV28" s="68">
        <f>'أسنان '!DV339</f>
        <v>0</v>
      </c>
      <c r="DW28" s="68">
        <f>'أسنان '!DW339</f>
        <v>0</v>
      </c>
      <c r="DX28" s="40"/>
      <c r="DY28" s="300"/>
      <c r="DZ28" s="305"/>
      <c r="EA28" s="314"/>
      <c r="EB28" s="42"/>
      <c r="EC28" s="283"/>
      <c r="ED28" s="68">
        <f>'أسنان '!ED339</f>
        <v>0</v>
      </c>
      <c r="EE28" s="68">
        <f>'أسنان '!EE339</f>
        <v>0</v>
      </c>
      <c r="EF28" s="68">
        <f>'أسنان '!EF339</f>
        <v>0</v>
      </c>
      <c r="EG28" s="68">
        <f>'أسنان '!EG339</f>
        <v>0</v>
      </c>
      <c r="EH28" s="68">
        <f>'أسنان '!EH339</f>
        <v>0</v>
      </c>
      <c r="EI28" s="68">
        <f>'أسنان '!EI339</f>
        <v>0</v>
      </c>
      <c r="EJ28" s="40"/>
      <c r="EK28" s="300"/>
      <c r="EL28" s="305"/>
      <c r="EM28" s="314"/>
      <c r="EN28" s="42"/>
      <c r="EO28" s="77"/>
      <c r="EP28" s="244"/>
      <c r="EQ28" s="85" t="e">
        <f t="shared" ref="EQ28:EV28" si="1">SUM(B28+N28+Z28+AL28+AX28+BJ28+BV28+CH28+CT28+DF28+DR28+ED28)</f>
        <v>#VALUE!</v>
      </c>
      <c r="ER28" s="49" t="e">
        <f t="shared" si="1"/>
        <v>#VALUE!</v>
      </c>
      <c r="ES28" s="49" t="e">
        <f t="shared" si="1"/>
        <v>#VALUE!</v>
      </c>
      <c r="ET28" s="49">
        <f t="shared" si="1"/>
        <v>3</v>
      </c>
      <c r="EU28" s="49">
        <f t="shared" si="1"/>
        <v>0</v>
      </c>
      <c r="EV28" s="86">
        <f t="shared" si="1"/>
        <v>0</v>
      </c>
      <c r="EW28" s="40"/>
      <c r="EX28" s="247"/>
      <c r="EY28" s="248"/>
      <c r="EZ28" s="250"/>
      <c r="FA28" s="77"/>
    </row>
    <row r="29" spans="1:157" ht="15.75" x14ac:dyDescent="0.2">
      <c r="A29" s="39"/>
      <c r="B29" s="40"/>
      <c r="C29" s="40"/>
      <c r="D29" s="40"/>
      <c r="E29" s="40"/>
      <c r="F29" s="40"/>
      <c r="G29" s="40"/>
      <c r="H29" s="40"/>
      <c r="I29" s="40"/>
      <c r="J29" s="40"/>
      <c r="K29" s="50"/>
      <c r="L29" s="42"/>
      <c r="M29" s="39"/>
      <c r="N29" s="40"/>
      <c r="O29" s="40"/>
      <c r="P29" s="40"/>
      <c r="Q29" s="40"/>
      <c r="R29" s="40"/>
      <c r="S29" s="40"/>
      <c r="T29" s="40"/>
      <c r="U29" s="40"/>
      <c r="V29" s="40"/>
      <c r="W29" s="50"/>
      <c r="X29" s="42"/>
      <c r="Y29" s="39"/>
      <c r="Z29" s="40"/>
      <c r="AA29" s="40"/>
      <c r="AB29" s="40"/>
      <c r="AC29" s="40"/>
      <c r="AD29" s="40"/>
      <c r="AE29" s="40"/>
      <c r="AF29" s="40"/>
      <c r="AG29" s="40"/>
      <c r="AH29" s="40"/>
      <c r="AI29" s="50"/>
      <c r="AJ29" s="42"/>
      <c r="AK29" s="39"/>
      <c r="AL29" s="40"/>
      <c r="AM29" s="40"/>
      <c r="AN29" s="40"/>
      <c r="AO29" s="40"/>
      <c r="AP29" s="40"/>
      <c r="AQ29" s="40"/>
      <c r="AR29" s="40"/>
      <c r="AS29" s="40"/>
      <c r="AT29" s="40"/>
      <c r="AU29" s="50"/>
      <c r="AV29" s="42"/>
      <c r="AW29" s="39"/>
      <c r="AX29" s="40"/>
      <c r="AY29" s="40"/>
      <c r="AZ29" s="40"/>
      <c r="BA29" s="40"/>
      <c r="BB29" s="40"/>
      <c r="BC29" s="40"/>
      <c r="BD29" s="40"/>
      <c r="BE29" s="40"/>
      <c r="BF29" s="40"/>
      <c r="BG29" s="50"/>
      <c r="BH29" s="42"/>
      <c r="BI29" s="39"/>
      <c r="BJ29" s="40"/>
      <c r="BK29" s="40"/>
      <c r="BL29" s="40"/>
      <c r="BM29" s="40"/>
      <c r="BN29" s="40"/>
      <c r="BO29" s="40"/>
      <c r="BP29" s="40"/>
      <c r="BQ29" s="40"/>
      <c r="BR29" s="40"/>
      <c r="BS29" s="50"/>
      <c r="BT29" s="42"/>
      <c r="BU29" s="39"/>
      <c r="BV29" s="40"/>
      <c r="BW29" s="40"/>
      <c r="BX29" s="40"/>
      <c r="BY29" s="40"/>
      <c r="BZ29" s="40"/>
      <c r="CA29" s="40"/>
      <c r="CB29" s="40"/>
      <c r="CC29" s="40"/>
      <c r="CD29" s="40"/>
      <c r="CE29" s="50"/>
      <c r="CF29" s="42"/>
      <c r="CG29" s="39"/>
      <c r="CH29" s="40"/>
      <c r="CI29" s="40"/>
      <c r="CJ29" s="40"/>
      <c r="CK29" s="40"/>
      <c r="CL29" s="40"/>
      <c r="CM29" s="40"/>
      <c r="CN29" s="40"/>
      <c r="CO29" s="40"/>
      <c r="CP29" s="40"/>
      <c r="CQ29" s="50"/>
      <c r="CR29" s="42"/>
      <c r="CS29" s="39"/>
      <c r="CT29" s="40"/>
      <c r="CU29" s="40"/>
      <c r="CV29" s="40"/>
      <c r="CW29" s="40"/>
      <c r="CX29" s="40"/>
      <c r="CY29" s="40"/>
      <c r="CZ29" s="40"/>
      <c r="DA29" s="40"/>
      <c r="DB29" s="40"/>
      <c r="DC29" s="50"/>
      <c r="DD29" s="42"/>
      <c r="DE29" s="39"/>
      <c r="DF29" s="40"/>
      <c r="DG29" s="40"/>
      <c r="DH29" s="40"/>
      <c r="DI29" s="40"/>
      <c r="DJ29" s="40"/>
      <c r="DK29" s="40"/>
      <c r="DL29" s="40"/>
      <c r="DM29" s="40"/>
      <c r="DN29" s="40"/>
      <c r="DO29" s="50"/>
      <c r="DP29" s="42"/>
      <c r="DQ29" s="39"/>
      <c r="DR29" s="40"/>
      <c r="DS29" s="40"/>
      <c r="DT29" s="40"/>
      <c r="DU29" s="40"/>
      <c r="DV29" s="40"/>
      <c r="DW29" s="40"/>
      <c r="DX29" s="40"/>
      <c r="DY29" s="40"/>
      <c r="DZ29" s="40"/>
      <c r="EA29" s="50"/>
      <c r="EB29" s="42"/>
      <c r="EC29" s="39"/>
      <c r="ED29" s="40"/>
      <c r="EE29" s="40"/>
      <c r="EF29" s="40"/>
      <c r="EG29" s="40"/>
      <c r="EH29" s="40"/>
      <c r="EI29" s="40"/>
      <c r="EJ29" s="40"/>
      <c r="EK29" s="40"/>
      <c r="EL29" s="40"/>
      <c r="EM29" s="50"/>
      <c r="EN29" s="42"/>
      <c r="EO29" s="77"/>
      <c r="EP29" s="39"/>
      <c r="EQ29" s="40"/>
      <c r="ER29" s="40"/>
      <c r="ES29" s="40"/>
      <c r="ET29" s="40"/>
      <c r="EU29" s="40"/>
      <c r="EV29" s="40"/>
      <c r="EW29" s="40"/>
      <c r="EX29" s="40"/>
      <c r="EY29" s="40"/>
      <c r="EZ29" s="50"/>
      <c r="FA29" s="77"/>
    </row>
    <row r="30" spans="1:157" ht="15.75" x14ac:dyDescent="0.2">
      <c r="A30" s="39">
        <v>1</v>
      </c>
      <c r="B30" s="40">
        <v>2</v>
      </c>
      <c r="C30" s="251">
        <v>3</v>
      </c>
      <c r="D30" s="251"/>
      <c r="E30" s="251"/>
      <c r="F30" s="251">
        <v>4</v>
      </c>
      <c r="G30" s="251"/>
      <c r="H30" s="40">
        <v>5</v>
      </c>
      <c r="I30" s="251">
        <v>5</v>
      </c>
      <c r="J30" s="251"/>
      <c r="K30" s="41">
        <v>6</v>
      </c>
      <c r="L30" s="42"/>
      <c r="M30" s="39">
        <v>1</v>
      </c>
      <c r="N30" s="40">
        <v>2</v>
      </c>
      <c r="O30" s="251">
        <v>3</v>
      </c>
      <c r="P30" s="251"/>
      <c r="Q30" s="251"/>
      <c r="R30" s="251">
        <v>4</v>
      </c>
      <c r="S30" s="251"/>
      <c r="T30" s="40">
        <v>5</v>
      </c>
      <c r="U30" s="251">
        <v>5</v>
      </c>
      <c r="V30" s="251"/>
      <c r="W30" s="41">
        <v>6</v>
      </c>
      <c r="X30" s="42"/>
      <c r="Y30" s="39">
        <v>1</v>
      </c>
      <c r="Z30" s="40">
        <v>2</v>
      </c>
      <c r="AA30" s="251">
        <v>3</v>
      </c>
      <c r="AB30" s="251"/>
      <c r="AC30" s="251"/>
      <c r="AD30" s="251">
        <v>4</v>
      </c>
      <c r="AE30" s="251"/>
      <c r="AF30" s="40">
        <v>5</v>
      </c>
      <c r="AG30" s="251">
        <v>5</v>
      </c>
      <c r="AH30" s="251"/>
      <c r="AI30" s="41">
        <v>6</v>
      </c>
      <c r="AJ30" s="42"/>
      <c r="AK30" s="39">
        <v>1</v>
      </c>
      <c r="AL30" s="40">
        <v>2</v>
      </c>
      <c r="AM30" s="251">
        <v>3</v>
      </c>
      <c r="AN30" s="251"/>
      <c r="AO30" s="251"/>
      <c r="AP30" s="251">
        <v>4</v>
      </c>
      <c r="AQ30" s="251"/>
      <c r="AR30" s="40">
        <v>5</v>
      </c>
      <c r="AS30" s="251">
        <v>5</v>
      </c>
      <c r="AT30" s="251"/>
      <c r="AU30" s="41">
        <v>6</v>
      </c>
      <c r="AV30" s="42"/>
      <c r="AW30" s="39">
        <v>1</v>
      </c>
      <c r="AX30" s="40">
        <v>2</v>
      </c>
      <c r="AY30" s="251">
        <v>3</v>
      </c>
      <c r="AZ30" s="251"/>
      <c r="BA30" s="251"/>
      <c r="BB30" s="251">
        <v>4</v>
      </c>
      <c r="BC30" s="251"/>
      <c r="BD30" s="40">
        <v>5</v>
      </c>
      <c r="BE30" s="251">
        <v>5</v>
      </c>
      <c r="BF30" s="251"/>
      <c r="BG30" s="41">
        <v>6</v>
      </c>
      <c r="BH30" s="42"/>
      <c r="BI30" s="39">
        <v>1</v>
      </c>
      <c r="BJ30" s="40">
        <v>2</v>
      </c>
      <c r="BK30" s="251">
        <v>3</v>
      </c>
      <c r="BL30" s="251"/>
      <c r="BM30" s="251"/>
      <c r="BN30" s="251">
        <v>4</v>
      </c>
      <c r="BO30" s="251"/>
      <c r="BP30" s="40">
        <v>5</v>
      </c>
      <c r="BQ30" s="251">
        <v>5</v>
      </c>
      <c r="BR30" s="251"/>
      <c r="BS30" s="41">
        <v>6</v>
      </c>
      <c r="BT30" s="42"/>
      <c r="BU30" s="39">
        <v>1</v>
      </c>
      <c r="BV30" s="40">
        <v>2</v>
      </c>
      <c r="BW30" s="251">
        <v>3</v>
      </c>
      <c r="BX30" s="251"/>
      <c r="BY30" s="251"/>
      <c r="BZ30" s="251">
        <v>4</v>
      </c>
      <c r="CA30" s="251"/>
      <c r="CB30" s="40">
        <v>5</v>
      </c>
      <c r="CC30" s="251">
        <v>5</v>
      </c>
      <c r="CD30" s="251"/>
      <c r="CE30" s="41">
        <v>6</v>
      </c>
      <c r="CF30" s="42"/>
      <c r="CG30" s="39">
        <v>1</v>
      </c>
      <c r="CH30" s="40">
        <v>2</v>
      </c>
      <c r="CI30" s="251">
        <v>3</v>
      </c>
      <c r="CJ30" s="251"/>
      <c r="CK30" s="251"/>
      <c r="CL30" s="251">
        <v>4</v>
      </c>
      <c r="CM30" s="251"/>
      <c r="CN30" s="40">
        <v>5</v>
      </c>
      <c r="CO30" s="251">
        <v>5</v>
      </c>
      <c r="CP30" s="251"/>
      <c r="CQ30" s="41">
        <v>6</v>
      </c>
      <c r="CR30" s="42"/>
      <c r="CS30" s="39">
        <v>1</v>
      </c>
      <c r="CT30" s="40">
        <v>2</v>
      </c>
      <c r="CU30" s="251">
        <v>3</v>
      </c>
      <c r="CV30" s="251"/>
      <c r="CW30" s="251"/>
      <c r="CX30" s="251">
        <v>4</v>
      </c>
      <c r="CY30" s="251"/>
      <c r="CZ30" s="40">
        <v>5</v>
      </c>
      <c r="DA30" s="251">
        <v>5</v>
      </c>
      <c r="DB30" s="251"/>
      <c r="DC30" s="41">
        <v>6</v>
      </c>
      <c r="DD30" s="42"/>
      <c r="DE30" s="39">
        <v>1</v>
      </c>
      <c r="DF30" s="40">
        <v>2</v>
      </c>
      <c r="DG30" s="251">
        <v>3</v>
      </c>
      <c r="DH30" s="251"/>
      <c r="DI30" s="251"/>
      <c r="DJ30" s="251">
        <v>4</v>
      </c>
      <c r="DK30" s="251"/>
      <c r="DL30" s="40">
        <v>5</v>
      </c>
      <c r="DM30" s="251">
        <v>5</v>
      </c>
      <c r="DN30" s="251"/>
      <c r="DO30" s="41">
        <v>6</v>
      </c>
      <c r="DP30" s="42"/>
      <c r="DQ30" s="39">
        <v>1</v>
      </c>
      <c r="DR30" s="40">
        <v>2</v>
      </c>
      <c r="DS30" s="251">
        <v>3</v>
      </c>
      <c r="DT30" s="251"/>
      <c r="DU30" s="251"/>
      <c r="DV30" s="251">
        <v>4</v>
      </c>
      <c r="DW30" s="251"/>
      <c r="DX30" s="40">
        <v>5</v>
      </c>
      <c r="DY30" s="251">
        <v>5</v>
      </c>
      <c r="DZ30" s="251"/>
      <c r="EA30" s="41">
        <v>6</v>
      </c>
      <c r="EB30" s="42"/>
      <c r="EC30" s="39">
        <v>1</v>
      </c>
      <c r="ED30" s="40">
        <v>2</v>
      </c>
      <c r="EE30" s="251">
        <v>3</v>
      </c>
      <c r="EF30" s="251"/>
      <c r="EG30" s="251"/>
      <c r="EH30" s="251">
        <v>4</v>
      </c>
      <c r="EI30" s="251"/>
      <c r="EJ30" s="40">
        <v>5</v>
      </c>
      <c r="EK30" s="251">
        <v>5</v>
      </c>
      <c r="EL30" s="251"/>
      <c r="EM30" s="41">
        <v>6</v>
      </c>
      <c r="EN30" s="42"/>
      <c r="EO30" s="77"/>
      <c r="EP30" s="39">
        <v>1</v>
      </c>
      <c r="EQ30" s="40">
        <v>2</v>
      </c>
      <c r="ER30" s="251">
        <v>3</v>
      </c>
      <c r="ES30" s="251"/>
      <c r="ET30" s="251"/>
      <c r="EU30" s="251">
        <v>4</v>
      </c>
      <c r="EV30" s="251"/>
      <c r="EW30" s="40">
        <v>5</v>
      </c>
      <c r="EX30" s="251">
        <v>5</v>
      </c>
      <c r="EY30" s="251"/>
      <c r="EZ30" s="41">
        <v>6</v>
      </c>
      <c r="FA30" s="77"/>
    </row>
    <row r="31" spans="1:157" ht="15.75" x14ac:dyDescent="0.2">
      <c r="A31" s="39" t="s">
        <v>48</v>
      </c>
      <c r="B31" s="40" t="s">
        <v>49</v>
      </c>
      <c r="C31" s="251" t="s">
        <v>50</v>
      </c>
      <c r="D31" s="251"/>
      <c r="E31" s="251"/>
      <c r="F31" s="251" t="s">
        <v>51</v>
      </c>
      <c r="G31" s="251"/>
      <c r="H31" s="40"/>
      <c r="I31" s="251" t="s">
        <v>52</v>
      </c>
      <c r="J31" s="251"/>
      <c r="K31" s="41" t="s">
        <v>53</v>
      </c>
      <c r="L31" s="42"/>
      <c r="M31" s="39" t="s">
        <v>48</v>
      </c>
      <c r="N31" s="40" t="s">
        <v>49</v>
      </c>
      <c r="O31" s="251" t="s">
        <v>50</v>
      </c>
      <c r="P31" s="251"/>
      <c r="Q31" s="251"/>
      <c r="R31" s="251" t="s">
        <v>51</v>
      </c>
      <c r="S31" s="251"/>
      <c r="T31" s="40"/>
      <c r="U31" s="251" t="s">
        <v>52</v>
      </c>
      <c r="V31" s="251"/>
      <c r="W31" s="41" t="s">
        <v>53</v>
      </c>
      <c r="X31" s="42"/>
      <c r="Y31" s="39" t="s">
        <v>48</v>
      </c>
      <c r="Z31" s="40" t="s">
        <v>49</v>
      </c>
      <c r="AA31" s="251" t="s">
        <v>50</v>
      </c>
      <c r="AB31" s="251"/>
      <c r="AC31" s="251"/>
      <c r="AD31" s="251" t="s">
        <v>51</v>
      </c>
      <c r="AE31" s="251"/>
      <c r="AF31" s="40"/>
      <c r="AG31" s="251" t="s">
        <v>52</v>
      </c>
      <c r="AH31" s="251"/>
      <c r="AI31" s="41" t="s">
        <v>53</v>
      </c>
      <c r="AJ31" s="42"/>
      <c r="AK31" s="39" t="s">
        <v>48</v>
      </c>
      <c r="AL31" s="40" t="s">
        <v>49</v>
      </c>
      <c r="AM31" s="251" t="s">
        <v>50</v>
      </c>
      <c r="AN31" s="251"/>
      <c r="AO31" s="251"/>
      <c r="AP31" s="251" t="s">
        <v>51</v>
      </c>
      <c r="AQ31" s="251"/>
      <c r="AR31" s="40"/>
      <c r="AS31" s="251" t="s">
        <v>52</v>
      </c>
      <c r="AT31" s="251"/>
      <c r="AU31" s="41" t="s">
        <v>53</v>
      </c>
      <c r="AV31" s="42"/>
      <c r="AW31" s="39" t="s">
        <v>48</v>
      </c>
      <c r="AX31" s="40" t="s">
        <v>49</v>
      </c>
      <c r="AY31" s="251" t="s">
        <v>50</v>
      </c>
      <c r="AZ31" s="251"/>
      <c r="BA31" s="251"/>
      <c r="BB31" s="251" t="s">
        <v>51</v>
      </c>
      <c r="BC31" s="251"/>
      <c r="BD31" s="40"/>
      <c r="BE31" s="251" t="s">
        <v>52</v>
      </c>
      <c r="BF31" s="251"/>
      <c r="BG31" s="41" t="s">
        <v>53</v>
      </c>
      <c r="BH31" s="42"/>
      <c r="BI31" s="39" t="s">
        <v>48</v>
      </c>
      <c r="BJ31" s="40" t="s">
        <v>49</v>
      </c>
      <c r="BK31" s="251" t="s">
        <v>50</v>
      </c>
      <c r="BL31" s="251"/>
      <c r="BM31" s="251"/>
      <c r="BN31" s="251" t="s">
        <v>51</v>
      </c>
      <c r="BO31" s="251"/>
      <c r="BP31" s="40"/>
      <c r="BQ31" s="251" t="s">
        <v>52</v>
      </c>
      <c r="BR31" s="251"/>
      <c r="BS31" s="41" t="s">
        <v>53</v>
      </c>
      <c r="BT31" s="42"/>
      <c r="BU31" s="39" t="s">
        <v>48</v>
      </c>
      <c r="BV31" s="40" t="s">
        <v>49</v>
      </c>
      <c r="BW31" s="251" t="s">
        <v>50</v>
      </c>
      <c r="BX31" s="251"/>
      <c r="BY31" s="251"/>
      <c r="BZ31" s="251" t="s">
        <v>51</v>
      </c>
      <c r="CA31" s="251"/>
      <c r="CB31" s="40"/>
      <c r="CC31" s="251" t="s">
        <v>52</v>
      </c>
      <c r="CD31" s="251"/>
      <c r="CE31" s="41" t="s">
        <v>53</v>
      </c>
      <c r="CF31" s="42"/>
      <c r="CG31" s="39" t="s">
        <v>48</v>
      </c>
      <c r="CH31" s="40" t="s">
        <v>49</v>
      </c>
      <c r="CI31" s="251" t="s">
        <v>50</v>
      </c>
      <c r="CJ31" s="251"/>
      <c r="CK31" s="251"/>
      <c r="CL31" s="251" t="s">
        <v>51</v>
      </c>
      <c r="CM31" s="251"/>
      <c r="CN31" s="40"/>
      <c r="CO31" s="251" t="s">
        <v>52</v>
      </c>
      <c r="CP31" s="251"/>
      <c r="CQ31" s="41" t="s">
        <v>53</v>
      </c>
      <c r="CR31" s="42"/>
      <c r="CS31" s="39" t="s">
        <v>48</v>
      </c>
      <c r="CT31" s="40" t="s">
        <v>49</v>
      </c>
      <c r="CU31" s="251" t="s">
        <v>50</v>
      </c>
      <c r="CV31" s="251"/>
      <c r="CW31" s="251"/>
      <c r="CX31" s="251" t="s">
        <v>51</v>
      </c>
      <c r="CY31" s="251"/>
      <c r="CZ31" s="40"/>
      <c r="DA31" s="251" t="s">
        <v>52</v>
      </c>
      <c r="DB31" s="251"/>
      <c r="DC31" s="41" t="s">
        <v>53</v>
      </c>
      <c r="DD31" s="42"/>
      <c r="DE31" s="39" t="s">
        <v>48</v>
      </c>
      <c r="DF31" s="40" t="s">
        <v>49</v>
      </c>
      <c r="DG31" s="251" t="s">
        <v>50</v>
      </c>
      <c r="DH31" s="251"/>
      <c r="DI31" s="251"/>
      <c r="DJ31" s="251" t="s">
        <v>51</v>
      </c>
      <c r="DK31" s="251"/>
      <c r="DL31" s="40"/>
      <c r="DM31" s="251" t="s">
        <v>52</v>
      </c>
      <c r="DN31" s="251"/>
      <c r="DO31" s="41" t="s">
        <v>53</v>
      </c>
      <c r="DP31" s="42"/>
      <c r="DQ31" s="39" t="s">
        <v>48</v>
      </c>
      <c r="DR31" s="40" t="s">
        <v>49</v>
      </c>
      <c r="DS31" s="251" t="s">
        <v>50</v>
      </c>
      <c r="DT31" s="251"/>
      <c r="DU31" s="251"/>
      <c r="DV31" s="251" t="s">
        <v>51</v>
      </c>
      <c r="DW31" s="251"/>
      <c r="DX31" s="40"/>
      <c r="DY31" s="251" t="s">
        <v>52</v>
      </c>
      <c r="DZ31" s="251"/>
      <c r="EA31" s="41" t="s">
        <v>53</v>
      </c>
      <c r="EB31" s="42"/>
      <c r="EC31" s="39" t="s">
        <v>48</v>
      </c>
      <c r="ED31" s="40" t="s">
        <v>49</v>
      </c>
      <c r="EE31" s="251" t="s">
        <v>50</v>
      </c>
      <c r="EF31" s="251"/>
      <c r="EG31" s="251"/>
      <c r="EH31" s="251" t="s">
        <v>51</v>
      </c>
      <c r="EI31" s="251"/>
      <c r="EJ31" s="40"/>
      <c r="EK31" s="251" t="s">
        <v>52</v>
      </c>
      <c r="EL31" s="251"/>
      <c r="EM31" s="41" t="s">
        <v>53</v>
      </c>
      <c r="EN31" s="42"/>
      <c r="EO31" s="77"/>
      <c r="EP31" s="39" t="s">
        <v>48</v>
      </c>
      <c r="EQ31" s="40" t="s">
        <v>49</v>
      </c>
      <c r="ER31" s="251" t="s">
        <v>50</v>
      </c>
      <c r="ES31" s="251"/>
      <c r="ET31" s="251"/>
      <c r="EU31" s="251" t="s">
        <v>51</v>
      </c>
      <c r="EV31" s="251"/>
      <c r="EW31" s="40"/>
      <c r="EX31" s="251" t="s">
        <v>52</v>
      </c>
      <c r="EY31" s="251"/>
      <c r="EZ31" s="41" t="s">
        <v>53</v>
      </c>
      <c r="FA31" s="77"/>
    </row>
    <row r="32" spans="1:157" ht="13.5" thickBot="1" x14ac:dyDescent="0.25">
      <c r="A32" s="51"/>
      <c r="K32" s="21"/>
      <c r="L32" s="53"/>
      <c r="M32" s="51"/>
      <c r="W32" s="21"/>
      <c r="X32" s="53"/>
      <c r="Y32" s="51"/>
      <c r="AI32" s="21"/>
      <c r="AJ32" s="53"/>
      <c r="AK32" s="51"/>
      <c r="AU32" s="21"/>
      <c r="AV32" s="53"/>
      <c r="AW32" s="51"/>
      <c r="BG32" s="21"/>
      <c r="BH32" s="53"/>
      <c r="BI32" s="51"/>
      <c r="BS32" s="21"/>
      <c r="BT32" s="53"/>
      <c r="BU32" s="51"/>
      <c r="CE32" s="21"/>
      <c r="CF32" s="53"/>
      <c r="CG32" s="51"/>
      <c r="CQ32" s="21"/>
      <c r="CR32" s="53"/>
      <c r="CS32" s="51"/>
      <c r="DC32" s="21"/>
      <c r="DD32" s="53"/>
      <c r="DE32" s="51"/>
      <c r="DO32" s="21"/>
      <c r="DP32" s="53"/>
      <c r="DQ32" s="51"/>
      <c r="EA32" s="21"/>
      <c r="EB32" s="53"/>
      <c r="EC32" s="51"/>
      <c r="EM32" s="21"/>
      <c r="EN32" s="53"/>
      <c r="EO32" s="78"/>
      <c r="EP32" s="51"/>
      <c r="EZ32" s="21"/>
      <c r="FA32" s="78"/>
    </row>
    <row r="33" spans="1:157" ht="13.5" thickBot="1" x14ac:dyDescent="0.25">
      <c r="A33" s="51"/>
      <c r="C33" s="74"/>
      <c r="K33" s="21"/>
      <c r="L33" s="53"/>
      <c r="M33" s="51"/>
      <c r="O33" s="74"/>
      <c r="W33" s="21"/>
      <c r="X33" s="53"/>
      <c r="Y33" s="51"/>
      <c r="AA33" s="74"/>
      <c r="AI33" s="21"/>
      <c r="AJ33" s="53"/>
      <c r="AK33" s="51"/>
      <c r="AM33" s="74"/>
      <c r="AU33" s="21"/>
      <c r="AV33" s="53"/>
      <c r="AW33" s="51"/>
      <c r="AY33" s="74"/>
      <c r="BG33" s="21"/>
      <c r="BH33" s="53"/>
      <c r="BI33" s="51"/>
      <c r="BK33" s="74"/>
      <c r="BS33" s="21"/>
      <c r="BT33" s="53"/>
      <c r="BU33" s="51"/>
      <c r="BW33" s="74"/>
      <c r="CE33" s="21"/>
      <c r="CF33" s="53"/>
      <c r="CG33" s="51"/>
      <c r="CI33" s="74"/>
      <c r="CQ33" s="21"/>
      <c r="CR33" s="53"/>
      <c r="CS33" s="51"/>
      <c r="CU33" s="74"/>
      <c r="DC33" s="21"/>
      <c r="DD33" s="53"/>
      <c r="DE33" s="51"/>
      <c r="DG33" s="74"/>
      <c r="DO33" s="21"/>
      <c r="DP33" s="53"/>
      <c r="DQ33" s="51"/>
      <c r="DS33" s="74"/>
      <c r="EA33" s="21"/>
      <c r="EB33" s="53"/>
      <c r="EC33" s="51"/>
      <c r="EE33" s="74"/>
      <c r="EM33" s="21"/>
      <c r="EN33" s="53"/>
      <c r="EO33" s="78"/>
      <c r="EP33" s="51"/>
      <c r="ER33" s="74"/>
      <c r="EZ33" s="21"/>
      <c r="FA33" s="78"/>
    </row>
    <row r="34" spans="1:157" ht="28.5" customHeight="1" thickBot="1" x14ac:dyDescent="0.25">
      <c r="A34" s="54" t="s">
        <v>54</v>
      </c>
      <c r="B34" s="55"/>
      <c r="C34" s="55"/>
      <c r="D34" s="55"/>
      <c r="E34" s="55"/>
      <c r="F34" s="55"/>
      <c r="G34" s="55"/>
      <c r="H34" s="55"/>
      <c r="I34" s="55"/>
      <c r="J34" s="55"/>
      <c r="K34" s="56" t="s">
        <v>64</v>
      </c>
      <c r="L34" s="57"/>
      <c r="M34" s="54" t="s">
        <v>54</v>
      </c>
      <c r="N34" s="55"/>
      <c r="O34" s="55"/>
      <c r="P34" s="55"/>
      <c r="Q34" s="55"/>
      <c r="R34" s="55"/>
      <c r="S34" s="55"/>
      <c r="T34" s="55"/>
      <c r="U34" s="55"/>
      <c r="V34" s="55"/>
      <c r="W34" s="56" t="s">
        <v>64</v>
      </c>
      <c r="X34" s="57"/>
      <c r="Y34" s="54" t="s">
        <v>54</v>
      </c>
      <c r="Z34" s="55"/>
      <c r="AA34" s="55"/>
      <c r="AB34" s="55"/>
      <c r="AC34" s="55"/>
      <c r="AD34" s="55"/>
      <c r="AE34" s="55"/>
      <c r="AF34" s="55"/>
      <c r="AG34" s="55"/>
      <c r="AH34" s="55"/>
      <c r="AI34" s="56" t="s">
        <v>64</v>
      </c>
      <c r="AJ34" s="57"/>
      <c r="AK34" s="54" t="s">
        <v>54</v>
      </c>
      <c r="AL34" s="55"/>
      <c r="AM34" s="55"/>
      <c r="AN34" s="55"/>
      <c r="AO34" s="55"/>
      <c r="AP34" s="55"/>
      <c r="AQ34" s="55"/>
      <c r="AR34" s="55"/>
      <c r="AS34" s="55"/>
      <c r="AT34" s="55"/>
      <c r="AU34" s="56" t="s">
        <v>64</v>
      </c>
      <c r="AV34" s="57"/>
      <c r="AW34" s="54" t="s">
        <v>54</v>
      </c>
      <c r="AX34" s="55"/>
      <c r="AY34" s="55"/>
      <c r="AZ34" s="55"/>
      <c r="BA34" s="55"/>
      <c r="BB34" s="55"/>
      <c r="BC34" s="55"/>
      <c r="BD34" s="55"/>
      <c r="BE34" s="55"/>
      <c r="BF34" s="55"/>
      <c r="BG34" s="56" t="s">
        <v>64</v>
      </c>
      <c r="BH34" s="57"/>
      <c r="BI34" s="54" t="s">
        <v>54</v>
      </c>
      <c r="BJ34" s="55"/>
      <c r="BK34" s="55"/>
      <c r="BL34" s="55"/>
      <c r="BM34" s="55"/>
      <c r="BN34" s="55"/>
      <c r="BO34" s="55"/>
      <c r="BP34" s="55"/>
      <c r="BQ34" s="55"/>
      <c r="BR34" s="55"/>
      <c r="BS34" s="56" t="s">
        <v>64</v>
      </c>
      <c r="BT34" s="57"/>
      <c r="BU34" s="54" t="s">
        <v>54</v>
      </c>
      <c r="BV34" s="55"/>
      <c r="BW34" s="55"/>
      <c r="BX34" s="55"/>
      <c r="BY34" s="55"/>
      <c r="BZ34" s="55"/>
      <c r="CA34" s="55"/>
      <c r="CB34" s="55"/>
      <c r="CC34" s="55"/>
      <c r="CD34" s="55"/>
      <c r="CE34" s="56" t="s">
        <v>64</v>
      </c>
      <c r="CF34" s="57"/>
      <c r="CG34" s="54" t="s">
        <v>54</v>
      </c>
      <c r="CH34" s="55"/>
      <c r="CI34" s="55"/>
      <c r="CJ34" s="55"/>
      <c r="CK34" s="55"/>
      <c r="CL34" s="55"/>
      <c r="CM34" s="55"/>
      <c r="CN34" s="55"/>
      <c r="CO34" s="55"/>
      <c r="CP34" s="55"/>
      <c r="CQ34" s="56" t="s">
        <v>64</v>
      </c>
      <c r="CR34" s="57"/>
      <c r="CS34" s="54" t="s">
        <v>54</v>
      </c>
      <c r="CT34" s="55"/>
      <c r="CU34" s="55"/>
      <c r="CV34" s="55"/>
      <c r="CW34" s="55"/>
      <c r="CX34" s="55"/>
      <c r="CY34" s="55"/>
      <c r="CZ34" s="55"/>
      <c r="DA34" s="55"/>
      <c r="DB34" s="55"/>
      <c r="DC34" s="56" t="s">
        <v>64</v>
      </c>
      <c r="DD34" s="57"/>
      <c r="DE34" s="54" t="s">
        <v>54</v>
      </c>
      <c r="DF34" s="55"/>
      <c r="DG34" s="55"/>
      <c r="DH34" s="55"/>
      <c r="DI34" s="55"/>
      <c r="DJ34" s="55"/>
      <c r="DK34" s="55"/>
      <c r="DL34" s="55"/>
      <c r="DM34" s="55"/>
      <c r="DN34" s="55"/>
      <c r="DO34" s="56" t="s">
        <v>64</v>
      </c>
      <c r="DP34" s="57"/>
      <c r="DQ34" s="54" t="s">
        <v>54</v>
      </c>
      <c r="DR34" s="55"/>
      <c r="DS34" s="55"/>
      <c r="DT34" s="55"/>
      <c r="DU34" s="55"/>
      <c r="DV34" s="55"/>
      <c r="DW34" s="55"/>
      <c r="DX34" s="55"/>
      <c r="DY34" s="55"/>
      <c r="DZ34" s="55"/>
      <c r="EA34" s="56" t="s">
        <v>64</v>
      </c>
      <c r="EB34" s="57"/>
      <c r="EC34" s="54" t="s">
        <v>54</v>
      </c>
      <c r="ED34" s="55"/>
      <c r="EE34" s="55"/>
      <c r="EF34" s="55"/>
      <c r="EG34" s="55"/>
      <c r="EH34" s="55"/>
      <c r="EI34" s="55"/>
      <c r="EJ34" s="55"/>
      <c r="EK34" s="55"/>
      <c r="EL34" s="55"/>
      <c r="EM34" s="56" t="s">
        <v>64</v>
      </c>
      <c r="EN34" s="57"/>
      <c r="EO34" s="79"/>
      <c r="EP34" s="54" t="s">
        <v>54</v>
      </c>
      <c r="EQ34" s="55"/>
      <c r="ER34" s="55"/>
      <c r="ES34" s="55"/>
      <c r="ET34" s="55"/>
      <c r="EU34" s="55"/>
      <c r="EV34" s="55"/>
      <c r="EW34" s="55"/>
      <c r="EX34" s="55"/>
      <c r="EY34" s="55"/>
      <c r="EZ34" s="56" t="s">
        <v>64</v>
      </c>
      <c r="FA34" s="79"/>
    </row>
    <row r="35" spans="1:157" x14ac:dyDescent="0.2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  <c r="CG35" s="53"/>
      <c r="CH35" s="53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  <c r="DK35" s="53"/>
      <c r="DL35" s="53"/>
      <c r="DM35" s="53"/>
      <c r="DN35" s="53"/>
      <c r="DO35" s="53"/>
      <c r="DP35" s="53"/>
      <c r="DQ35" s="53"/>
      <c r="DR35" s="53"/>
      <c r="DS35" s="53"/>
      <c r="DT35" s="53"/>
      <c r="DU35" s="53"/>
      <c r="DV35" s="53"/>
      <c r="DW35" s="53"/>
      <c r="DX35" s="53"/>
      <c r="DY35" s="53"/>
      <c r="DZ35" s="53"/>
      <c r="EA35" s="53"/>
      <c r="EB35" s="53"/>
      <c r="EC35" s="53"/>
      <c r="ED35" s="53"/>
      <c r="EE35" s="53"/>
      <c r="EF35" s="53"/>
      <c r="EG35" s="53"/>
      <c r="EH35" s="53"/>
      <c r="EI35" s="53"/>
      <c r="EJ35" s="53"/>
      <c r="EK35" s="53"/>
      <c r="EL35" s="53"/>
      <c r="EM35" s="53"/>
      <c r="EN35" s="53"/>
      <c r="EO35" s="78"/>
      <c r="EP35" s="53"/>
      <c r="EQ35" s="53"/>
      <c r="ER35" s="53"/>
      <c r="ES35" s="53"/>
      <c r="ET35" s="53"/>
      <c r="EU35" s="53"/>
      <c r="EV35" s="53"/>
      <c r="EW35" s="53"/>
      <c r="EX35" s="53"/>
      <c r="EY35" s="53"/>
      <c r="EZ35" s="53"/>
      <c r="FA35" s="78"/>
    </row>
  </sheetData>
  <mergeCells count="1118">
    <mergeCell ref="CO31:CP31"/>
    <mergeCell ref="CU31:CW31"/>
    <mergeCell ref="BQ31:BR31"/>
    <mergeCell ref="BW31:BY31"/>
    <mergeCell ref="BZ31:CA31"/>
    <mergeCell ref="CC31:CD31"/>
    <mergeCell ref="EK31:EL31"/>
    <mergeCell ref="DM31:DN31"/>
    <mergeCell ref="DS31:DU31"/>
    <mergeCell ref="EE31:EG31"/>
    <mergeCell ref="EH31:EI31"/>
    <mergeCell ref="DV31:DW31"/>
    <mergeCell ref="DY31:DZ31"/>
    <mergeCell ref="CX31:CY31"/>
    <mergeCell ref="DA31:DB31"/>
    <mergeCell ref="DG31:DI31"/>
    <mergeCell ref="DJ31:DK31"/>
    <mergeCell ref="BZ30:CA30"/>
    <mergeCell ref="CC30:CD30"/>
    <mergeCell ref="CI30:CK30"/>
    <mergeCell ref="CL30:CM30"/>
    <mergeCell ref="DV30:DW30"/>
    <mergeCell ref="DY30:DZ30"/>
    <mergeCell ref="EE30:EG30"/>
    <mergeCell ref="EH30:EI30"/>
    <mergeCell ref="DG30:DI30"/>
    <mergeCell ref="DJ30:DK30"/>
    <mergeCell ref="DM30:DN30"/>
    <mergeCell ref="DS30:DU30"/>
    <mergeCell ref="EK30:EL30"/>
    <mergeCell ref="C31:E31"/>
    <mergeCell ref="F31:G31"/>
    <mergeCell ref="I31:J31"/>
    <mergeCell ref="O31:Q31"/>
    <mergeCell ref="R31:S31"/>
    <mergeCell ref="U31:V31"/>
    <mergeCell ref="AA31:AC31"/>
    <mergeCell ref="AD31:AE31"/>
    <mergeCell ref="AG31:AH31"/>
    <mergeCell ref="BB31:BC31"/>
    <mergeCell ref="BE31:BF31"/>
    <mergeCell ref="BK31:BM31"/>
    <mergeCell ref="BN31:BO31"/>
    <mergeCell ref="AM31:AO31"/>
    <mergeCell ref="AP31:AQ31"/>
    <mergeCell ref="AS31:AT31"/>
    <mergeCell ref="AY31:BA31"/>
    <mergeCell ref="CI31:CK31"/>
    <mergeCell ref="CL31:CM31"/>
    <mergeCell ref="EM27:EM28"/>
    <mergeCell ref="C30:E30"/>
    <mergeCell ref="F30:G30"/>
    <mergeCell ref="I30:J30"/>
    <mergeCell ref="O30:Q30"/>
    <mergeCell ref="R30:S30"/>
    <mergeCell ref="U30:V30"/>
    <mergeCell ref="AA30:AC30"/>
    <mergeCell ref="DO27:DO28"/>
    <mergeCell ref="DQ27:DQ28"/>
    <mergeCell ref="AD30:AE30"/>
    <mergeCell ref="AG30:AH30"/>
    <mergeCell ref="AM30:AO30"/>
    <mergeCell ref="AP30:AQ30"/>
    <mergeCell ref="EC27:EC28"/>
    <mergeCell ref="EK27:EL28"/>
    <mergeCell ref="DY27:DZ28"/>
    <mergeCell ref="EA27:EA28"/>
    <mergeCell ref="DA27:DB28"/>
    <mergeCell ref="DC27:DC28"/>
    <mergeCell ref="BK30:BM30"/>
    <mergeCell ref="BN30:BO30"/>
    <mergeCell ref="BQ30:BR30"/>
    <mergeCell ref="BW30:BY30"/>
    <mergeCell ref="AS30:AT30"/>
    <mergeCell ref="AY30:BA30"/>
    <mergeCell ref="BB30:BC30"/>
    <mergeCell ref="BE30:BF30"/>
    <mergeCell ref="CO30:CP30"/>
    <mergeCell ref="CU30:CW30"/>
    <mergeCell ref="CX30:CY30"/>
    <mergeCell ref="DA30:DB30"/>
    <mergeCell ref="A27:A28"/>
    <mergeCell ref="I27:J28"/>
    <mergeCell ref="K27:K28"/>
    <mergeCell ref="M27:M28"/>
    <mergeCell ref="U27:V28"/>
    <mergeCell ref="BS27:BS28"/>
    <mergeCell ref="BU27:BU28"/>
    <mergeCell ref="CC27:CD28"/>
    <mergeCell ref="CE27:CE28"/>
    <mergeCell ref="BE27:BF28"/>
    <mergeCell ref="BG27:BG28"/>
    <mergeCell ref="BI27:BI28"/>
    <mergeCell ref="BQ27:BR28"/>
    <mergeCell ref="DE27:DE28"/>
    <mergeCell ref="DM27:DN28"/>
    <mergeCell ref="CG27:CG28"/>
    <mergeCell ref="CO27:CP28"/>
    <mergeCell ref="CQ27:CQ28"/>
    <mergeCell ref="CS27:CS28"/>
    <mergeCell ref="R26:S26"/>
    <mergeCell ref="Z26:AC26"/>
    <mergeCell ref="W27:W28"/>
    <mergeCell ref="Y27:Y28"/>
    <mergeCell ref="AG27:AH28"/>
    <mergeCell ref="AI27:AI28"/>
    <mergeCell ref="CL26:CM26"/>
    <mergeCell ref="CT26:CW26"/>
    <mergeCell ref="AP26:AQ26"/>
    <mergeCell ref="AX26:BA26"/>
    <mergeCell ref="CG23:CG26"/>
    <mergeCell ref="CH23:CK23"/>
    <mergeCell ref="AK27:AK28"/>
    <mergeCell ref="AS27:AT28"/>
    <mergeCell ref="AU27:AU28"/>
    <mergeCell ref="AW27:AW28"/>
    <mergeCell ref="EH26:EI26"/>
    <mergeCell ref="EH23:EI23"/>
    <mergeCell ref="CX23:CY23"/>
    <mergeCell ref="CT24:CW24"/>
    <mergeCell ref="CX24:CY24"/>
    <mergeCell ref="CQ25:CQ26"/>
    <mergeCell ref="CT25:CW25"/>
    <mergeCell ref="CX25:CY25"/>
    <mergeCell ref="DJ26:DK26"/>
    <mergeCell ref="DA23:DB24"/>
    <mergeCell ref="DC23:DC24"/>
    <mergeCell ref="DE23:DE26"/>
    <mergeCell ref="DF23:DI23"/>
    <mergeCell ref="DF24:DI24"/>
    <mergeCell ref="DA25:DB26"/>
    <mergeCell ref="DC25:DC26"/>
    <mergeCell ref="B25:E25"/>
    <mergeCell ref="F25:G25"/>
    <mergeCell ref="I25:J26"/>
    <mergeCell ref="K25:K26"/>
    <mergeCell ref="EM23:EM24"/>
    <mergeCell ref="B24:E24"/>
    <mergeCell ref="F24:G24"/>
    <mergeCell ref="N24:Q24"/>
    <mergeCell ref="R24:S24"/>
    <mergeCell ref="Z24:AC24"/>
    <mergeCell ref="AD25:AE25"/>
    <mergeCell ref="AG25:AH26"/>
    <mergeCell ref="AI25:AI26"/>
    <mergeCell ref="N25:Q25"/>
    <mergeCell ref="R25:S25"/>
    <mergeCell ref="U25:V26"/>
    <mergeCell ref="W25:W26"/>
    <mergeCell ref="AD26:AE26"/>
    <mergeCell ref="BV25:BY25"/>
    <mergeCell ref="BZ25:CA25"/>
    <mergeCell ref="CC25:CD26"/>
    <mergeCell ref="CE25:CE26"/>
    <mergeCell ref="BV26:BY26"/>
    <mergeCell ref="BZ26:CA26"/>
    <mergeCell ref="DR26:DU26"/>
    <mergeCell ref="DV26:DW26"/>
    <mergeCell ref="CX26:CY26"/>
    <mergeCell ref="DF26:DI26"/>
    <mergeCell ref="EM25:EM26"/>
    <mergeCell ref="B26:E26"/>
    <mergeCell ref="F26:G26"/>
    <mergeCell ref="N26:Q26"/>
    <mergeCell ref="EK23:EL24"/>
    <mergeCell ref="ED24:EG24"/>
    <mergeCell ref="EH24:EI24"/>
    <mergeCell ref="ED25:EG25"/>
    <mergeCell ref="EH25:EI25"/>
    <mergeCell ref="EK25:EL26"/>
    <mergeCell ref="ED26:EG26"/>
    <mergeCell ref="EC23:EC26"/>
    <mergeCell ref="ED23:EG23"/>
    <mergeCell ref="DR23:DU23"/>
    <mergeCell ref="DV23:DW23"/>
    <mergeCell ref="DY23:DZ24"/>
    <mergeCell ref="EA23:EA24"/>
    <mergeCell ref="DR25:DU25"/>
    <mergeCell ref="DV25:DW25"/>
    <mergeCell ref="DY25:DZ26"/>
    <mergeCell ref="EA25:EA26"/>
    <mergeCell ref="DF25:DI25"/>
    <mergeCell ref="DR24:DU24"/>
    <mergeCell ref="DV24:DW24"/>
    <mergeCell ref="DJ23:DK23"/>
    <mergeCell ref="DM23:DN24"/>
    <mergeCell ref="DO23:DO24"/>
    <mergeCell ref="DQ23:DQ26"/>
    <mergeCell ref="DJ24:DK24"/>
    <mergeCell ref="DJ25:DK25"/>
    <mergeCell ref="DM25:DN26"/>
    <mergeCell ref="DO25:DO26"/>
    <mergeCell ref="BV23:BY23"/>
    <mergeCell ref="BZ23:CA23"/>
    <mergeCell ref="CC23:CD24"/>
    <mergeCell ref="CE23:CE24"/>
    <mergeCell ref="BV24:BY24"/>
    <mergeCell ref="BZ24:CA24"/>
    <mergeCell ref="CL23:CM23"/>
    <mergeCell ref="CO23:CP24"/>
    <mergeCell ref="CH24:CK24"/>
    <mergeCell ref="CL24:CM24"/>
    <mergeCell ref="CH25:CK25"/>
    <mergeCell ref="CL25:CM25"/>
    <mergeCell ref="CO25:CP26"/>
    <mergeCell ref="CH26:CK26"/>
    <mergeCell ref="CQ23:CQ24"/>
    <mergeCell ref="CS23:CS26"/>
    <mergeCell ref="CT23:CW23"/>
    <mergeCell ref="BE23:BF24"/>
    <mergeCell ref="BG23:BG24"/>
    <mergeCell ref="BI23:BI26"/>
    <mergeCell ref="BJ23:BM23"/>
    <mergeCell ref="BJ24:BM24"/>
    <mergeCell ref="BE25:BF26"/>
    <mergeCell ref="BG25:BG26"/>
    <mergeCell ref="BJ25:BM25"/>
    <mergeCell ref="BJ26:BM26"/>
    <mergeCell ref="BN23:BO23"/>
    <mergeCell ref="BQ23:BR24"/>
    <mergeCell ref="BS23:BS24"/>
    <mergeCell ref="BU23:BU26"/>
    <mergeCell ref="BN24:BO24"/>
    <mergeCell ref="BN25:BO25"/>
    <mergeCell ref="BQ25:BR26"/>
    <mergeCell ref="BS25:BS26"/>
    <mergeCell ref="BN26:BO26"/>
    <mergeCell ref="AK23:AK26"/>
    <mergeCell ref="AL23:AO23"/>
    <mergeCell ref="AP23:AQ23"/>
    <mergeCell ref="AS23:AT24"/>
    <mergeCell ref="AL25:AO25"/>
    <mergeCell ref="AP25:AQ25"/>
    <mergeCell ref="AS25:AT26"/>
    <mergeCell ref="AL24:AO24"/>
    <mergeCell ref="AP24:AQ24"/>
    <mergeCell ref="AL26:AO26"/>
    <mergeCell ref="AU23:AU24"/>
    <mergeCell ref="AW23:AW26"/>
    <mergeCell ref="AX23:BA23"/>
    <mergeCell ref="BB23:BC23"/>
    <mergeCell ref="BB24:BC24"/>
    <mergeCell ref="AU25:AU26"/>
    <mergeCell ref="AX25:BA25"/>
    <mergeCell ref="BB25:BC25"/>
    <mergeCell ref="BB26:BC26"/>
    <mergeCell ref="AX24:BA24"/>
    <mergeCell ref="F22:G22"/>
    <mergeCell ref="N22:Q22"/>
    <mergeCell ref="R22:S22"/>
    <mergeCell ref="Z22:AC22"/>
    <mergeCell ref="CX22:CY22"/>
    <mergeCell ref="DF22:DI22"/>
    <mergeCell ref="DJ22:DK22"/>
    <mergeCell ref="DR22:DU22"/>
    <mergeCell ref="BZ22:CA22"/>
    <mergeCell ref="CH22:CK22"/>
    <mergeCell ref="CL22:CM22"/>
    <mergeCell ref="CT22:CW22"/>
    <mergeCell ref="DV22:DW22"/>
    <mergeCell ref="ED22:EG22"/>
    <mergeCell ref="EH22:EI22"/>
    <mergeCell ref="A23:A26"/>
    <mergeCell ref="B23:E23"/>
    <mergeCell ref="F23:G23"/>
    <mergeCell ref="I23:J24"/>
    <mergeCell ref="K23:K24"/>
    <mergeCell ref="M23:M26"/>
    <mergeCell ref="N23:Q23"/>
    <mergeCell ref="Z23:AC23"/>
    <mergeCell ref="AD23:AE23"/>
    <mergeCell ref="AG23:AH24"/>
    <mergeCell ref="AI23:AI24"/>
    <mergeCell ref="R23:S23"/>
    <mergeCell ref="U23:V24"/>
    <mergeCell ref="W23:W24"/>
    <mergeCell ref="Y23:Y26"/>
    <mergeCell ref="AD24:AE24"/>
    <mergeCell ref="Z25:AC25"/>
    <mergeCell ref="DV21:DW21"/>
    <mergeCell ref="DF20:DF21"/>
    <mergeCell ref="DG20:DI20"/>
    <mergeCell ref="DJ20:DK20"/>
    <mergeCell ref="DM20:DN21"/>
    <mergeCell ref="DG21:DI21"/>
    <mergeCell ref="EM20:EM21"/>
    <mergeCell ref="C21:E21"/>
    <mergeCell ref="F21:G21"/>
    <mergeCell ref="O21:Q21"/>
    <mergeCell ref="R21:S21"/>
    <mergeCell ref="AA21:AC21"/>
    <mergeCell ref="AD21:AE21"/>
    <mergeCell ref="AM21:AO21"/>
    <mergeCell ref="DY20:DZ21"/>
    <mergeCell ref="EA20:EA21"/>
    <mergeCell ref="AD22:AE22"/>
    <mergeCell ref="AL22:AO22"/>
    <mergeCell ref="AP22:AQ22"/>
    <mergeCell ref="AX22:BA22"/>
    <mergeCell ref="EH20:EI20"/>
    <mergeCell ref="EK20:EL21"/>
    <mergeCell ref="ED20:ED21"/>
    <mergeCell ref="EE20:EG20"/>
    <mergeCell ref="EE21:EG21"/>
    <mergeCell ref="DO20:DO21"/>
    <mergeCell ref="BB22:BC22"/>
    <mergeCell ref="BJ22:BM22"/>
    <mergeCell ref="BN22:BO22"/>
    <mergeCell ref="BV22:BY22"/>
    <mergeCell ref="EH21:EI21"/>
    <mergeCell ref="B22:E22"/>
    <mergeCell ref="BW20:BY20"/>
    <mergeCell ref="BZ20:CA20"/>
    <mergeCell ref="BW21:BY21"/>
    <mergeCell ref="BZ21:CA21"/>
    <mergeCell ref="CL20:CM20"/>
    <mergeCell ref="CO20:CP21"/>
    <mergeCell ref="CQ20:CQ21"/>
    <mergeCell ref="CT20:CT21"/>
    <mergeCell ref="CL21:CM21"/>
    <mergeCell ref="CC20:CD21"/>
    <mergeCell ref="CE20:CE21"/>
    <mergeCell ref="CH20:CH21"/>
    <mergeCell ref="CI20:CK20"/>
    <mergeCell ref="CI21:CK21"/>
    <mergeCell ref="DJ21:DK21"/>
    <mergeCell ref="CU20:CW20"/>
    <mergeCell ref="CX20:CY20"/>
    <mergeCell ref="DA20:DB21"/>
    <mergeCell ref="DC20:DC21"/>
    <mergeCell ref="CU21:CW21"/>
    <mergeCell ref="CX21:CY21"/>
    <mergeCell ref="O20:Q20"/>
    <mergeCell ref="R20:S20"/>
    <mergeCell ref="BB19:BC19"/>
    <mergeCell ref="BK19:BM19"/>
    <mergeCell ref="BN19:BO19"/>
    <mergeCell ref="BW19:BY19"/>
    <mergeCell ref="BG20:BG21"/>
    <mergeCell ref="U20:V21"/>
    <mergeCell ref="W20:W21"/>
    <mergeCell ref="Z20:Z21"/>
    <mergeCell ref="B20:B21"/>
    <mergeCell ref="C20:E20"/>
    <mergeCell ref="F20:G20"/>
    <mergeCell ref="I20:J21"/>
    <mergeCell ref="K20:K21"/>
    <mergeCell ref="N20:N21"/>
    <mergeCell ref="AA20:AC20"/>
    <mergeCell ref="AM20:AO20"/>
    <mergeCell ref="AP20:AQ20"/>
    <mergeCell ref="AS20:AT21"/>
    <mergeCell ref="AP21:AQ21"/>
    <mergeCell ref="AD20:AE20"/>
    <mergeCell ref="AG20:AH21"/>
    <mergeCell ref="AI20:AI21"/>
    <mergeCell ref="AL20:AL21"/>
    <mergeCell ref="AU20:AU21"/>
    <mergeCell ref="AX20:AX21"/>
    <mergeCell ref="AY20:BA20"/>
    <mergeCell ref="BB20:BC20"/>
    <mergeCell ref="AY21:BA21"/>
    <mergeCell ref="BB21:BC21"/>
    <mergeCell ref="BJ20:BJ21"/>
    <mergeCell ref="C18:E18"/>
    <mergeCell ref="F18:G18"/>
    <mergeCell ref="I18:J19"/>
    <mergeCell ref="K18:K19"/>
    <mergeCell ref="O18:Q18"/>
    <mergeCell ref="R18:S18"/>
    <mergeCell ref="U18:V19"/>
    <mergeCell ref="AL17:AL19"/>
    <mergeCell ref="BN18:BO18"/>
    <mergeCell ref="BQ18:BR19"/>
    <mergeCell ref="BS18:BS19"/>
    <mergeCell ref="BW18:BY18"/>
    <mergeCell ref="AA18:AC18"/>
    <mergeCell ref="AD18:AE18"/>
    <mergeCell ref="AG18:AH19"/>
    <mergeCell ref="AI18:AI19"/>
    <mergeCell ref="DJ18:DK18"/>
    <mergeCell ref="CL18:CM18"/>
    <mergeCell ref="CO18:CP19"/>
    <mergeCell ref="CQ18:CQ19"/>
    <mergeCell ref="CU18:CW18"/>
    <mergeCell ref="CL19:CM19"/>
    <mergeCell ref="CU19:CW19"/>
    <mergeCell ref="CT17:CT19"/>
    <mergeCell ref="CU17:CW17"/>
    <mergeCell ref="CX17:CY17"/>
    <mergeCell ref="C19:E19"/>
    <mergeCell ref="F19:G19"/>
    <mergeCell ref="O19:Q19"/>
    <mergeCell ref="R19:S19"/>
    <mergeCell ref="AA19:AC19"/>
    <mergeCell ref="AD19:AE19"/>
    <mergeCell ref="O17:Q17"/>
    <mergeCell ref="R17:S17"/>
    <mergeCell ref="Z17:Z19"/>
    <mergeCell ref="AA17:AC17"/>
    <mergeCell ref="AM17:AO17"/>
    <mergeCell ref="AP17:AQ17"/>
    <mergeCell ref="AX17:AX19"/>
    <mergeCell ref="AM18:AO18"/>
    <mergeCell ref="AP18:AQ18"/>
    <mergeCell ref="AS18:AT19"/>
    <mergeCell ref="AU18:AU19"/>
    <mergeCell ref="AP19:AQ19"/>
    <mergeCell ref="AY17:BA17"/>
    <mergeCell ref="BB17:BC17"/>
    <mergeCell ref="BJ17:BJ19"/>
    <mergeCell ref="BK17:BM17"/>
    <mergeCell ref="AY18:BA18"/>
    <mergeCell ref="BB18:BC18"/>
    <mergeCell ref="BE18:BF19"/>
    <mergeCell ref="BG18:BG19"/>
    <mergeCell ref="BK18:BM18"/>
    <mergeCell ref="AY19:BA19"/>
    <mergeCell ref="AM19:AO19"/>
    <mergeCell ref="CX18:CY18"/>
    <mergeCell ref="DA18:DB19"/>
    <mergeCell ref="DC18:DC19"/>
    <mergeCell ref="CX19:CY19"/>
    <mergeCell ref="DG18:DI18"/>
    <mergeCell ref="EE16:EG16"/>
    <mergeCell ref="EH16:EI16"/>
    <mergeCell ref="EH17:EI17"/>
    <mergeCell ref="EE17:EG17"/>
    <mergeCell ref="DG16:DI16"/>
    <mergeCell ref="DG17:DI17"/>
    <mergeCell ref="DS17:DU17"/>
    <mergeCell ref="DV17:DW17"/>
    <mergeCell ref="ED17:ED19"/>
    <mergeCell ref="DS18:DU18"/>
    <mergeCell ref="EK16:EL17"/>
    <mergeCell ref="EM16:EM17"/>
    <mergeCell ref="DV18:DW18"/>
    <mergeCell ref="DY18:DZ19"/>
    <mergeCell ref="EA18:EA19"/>
    <mergeCell ref="DV19:DW19"/>
    <mergeCell ref="DY16:DZ17"/>
    <mergeCell ref="EA16:EA17"/>
    <mergeCell ref="EE18:EG18"/>
    <mergeCell ref="DS19:DU19"/>
    <mergeCell ref="EH18:EI18"/>
    <mergeCell ref="EK18:EL19"/>
    <mergeCell ref="EM18:EM19"/>
    <mergeCell ref="EE19:EG19"/>
    <mergeCell ref="EH19:EI19"/>
    <mergeCell ref="DM18:DN19"/>
    <mergeCell ref="DO18:DO19"/>
    <mergeCell ref="CU8:CW8"/>
    <mergeCell ref="CX8:CY8"/>
    <mergeCell ref="C16:E16"/>
    <mergeCell ref="F16:G16"/>
    <mergeCell ref="I16:J17"/>
    <mergeCell ref="K16:K17"/>
    <mergeCell ref="DS15:DU15"/>
    <mergeCell ref="DV15:DW15"/>
    <mergeCell ref="CI15:CK15"/>
    <mergeCell ref="BV13:BV16"/>
    <mergeCell ref="BW13:BY13"/>
    <mergeCell ref="BZ13:CA13"/>
    <mergeCell ref="AA16:AC16"/>
    <mergeCell ref="AD16:AE16"/>
    <mergeCell ref="AG16:AH17"/>
    <mergeCell ref="AI16:AI17"/>
    <mergeCell ref="AD17:AE17"/>
    <mergeCell ref="O16:Q16"/>
    <mergeCell ref="R16:S16"/>
    <mergeCell ref="U16:V17"/>
    <mergeCell ref="W16:W17"/>
    <mergeCell ref="CL16:CM16"/>
    <mergeCell ref="CL17:CM17"/>
    <mergeCell ref="CX16:CY16"/>
    <mergeCell ref="DA16:DB17"/>
    <mergeCell ref="BB16:BC16"/>
    <mergeCell ref="BE16:BF17"/>
    <mergeCell ref="BG16:BG17"/>
    <mergeCell ref="BK16:BM16"/>
    <mergeCell ref="CC16:CD17"/>
    <mergeCell ref="CE16:CE17"/>
    <mergeCell ref="DF17:DF19"/>
    <mergeCell ref="CU12:CW12"/>
    <mergeCell ref="CX12:CY12"/>
    <mergeCell ref="DJ16:DK16"/>
    <mergeCell ref="DM16:DN17"/>
    <mergeCell ref="DO16:DO17"/>
    <mergeCell ref="DS16:DU16"/>
    <mergeCell ref="DV16:DW16"/>
    <mergeCell ref="DJ17:DK17"/>
    <mergeCell ref="DJ14:DK14"/>
    <mergeCell ref="AD14:AE14"/>
    <mergeCell ref="AM14:AO14"/>
    <mergeCell ref="AP14:AQ14"/>
    <mergeCell ref="AY14:BA14"/>
    <mergeCell ref="DR13:DR16"/>
    <mergeCell ref="CL13:CM13"/>
    <mergeCell ref="CT13:CT16"/>
    <mergeCell ref="CU13:CW13"/>
    <mergeCell ref="CX13:CY13"/>
    <mergeCell ref="AD15:AE15"/>
    <mergeCell ref="AM15:AO15"/>
    <mergeCell ref="AP15:AQ15"/>
    <mergeCell ref="AY15:BA15"/>
    <mergeCell ref="CI16:CK16"/>
    <mergeCell ref="BW17:BY17"/>
    <mergeCell ref="BZ17:CA17"/>
    <mergeCell ref="CH17:CH19"/>
    <mergeCell ref="CL15:CM15"/>
    <mergeCell ref="CU15:CW15"/>
    <mergeCell ref="CX15:CY15"/>
    <mergeCell ref="DG15:DI15"/>
    <mergeCell ref="CS8:CS22"/>
    <mergeCell ref="CT8:CT10"/>
    <mergeCell ref="B13:B16"/>
    <mergeCell ref="C13:E13"/>
    <mergeCell ref="F13:G13"/>
    <mergeCell ref="N13:N16"/>
    <mergeCell ref="O13:Q13"/>
    <mergeCell ref="R13:S13"/>
    <mergeCell ref="Z13:Z16"/>
    <mergeCell ref="AA13:AC13"/>
    <mergeCell ref="AP13:AQ13"/>
    <mergeCell ref="AX13:AX16"/>
    <mergeCell ref="AY13:BA13"/>
    <mergeCell ref="BB13:BC13"/>
    <mergeCell ref="BB14:BC14"/>
    <mergeCell ref="BB15:BC15"/>
    <mergeCell ref="AP16:AQ16"/>
    <mergeCell ref="AS16:AT17"/>
    <mergeCell ref="AU16:AU17"/>
    <mergeCell ref="AY16:BA16"/>
    <mergeCell ref="C14:E14"/>
    <mergeCell ref="F14:G14"/>
    <mergeCell ref="O14:Q14"/>
    <mergeCell ref="R14:S14"/>
    <mergeCell ref="AA14:AC14"/>
    <mergeCell ref="C15:E15"/>
    <mergeCell ref="F15:G15"/>
    <mergeCell ref="O15:Q15"/>
    <mergeCell ref="R15:S15"/>
    <mergeCell ref="AA15:AC15"/>
    <mergeCell ref="B17:B19"/>
    <mergeCell ref="C17:E17"/>
    <mergeCell ref="F17:G17"/>
    <mergeCell ref="N17:N19"/>
    <mergeCell ref="C12:E12"/>
    <mergeCell ref="F12:G12"/>
    <mergeCell ref="I12:J14"/>
    <mergeCell ref="K12:K14"/>
    <mergeCell ref="U12:V14"/>
    <mergeCell ref="AS12:AT14"/>
    <mergeCell ref="AU12:AU14"/>
    <mergeCell ref="AY12:BA12"/>
    <mergeCell ref="BB12:BC12"/>
    <mergeCell ref="AW8:AW22"/>
    <mergeCell ref="AX8:AX10"/>
    <mergeCell ref="AY8:BA8"/>
    <mergeCell ref="BB8:BC8"/>
    <mergeCell ref="AY9:BA9"/>
    <mergeCell ref="BB9:BC9"/>
    <mergeCell ref="CU9:CW9"/>
    <mergeCell ref="CX9:CY9"/>
    <mergeCell ref="BW12:BY12"/>
    <mergeCell ref="BZ12:CA12"/>
    <mergeCell ref="CC12:CD14"/>
    <mergeCell ref="CE12:CE14"/>
    <mergeCell ref="BW14:BY14"/>
    <mergeCell ref="BZ14:CA14"/>
    <mergeCell ref="BZ11:CA11"/>
    <mergeCell ref="CH11:CH12"/>
    <mergeCell ref="BW16:BY16"/>
    <mergeCell ref="BZ16:CA16"/>
    <mergeCell ref="BN17:BO17"/>
    <mergeCell ref="BN14:BO14"/>
    <mergeCell ref="BN15:BO15"/>
    <mergeCell ref="BW15:BY15"/>
    <mergeCell ref="BZ15:CA15"/>
    <mergeCell ref="F11:G11"/>
    <mergeCell ref="N11:N12"/>
    <mergeCell ref="O11:Q11"/>
    <mergeCell ref="R11:S11"/>
    <mergeCell ref="O12:Q12"/>
    <mergeCell ref="R12:S12"/>
    <mergeCell ref="I8:I11"/>
    <mergeCell ref="J8:J9"/>
    <mergeCell ref="K8:K9"/>
    <mergeCell ref="M8:M22"/>
    <mergeCell ref="BK13:BM13"/>
    <mergeCell ref="BN13:BO13"/>
    <mergeCell ref="BK14:BM14"/>
    <mergeCell ref="BK15:BM15"/>
    <mergeCell ref="AD11:AE11"/>
    <mergeCell ref="AL11:AL12"/>
    <mergeCell ref="AM11:AO11"/>
    <mergeCell ref="AP11:AQ11"/>
    <mergeCell ref="AM12:AO12"/>
    <mergeCell ref="AP12:AQ12"/>
    <mergeCell ref="BN11:BO11"/>
    <mergeCell ref="BE12:BF14"/>
    <mergeCell ref="BG12:BG14"/>
    <mergeCell ref="BK12:BM12"/>
    <mergeCell ref="BN12:BO12"/>
    <mergeCell ref="BJ13:BJ16"/>
    <mergeCell ref="AA12:AC12"/>
    <mergeCell ref="AD12:AE12"/>
    <mergeCell ref="AG12:AH14"/>
    <mergeCell ref="AI12:AI14"/>
    <mergeCell ref="AD13:AE13"/>
    <mergeCell ref="BN16:BO16"/>
    <mergeCell ref="EA8:EA9"/>
    <mergeCell ref="EC8:EC22"/>
    <mergeCell ref="ED8:ED10"/>
    <mergeCell ref="EE8:EG8"/>
    <mergeCell ref="EE9:EG9"/>
    <mergeCell ref="EA10:EA11"/>
    <mergeCell ref="EE10:EG10"/>
    <mergeCell ref="ED13:ED16"/>
    <mergeCell ref="EE13:EG13"/>
    <mergeCell ref="EE14:EG14"/>
    <mergeCell ref="EH8:EI8"/>
    <mergeCell ref="EK8:EK11"/>
    <mergeCell ref="EL8:EL9"/>
    <mergeCell ref="EM8:EM9"/>
    <mergeCell ref="EH9:EI9"/>
    <mergeCell ref="EH10:EI10"/>
    <mergeCell ref="EL10:EL11"/>
    <mergeCell ref="EM10:EM11"/>
    <mergeCell ref="ED11:ED12"/>
    <mergeCell ref="EE11:EG11"/>
    <mergeCell ref="EH11:EI11"/>
    <mergeCell ref="EE12:EG12"/>
    <mergeCell ref="EH12:EI12"/>
    <mergeCell ref="EA12:EA14"/>
    <mergeCell ref="EK12:EL14"/>
    <mergeCell ref="EM12:EM14"/>
    <mergeCell ref="EH13:EI13"/>
    <mergeCell ref="EH14:EI14"/>
    <mergeCell ref="EE15:EG15"/>
    <mergeCell ref="EH15:EI15"/>
    <mergeCell ref="DN8:DN9"/>
    <mergeCell ref="DO8:DO9"/>
    <mergeCell ref="DQ8:DQ22"/>
    <mergeCell ref="DR8:DR10"/>
    <mergeCell ref="DN10:DN11"/>
    <mergeCell ref="DO10:DO11"/>
    <mergeCell ref="DR11:DR12"/>
    <mergeCell ref="DM12:DN14"/>
    <mergeCell ref="DO12:DO14"/>
    <mergeCell ref="DR17:DR19"/>
    <mergeCell ref="DS8:DU8"/>
    <mergeCell ref="DV8:DW8"/>
    <mergeCell ref="DY8:DY11"/>
    <mergeCell ref="DZ8:DZ9"/>
    <mergeCell ref="DS9:DU9"/>
    <mergeCell ref="DV9:DW9"/>
    <mergeCell ref="DS10:DU10"/>
    <mergeCell ref="DV10:DW10"/>
    <mergeCell ref="DZ10:DZ11"/>
    <mergeCell ref="DS11:DU11"/>
    <mergeCell ref="DV11:DW11"/>
    <mergeCell ref="DS12:DU12"/>
    <mergeCell ref="DV12:DW12"/>
    <mergeCell ref="DY12:DZ14"/>
    <mergeCell ref="DS14:DU14"/>
    <mergeCell ref="DV14:DW14"/>
    <mergeCell ref="DV13:DW13"/>
    <mergeCell ref="DS13:DU13"/>
    <mergeCell ref="DR20:DR21"/>
    <mergeCell ref="DS20:DU20"/>
    <mergeCell ref="DV20:DW20"/>
    <mergeCell ref="DS21:DU21"/>
    <mergeCell ref="DA8:DA11"/>
    <mergeCell ref="DB8:DB9"/>
    <mergeCell ref="DC8:DC9"/>
    <mergeCell ref="DE8:DE22"/>
    <mergeCell ref="DB10:DB11"/>
    <mergeCell ref="DC10:DC11"/>
    <mergeCell ref="DC16:DC17"/>
    <mergeCell ref="DF8:DF10"/>
    <mergeCell ref="DG8:DI8"/>
    <mergeCell ref="DJ8:DK8"/>
    <mergeCell ref="DM8:DM11"/>
    <mergeCell ref="DG9:DI9"/>
    <mergeCell ref="DJ9:DK9"/>
    <mergeCell ref="DG10:DI10"/>
    <mergeCell ref="DJ10:DK10"/>
    <mergeCell ref="DF11:DF12"/>
    <mergeCell ref="DG11:DI11"/>
    <mergeCell ref="DJ11:DK11"/>
    <mergeCell ref="DA12:DB14"/>
    <mergeCell ref="DC12:DC14"/>
    <mergeCell ref="DG12:DI12"/>
    <mergeCell ref="DJ12:DK12"/>
    <mergeCell ref="DF13:DF16"/>
    <mergeCell ref="DG13:DI13"/>
    <mergeCell ref="DJ13:DK13"/>
    <mergeCell ref="DG14:DI14"/>
    <mergeCell ref="DJ15:DK15"/>
    <mergeCell ref="DG19:DI19"/>
    <mergeCell ref="DJ19:DK19"/>
    <mergeCell ref="CL10:CM10"/>
    <mergeCell ref="CP10:CP11"/>
    <mergeCell ref="CQ10:CQ11"/>
    <mergeCell ref="CE8:CE9"/>
    <mergeCell ref="CG8:CG22"/>
    <mergeCell ref="CH8:CH10"/>
    <mergeCell ref="CI8:CK8"/>
    <mergeCell ref="CI9:CK9"/>
    <mergeCell ref="CE10:CE11"/>
    <mergeCell ref="CI10:CK10"/>
    <mergeCell ref="CU10:CW10"/>
    <mergeCell ref="CX10:CY10"/>
    <mergeCell ref="CT11:CT12"/>
    <mergeCell ref="CU11:CW11"/>
    <mergeCell ref="CX11:CY11"/>
    <mergeCell ref="CL8:CM8"/>
    <mergeCell ref="CO8:CO11"/>
    <mergeCell ref="CP8:CP9"/>
    <mergeCell ref="CQ8:CQ9"/>
    <mergeCell ref="CL9:CM9"/>
    <mergeCell ref="CI11:CK11"/>
    <mergeCell ref="CL11:CM11"/>
    <mergeCell ref="CI12:CK12"/>
    <mergeCell ref="CL12:CM12"/>
    <mergeCell ref="CL14:CM14"/>
    <mergeCell ref="CU14:CW14"/>
    <mergeCell ref="CX14:CY14"/>
    <mergeCell ref="CO16:CP17"/>
    <mergeCell ref="CQ16:CQ17"/>
    <mergeCell ref="CU16:CW16"/>
    <mergeCell ref="CO12:CP14"/>
    <mergeCell ref="CQ12:CQ14"/>
    <mergeCell ref="BZ10:CA10"/>
    <mergeCell ref="CD10:CD11"/>
    <mergeCell ref="BW11:BY11"/>
    <mergeCell ref="BR8:BR9"/>
    <mergeCell ref="BS8:BS9"/>
    <mergeCell ref="BU8:BU22"/>
    <mergeCell ref="BV8:BV10"/>
    <mergeCell ref="BR10:BR11"/>
    <mergeCell ref="BS10:BS11"/>
    <mergeCell ref="BV11:BV12"/>
    <mergeCell ref="CH13:CH16"/>
    <mergeCell ref="CI13:CK13"/>
    <mergeCell ref="CI14:CK14"/>
    <mergeCell ref="BW8:BY8"/>
    <mergeCell ref="BZ8:CA8"/>
    <mergeCell ref="CC8:CC11"/>
    <mergeCell ref="CD8:CD9"/>
    <mergeCell ref="BW9:BY9"/>
    <mergeCell ref="BZ9:CA9"/>
    <mergeCell ref="BW10:BY10"/>
    <mergeCell ref="BQ16:BR17"/>
    <mergeCell ref="BS16:BS17"/>
    <mergeCell ref="CI17:CK17"/>
    <mergeCell ref="BZ18:CA18"/>
    <mergeCell ref="CC18:CD19"/>
    <mergeCell ref="CE18:CE19"/>
    <mergeCell ref="CI18:CK18"/>
    <mergeCell ref="BZ19:CA19"/>
    <mergeCell ref="CI19:CK19"/>
    <mergeCell ref="BQ20:BR21"/>
    <mergeCell ref="BS20:BS21"/>
    <mergeCell ref="BV20:BV21"/>
    <mergeCell ref="BN10:BO10"/>
    <mergeCell ref="BJ11:BJ12"/>
    <mergeCell ref="BK11:BM11"/>
    <mergeCell ref="BE8:BE11"/>
    <mergeCell ref="BF8:BF9"/>
    <mergeCell ref="BG8:BG9"/>
    <mergeCell ref="BI8:BI22"/>
    <mergeCell ref="BF10:BF11"/>
    <mergeCell ref="BG10:BG11"/>
    <mergeCell ref="BE20:BF21"/>
    <mergeCell ref="BQ12:BR14"/>
    <mergeCell ref="BS12:BS14"/>
    <mergeCell ref="BV17:BV19"/>
    <mergeCell ref="BJ8:BJ10"/>
    <mergeCell ref="BK8:BM8"/>
    <mergeCell ref="BN8:BO8"/>
    <mergeCell ref="BQ8:BQ11"/>
    <mergeCell ref="BK9:BM9"/>
    <mergeCell ref="BN9:BO9"/>
    <mergeCell ref="BK10:BM10"/>
    <mergeCell ref="BK20:BM20"/>
    <mergeCell ref="BN20:BO20"/>
    <mergeCell ref="BK21:BM21"/>
    <mergeCell ref="BN21:BO21"/>
    <mergeCell ref="AP10:AQ10"/>
    <mergeCell ref="AT10:AT11"/>
    <mergeCell ref="AU10:AU11"/>
    <mergeCell ref="AI8:AI9"/>
    <mergeCell ref="AK8:AK22"/>
    <mergeCell ref="AL8:AL10"/>
    <mergeCell ref="AM8:AO8"/>
    <mergeCell ref="AM9:AO9"/>
    <mergeCell ref="AI10:AI11"/>
    <mergeCell ref="AM10:AO10"/>
    <mergeCell ref="AY10:BA10"/>
    <mergeCell ref="BB10:BC10"/>
    <mergeCell ref="AX11:AX12"/>
    <mergeCell ref="AY11:BA11"/>
    <mergeCell ref="BB11:BC11"/>
    <mergeCell ref="AP8:AQ8"/>
    <mergeCell ref="AS8:AS11"/>
    <mergeCell ref="AT8:AT9"/>
    <mergeCell ref="AU8:AU9"/>
    <mergeCell ref="AP9:AQ9"/>
    <mergeCell ref="AA11:AC11"/>
    <mergeCell ref="V8:V9"/>
    <mergeCell ref="W8:W9"/>
    <mergeCell ref="Y8:Y22"/>
    <mergeCell ref="Z8:Z10"/>
    <mergeCell ref="V10:V11"/>
    <mergeCell ref="W10:W11"/>
    <mergeCell ref="Z11:Z12"/>
    <mergeCell ref="AL13:AL16"/>
    <mergeCell ref="AM13:AO13"/>
    <mergeCell ref="AM16:AO16"/>
    <mergeCell ref="AA8:AC8"/>
    <mergeCell ref="AD8:AE8"/>
    <mergeCell ref="AG8:AG11"/>
    <mergeCell ref="AH8:AH9"/>
    <mergeCell ref="AA9:AC9"/>
    <mergeCell ref="AD9:AE9"/>
    <mergeCell ref="AA10:AC10"/>
    <mergeCell ref="B11:B12"/>
    <mergeCell ref="C11:E11"/>
    <mergeCell ref="DS7:DU7"/>
    <mergeCell ref="DV7:DW7"/>
    <mergeCell ref="BW7:BY7"/>
    <mergeCell ref="BZ7:CA7"/>
    <mergeCell ref="CI7:CK7"/>
    <mergeCell ref="CL7:CM7"/>
    <mergeCell ref="AY7:BA7"/>
    <mergeCell ref="BB7:BC7"/>
    <mergeCell ref="J10:J11"/>
    <mergeCell ref="K10:K11"/>
    <mergeCell ref="A8:A22"/>
    <mergeCell ref="B8:B10"/>
    <mergeCell ref="C8:E8"/>
    <mergeCell ref="F8:G8"/>
    <mergeCell ref="C9:E9"/>
    <mergeCell ref="F9:G9"/>
    <mergeCell ref="C10:E10"/>
    <mergeCell ref="F10:G10"/>
    <mergeCell ref="W12:W14"/>
    <mergeCell ref="W18:W19"/>
    <mergeCell ref="N8:N10"/>
    <mergeCell ref="O8:Q8"/>
    <mergeCell ref="R8:S8"/>
    <mergeCell ref="U8:U11"/>
    <mergeCell ref="O9:Q9"/>
    <mergeCell ref="R9:S9"/>
    <mergeCell ref="O10:Q10"/>
    <mergeCell ref="R10:S10"/>
    <mergeCell ref="AD10:AE10"/>
    <mergeCell ref="AH10:AH11"/>
    <mergeCell ref="DN4:DN5"/>
    <mergeCell ref="DO4:DO5"/>
    <mergeCell ref="DQ4:DU4"/>
    <mergeCell ref="DV4:DW4"/>
    <mergeCell ref="DQ5:DR7"/>
    <mergeCell ref="DS5:DU5"/>
    <mergeCell ref="DV5:DW5"/>
    <mergeCell ref="DN6:DN7"/>
    <mergeCell ref="DO6:DO7"/>
    <mergeCell ref="DS6:DU6"/>
    <mergeCell ref="EH4:EI4"/>
    <mergeCell ref="EK4:EK7"/>
    <mergeCell ref="EL4:EL5"/>
    <mergeCell ref="EM4:EM5"/>
    <mergeCell ref="EH5:EI5"/>
    <mergeCell ref="EH6:EI6"/>
    <mergeCell ref="EL6:EL7"/>
    <mergeCell ref="EM6:EM7"/>
    <mergeCell ref="EA4:EA5"/>
    <mergeCell ref="EC4:EG4"/>
    <mergeCell ref="EC5:ED7"/>
    <mergeCell ref="EE5:EG5"/>
    <mergeCell ref="DV6:DW6"/>
    <mergeCell ref="DZ6:DZ7"/>
    <mergeCell ref="DY4:DY7"/>
    <mergeCell ref="DZ4:DZ5"/>
    <mergeCell ref="EE7:EG7"/>
    <mergeCell ref="EH7:EI7"/>
    <mergeCell ref="EA6:EA7"/>
    <mergeCell ref="EE6:EG6"/>
    <mergeCell ref="CS4:CW4"/>
    <mergeCell ref="CX4:CY4"/>
    <mergeCell ref="DA4:DA7"/>
    <mergeCell ref="DB4:DB5"/>
    <mergeCell ref="CS5:CT7"/>
    <mergeCell ref="CU5:CW5"/>
    <mergeCell ref="CX5:CY5"/>
    <mergeCell ref="CU6:CW6"/>
    <mergeCell ref="CX6:CY6"/>
    <mergeCell ref="DB6:DB7"/>
    <mergeCell ref="DC4:DC5"/>
    <mergeCell ref="DE4:DI4"/>
    <mergeCell ref="DJ4:DK4"/>
    <mergeCell ref="DM4:DM7"/>
    <mergeCell ref="DE5:DF7"/>
    <mergeCell ref="DG5:DI5"/>
    <mergeCell ref="DJ5:DK5"/>
    <mergeCell ref="DC6:DC7"/>
    <mergeCell ref="DG6:DI6"/>
    <mergeCell ref="DJ6:DK6"/>
    <mergeCell ref="CU7:CW7"/>
    <mergeCell ref="CX7:CY7"/>
    <mergeCell ref="DG7:DI7"/>
    <mergeCell ref="DJ7:DK7"/>
    <mergeCell ref="BR4:BR5"/>
    <mergeCell ref="BS4:BS5"/>
    <mergeCell ref="BU4:BY4"/>
    <mergeCell ref="BZ4:CA4"/>
    <mergeCell ref="BU5:BV7"/>
    <mergeCell ref="BW5:BY5"/>
    <mergeCell ref="BZ5:CA5"/>
    <mergeCell ref="BR6:BR7"/>
    <mergeCell ref="BS6:BS7"/>
    <mergeCell ref="BW6:BY6"/>
    <mergeCell ref="CL4:CM4"/>
    <mergeCell ref="CO4:CO7"/>
    <mergeCell ref="CP4:CP5"/>
    <mergeCell ref="CQ4:CQ5"/>
    <mergeCell ref="CL5:CM5"/>
    <mergeCell ref="CL6:CM6"/>
    <mergeCell ref="CP6:CP7"/>
    <mergeCell ref="CQ6:CQ7"/>
    <mergeCell ref="CG5:CH7"/>
    <mergeCell ref="CI5:CK5"/>
    <mergeCell ref="BZ6:CA6"/>
    <mergeCell ref="CD6:CD7"/>
    <mergeCell ref="CE6:CE7"/>
    <mergeCell ref="CI6:CK6"/>
    <mergeCell ref="CC4:CC7"/>
    <mergeCell ref="CD4:CD5"/>
    <mergeCell ref="CE4:CE5"/>
    <mergeCell ref="CG4:CK4"/>
    <mergeCell ref="AM5:AO5"/>
    <mergeCell ref="AW4:BA4"/>
    <mergeCell ref="BB4:BC4"/>
    <mergeCell ref="BE4:BE7"/>
    <mergeCell ref="BF4:BF5"/>
    <mergeCell ref="AW5:AX7"/>
    <mergeCell ref="AY5:BA5"/>
    <mergeCell ref="BB5:BC5"/>
    <mergeCell ref="AY6:BA6"/>
    <mergeCell ref="BB6:BC6"/>
    <mergeCell ref="BF6:BF7"/>
    <mergeCell ref="BN4:BO4"/>
    <mergeCell ref="BQ4:BQ7"/>
    <mergeCell ref="BI5:BJ7"/>
    <mergeCell ref="BK5:BM5"/>
    <mergeCell ref="BN5:BO5"/>
    <mergeCell ref="BG6:BG7"/>
    <mergeCell ref="BK6:BM6"/>
    <mergeCell ref="BN6:BO6"/>
    <mergeCell ref="BK7:BM7"/>
    <mergeCell ref="BN7:BO7"/>
    <mergeCell ref="BG4:BG5"/>
    <mergeCell ref="BI4:BM4"/>
    <mergeCell ref="R7:S7"/>
    <mergeCell ref="V4:V5"/>
    <mergeCell ref="W4:W5"/>
    <mergeCell ref="Y4:AC4"/>
    <mergeCell ref="AD4:AE4"/>
    <mergeCell ref="Y5:Z7"/>
    <mergeCell ref="AA5:AC5"/>
    <mergeCell ref="AD5:AE5"/>
    <mergeCell ref="V6:V7"/>
    <mergeCell ref="W6:W7"/>
    <mergeCell ref="AA6:AC6"/>
    <mergeCell ref="AP4:AQ4"/>
    <mergeCell ref="AS4:AS7"/>
    <mergeCell ref="AT4:AT5"/>
    <mergeCell ref="AU4:AU5"/>
    <mergeCell ref="AP5:AQ5"/>
    <mergeCell ref="AP6:AQ6"/>
    <mergeCell ref="AT6:AT7"/>
    <mergeCell ref="AU6:AU7"/>
    <mergeCell ref="AD6:AE6"/>
    <mergeCell ref="AH6:AH7"/>
    <mergeCell ref="AI6:AI7"/>
    <mergeCell ref="AM6:AO6"/>
    <mergeCell ref="AG4:AG7"/>
    <mergeCell ref="AH4:AH5"/>
    <mergeCell ref="AI4:AI5"/>
    <mergeCell ref="AK4:AO4"/>
    <mergeCell ref="AA7:AC7"/>
    <mergeCell ref="AD7:AE7"/>
    <mergeCell ref="AM7:AO7"/>
    <mergeCell ref="AP7:AQ7"/>
    <mergeCell ref="AK5:AL7"/>
    <mergeCell ref="ER10:ET10"/>
    <mergeCell ref="EU10:EV10"/>
    <mergeCell ref="EY10:EY11"/>
    <mergeCell ref="EZ10:EZ11"/>
    <mergeCell ref="EQ11:EQ12"/>
    <mergeCell ref="ER11:ET11"/>
    <mergeCell ref="EU11:EV11"/>
    <mergeCell ref="ER12:ET12"/>
    <mergeCell ref="EU12:EV12"/>
    <mergeCell ref="A4:E4"/>
    <mergeCell ref="F4:G4"/>
    <mergeCell ref="I4:I7"/>
    <mergeCell ref="J4:J5"/>
    <mergeCell ref="A5:B7"/>
    <mergeCell ref="C5:E5"/>
    <mergeCell ref="F5:G5"/>
    <mergeCell ref="C6:E6"/>
    <mergeCell ref="F6:G6"/>
    <mergeCell ref="J6:J7"/>
    <mergeCell ref="K4:K5"/>
    <mergeCell ref="M4:Q4"/>
    <mergeCell ref="R4:S4"/>
    <mergeCell ref="U4:U7"/>
    <mergeCell ref="M5:N7"/>
    <mergeCell ref="O5:Q5"/>
    <mergeCell ref="R5:S5"/>
    <mergeCell ref="K6:K7"/>
    <mergeCell ref="O6:Q6"/>
    <mergeCell ref="R6:S6"/>
    <mergeCell ref="C7:E7"/>
    <mergeCell ref="F7:G7"/>
    <mergeCell ref="O7:Q7"/>
    <mergeCell ref="EQ17:EQ19"/>
    <mergeCell ref="ER17:ET17"/>
    <mergeCell ref="EU17:EV17"/>
    <mergeCell ref="ER18:ET18"/>
    <mergeCell ref="EU18:EV18"/>
    <mergeCell ref="EX18:EY19"/>
    <mergeCell ref="EZ18:EZ19"/>
    <mergeCell ref="ER19:ET19"/>
    <mergeCell ref="EU19:EV19"/>
    <mergeCell ref="EP4:ET4"/>
    <mergeCell ref="EU4:EV4"/>
    <mergeCell ref="EX4:EX7"/>
    <mergeCell ref="EY4:EY5"/>
    <mergeCell ref="EZ4:EZ5"/>
    <mergeCell ref="EP5:EQ7"/>
    <mergeCell ref="ER5:ET5"/>
    <mergeCell ref="EU5:EV5"/>
    <mergeCell ref="ER6:ET6"/>
    <mergeCell ref="EU6:EV6"/>
    <mergeCell ref="EY6:EY7"/>
    <mergeCell ref="EZ6:EZ7"/>
    <mergeCell ref="ER7:ET7"/>
    <mergeCell ref="EU7:EV7"/>
    <mergeCell ref="EP8:EP22"/>
    <mergeCell ref="EQ8:EQ10"/>
    <mergeCell ref="ER8:ET8"/>
    <mergeCell ref="EU8:EV8"/>
    <mergeCell ref="EX8:EX11"/>
    <mergeCell ref="EY8:EY9"/>
    <mergeCell ref="EZ8:EZ9"/>
    <mergeCell ref="ER9:ET9"/>
    <mergeCell ref="EU9:EV9"/>
    <mergeCell ref="ER31:ET31"/>
    <mergeCell ref="EU31:EV31"/>
    <mergeCell ref="EX31:EY31"/>
    <mergeCell ref="EQ20:EQ21"/>
    <mergeCell ref="ER20:ET20"/>
    <mergeCell ref="EU20:EV20"/>
    <mergeCell ref="EX20:EY21"/>
    <mergeCell ref="EZ20:EZ21"/>
    <mergeCell ref="ER21:ET21"/>
    <mergeCell ref="EU21:EV21"/>
    <mergeCell ref="EQ22:ET22"/>
    <mergeCell ref="EU22:EV22"/>
    <mergeCell ref="EP23:EP26"/>
    <mergeCell ref="EQ23:ET23"/>
    <mergeCell ref="EU23:EV23"/>
    <mergeCell ref="EX23:EY24"/>
    <mergeCell ref="EZ23:EZ24"/>
    <mergeCell ref="EQ24:ET24"/>
    <mergeCell ref="EU24:EV24"/>
    <mergeCell ref="EQ25:ET25"/>
    <mergeCell ref="EU25:EV25"/>
    <mergeCell ref="EX25:EY26"/>
    <mergeCell ref="EZ25:EZ26"/>
    <mergeCell ref="EQ26:ET26"/>
    <mergeCell ref="EU26:EV26"/>
    <mergeCell ref="D1:F1"/>
    <mergeCell ref="Q1:S1"/>
    <mergeCell ref="AB1:AD1"/>
    <mergeCell ref="AN1:AP1"/>
    <mergeCell ref="AZ1:BB1"/>
    <mergeCell ref="BL1:BN1"/>
    <mergeCell ref="BX1:BZ1"/>
    <mergeCell ref="CJ1:CL1"/>
    <mergeCell ref="CV1:CX1"/>
    <mergeCell ref="DH1:DJ1"/>
    <mergeCell ref="DT1:DV1"/>
    <mergeCell ref="EF1:EH1"/>
    <mergeCell ref="ES1:EU1"/>
    <mergeCell ref="EP27:EP28"/>
    <mergeCell ref="EX27:EY28"/>
    <mergeCell ref="EZ27:EZ28"/>
    <mergeCell ref="ER30:ET30"/>
    <mergeCell ref="EU30:EV30"/>
    <mergeCell ref="EX30:EY30"/>
    <mergeCell ref="EX12:EY14"/>
    <mergeCell ref="EZ12:EZ14"/>
    <mergeCell ref="EQ13:EQ16"/>
    <mergeCell ref="ER13:ET13"/>
    <mergeCell ref="EU13:EV13"/>
    <mergeCell ref="ER14:ET14"/>
    <mergeCell ref="EU14:EV14"/>
    <mergeCell ref="ER15:ET15"/>
    <mergeCell ref="EU15:EV15"/>
    <mergeCell ref="ER16:ET16"/>
    <mergeCell ref="EU16:EV16"/>
    <mergeCell ref="EX16:EY17"/>
    <mergeCell ref="EZ16:EZ17"/>
  </mergeCells>
  <phoneticPr fontId="1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أسنان </vt:lpstr>
      <vt:lpstr>إلإجمالي</vt:lpstr>
      <vt:lpstr>'أسنان '!Print_Titles</vt:lpstr>
    </vt:vector>
  </TitlesOfParts>
  <Company>TOPK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2016-04-20T06:10:46Z</cp:lastPrinted>
  <dcterms:created xsi:type="dcterms:W3CDTF">2009-10-05T05:03:55Z</dcterms:created>
  <dcterms:modified xsi:type="dcterms:W3CDTF">2026-04-16T06:48:41Z</dcterms:modified>
</cp:coreProperties>
</file>