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aljedani\Desktop\كراسة الانشطة شهر 10\"/>
    </mc:Choice>
  </mc:AlternateContent>
  <bookViews>
    <workbookView xWindow="0" yWindow="0" windowWidth="28800" windowHeight="12450" tabRatio="641"/>
  </bookViews>
  <sheets>
    <sheet name="سكان وأسر" sheetId="1" r:id="rId1"/>
    <sheet name="الإجمالي" sheetId="4" r:id="rId2"/>
  </sheets>
  <definedNames>
    <definedName name="_xlnm.Print_Titles" localSheetId="0">'سكان وأسر'!$1:$4</definedName>
  </definedNames>
  <calcPr calcId="152511"/>
</workbook>
</file>

<file path=xl/calcChain.xml><?xml version="1.0" encoding="utf-8"?>
<calcChain xmlns="http://schemas.openxmlformats.org/spreadsheetml/2006/main">
  <c r="DB56" i="1" l="1"/>
  <c r="DB55" i="1"/>
  <c r="DC54" i="1"/>
  <c r="DA54" i="1"/>
  <c r="CZ54" i="1"/>
  <c r="CY54" i="1"/>
  <c r="CX54" i="1"/>
  <c r="CW54" i="1"/>
  <c r="CV54" i="1"/>
  <c r="DB53" i="1"/>
  <c r="DB52" i="1"/>
  <c r="DB54" i="1" s="1"/>
  <c r="DB51" i="1"/>
  <c r="DB50" i="1"/>
  <c r="DC49" i="1"/>
  <c r="DA49" i="1"/>
  <c r="CZ49" i="1"/>
  <c r="CY49" i="1"/>
  <c r="CX49" i="1"/>
  <c r="CW49" i="1"/>
  <c r="CV49" i="1"/>
  <c r="DB48" i="1"/>
  <c r="DB47" i="1"/>
  <c r="DB49" i="1" s="1"/>
  <c r="DB46" i="1"/>
  <c r="DB45" i="1"/>
  <c r="DC44" i="1"/>
  <c r="DA44" i="1"/>
  <c r="CZ44" i="1"/>
  <c r="CY44" i="1"/>
  <c r="CX44" i="1"/>
  <c r="CW44" i="1"/>
  <c r="CV44" i="1"/>
  <c r="DB43" i="1"/>
  <c r="DB42" i="1"/>
  <c r="DB44" i="1" s="1"/>
  <c r="DB41" i="1"/>
  <c r="DB40" i="1"/>
  <c r="DC39" i="1"/>
  <c r="DA39" i="1"/>
  <c r="CZ39" i="1"/>
  <c r="CY39" i="1"/>
  <c r="CX39" i="1"/>
  <c r="CW39" i="1"/>
  <c r="CV39" i="1"/>
  <c r="DB38" i="1"/>
  <c r="DB37" i="1"/>
  <c r="DB39" i="1" s="1"/>
  <c r="DB36" i="1"/>
  <c r="DB35" i="1"/>
  <c r="DC34" i="1"/>
  <c r="DA34" i="1"/>
  <c r="CZ34" i="1"/>
  <c r="CY34" i="1"/>
  <c r="CX34" i="1"/>
  <c r="CW34" i="1"/>
  <c r="CV34" i="1"/>
  <c r="DB33" i="1"/>
  <c r="DB32" i="1"/>
  <c r="DB34" i="1" s="1"/>
  <c r="DB31" i="1"/>
  <c r="DB30" i="1"/>
  <c r="DC29" i="1"/>
  <c r="DA29" i="1"/>
  <c r="CZ29" i="1"/>
  <c r="CY29" i="1"/>
  <c r="CX29" i="1"/>
  <c r="CW29" i="1"/>
  <c r="CV29" i="1"/>
  <c r="DB28" i="1"/>
  <c r="DB27" i="1"/>
  <c r="DB29" i="1" s="1"/>
  <c r="DB26" i="1"/>
  <c r="DB25" i="1"/>
  <c r="DC24" i="1"/>
  <c r="DA24" i="1"/>
  <c r="CZ24" i="1"/>
  <c r="CY24" i="1"/>
  <c r="CX24" i="1"/>
  <c r="CW24" i="1"/>
  <c r="CV24" i="1"/>
  <c r="DB23" i="1"/>
  <c r="DB22" i="1"/>
  <c r="DB24" i="1" s="1"/>
  <c r="DB21" i="1"/>
  <c r="DB20" i="1"/>
  <c r="DC19" i="1"/>
  <c r="DA19" i="1"/>
  <c r="CZ19" i="1"/>
  <c r="CY19" i="1"/>
  <c r="CX19" i="1"/>
  <c r="CW19" i="1"/>
  <c r="CV19" i="1"/>
  <c r="DB18" i="1"/>
  <c r="DB17" i="1"/>
  <c r="DB19" i="1" s="1"/>
  <c r="DB16" i="1"/>
  <c r="DB15" i="1"/>
  <c r="DC14" i="1"/>
  <c r="DA14" i="1"/>
  <c r="CZ14" i="1"/>
  <c r="CY14" i="1"/>
  <c r="CX14" i="1"/>
  <c r="CW14" i="1"/>
  <c r="CV14" i="1"/>
  <c r="DB13" i="1"/>
  <c r="DB12" i="1"/>
  <c r="DB14" i="1" s="1"/>
  <c r="DB11" i="1"/>
  <c r="DB10" i="1"/>
  <c r="DC9" i="1"/>
  <c r="DA9" i="1"/>
  <c r="CZ9" i="1"/>
  <c r="CY9" i="1"/>
  <c r="CX9" i="1"/>
  <c r="CW9" i="1"/>
  <c r="CV9" i="1"/>
  <c r="DB8" i="1"/>
  <c r="DB7" i="1"/>
  <c r="DB9" i="1" s="1"/>
  <c r="DB6" i="1"/>
  <c r="DB5" i="1"/>
  <c r="CP63" i="1" l="1"/>
  <c r="CP62" i="1"/>
  <c r="CP61" i="1"/>
  <c r="CP60" i="1"/>
  <c r="CQ59" i="1"/>
  <c r="CO59" i="1"/>
  <c r="CN59" i="1"/>
  <c r="CM59" i="1"/>
  <c r="CL59" i="1"/>
  <c r="CK59" i="1"/>
  <c r="CJ59" i="1"/>
  <c r="CP58" i="1"/>
  <c r="CP57" i="1"/>
  <c r="CP56" i="1"/>
  <c r="CP55" i="1"/>
  <c r="CP59" i="1" s="1"/>
  <c r="CQ54" i="1"/>
  <c r="CO54" i="1"/>
  <c r="CN54" i="1"/>
  <c r="CM54" i="1"/>
  <c r="CL54" i="1"/>
  <c r="CK54" i="1"/>
  <c r="CJ54" i="1"/>
  <c r="CP53" i="1"/>
  <c r="CP52" i="1"/>
  <c r="CP54" i="1" s="1"/>
  <c r="CP51" i="1"/>
  <c r="CP50" i="1"/>
  <c r="CQ49" i="1"/>
  <c r="CO49" i="1"/>
  <c r="CN49" i="1"/>
  <c r="CM49" i="1"/>
  <c r="CL49" i="1"/>
  <c r="CK49" i="1"/>
  <c r="CJ49" i="1"/>
  <c r="CP48" i="1"/>
  <c r="CP47" i="1"/>
  <c r="CP49" i="1" s="1"/>
  <c r="CP46" i="1"/>
  <c r="CP45" i="1"/>
  <c r="CQ44" i="1"/>
  <c r="CO44" i="1"/>
  <c r="CN44" i="1"/>
  <c r="CM44" i="1"/>
  <c r="CL44" i="1"/>
  <c r="CK44" i="1"/>
  <c r="CJ44" i="1"/>
  <c r="CP43" i="1"/>
  <c r="CP42" i="1"/>
  <c r="CP44" i="1" s="1"/>
  <c r="CP41" i="1"/>
  <c r="CP40" i="1"/>
  <c r="CQ39" i="1"/>
  <c r="CO39" i="1"/>
  <c r="CN39" i="1"/>
  <c r="CM39" i="1"/>
  <c r="CL39" i="1"/>
  <c r="CK39" i="1"/>
  <c r="CJ39" i="1"/>
  <c r="CP38" i="1"/>
  <c r="CP37" i="1"/>
  <c r="CP39" i="1" s="1"/>
  <c r="CP36" i="1"/>
  <c r="CP35" i="1"/>
  <c r="CQ34" i="1"/>
  <c r="CO34" i="1"/>
  <c r="CN34" i="1"/>
  <c r="CM34" i="1"/>
  <c r="CL34" i="1"/>
  <c r="CK34" i="1"/>
  <c r="CJ34" i="1"/>
  <c r="CP33" i="1"/>
  <c r="CP32" i="1"/>
  <c r="CP34" i="1" s="1"/>
  <c r="CP31" i="1"/>
  <c r="CP30" i="1"/>
  <c r="CQ29" i="1"/>
  <c r="CO29" i="1"/>
  <c r="CN29" i="1"/>
  <c r="CM29" i="1"/>
  <c r="CL29" i="1"/>
  <c r="CK29" i="1"/>
  <c r="CJ29" i="1"/>
  <c r="CP28" i="1"/>
  <c r="CP27" i="1"/>
  <c r="CP29" i="1" s="1"/>
  <c r="CP26" i="1"/>
  <c r="CP25" i="1"/>
  <c r="CQ24" i="1"/>
  <c r="CO24" i="1"/>
  <c r="CN24" i="1"/>
  <c r="CM24" i="1"/>
  <c r="CL24" i="1"/>
  <c r="CK24" i="1"/>
  <c r="CJ24" i="1"/>
  <c r="CP23" i="1"/>
  <c r="CP22" i="1"/>
  <c r="CP24" i="1" s="1"/>
  <c r="CP21" i="1"/>
  <c r="CP20" i="1"/>
  <c r="CQ19" i="1"/>
  <c r="CO19" i="1"/>
  <c r="CN19" i="1"/>
  <c r="CM19" i="1"/>
  <c r="CL19" i="1"/>
  <c r="CK19" i="1"/>
  <c r="CJ19" i="1"/>
  <c r="CP18" i="1"/>
  <c r="CP17" i="1"/>
  <c r="CP19" i="1" s="1"/>
  <c r="CP16" i="1"/>
  <c r="CP15" i="1"/>
  <c r="CQ14" i="1"/>
  <c r="CO14" i="1"/>
  <c r="CN14" i="1"/>
  <c r="CM14" i="1"/>
  <c r="CL14" i="1"/>
  <c r="CK14" i="1"/>
  <c r="CJ14" i="1"/>
  <c r="CP13" i="1"/>
  <c r="CP12" i="1"/>
  <c r="CP14" i="1" s="1"/>
  <c r="CP11" i="1"/>
  <c r="CP10" i="1"/>
  <c r="CQ9" i="1"/>
  <c r="CO9" i="1"/>
  <c r="CN9" i="1"/>
  <c r="CM9" i="1"/>
  <c r="CL9" i="1"/>
  <c r="CK9" i="1"/>
  <c r="CJ9" i="1"/>
  <c r="CP8" i="1"/>
  <c r="CP7" i="1"/>
  <c r="CP9" i="1" s="1"/>
  <c r="CP6" i="1"/>
  <c r="CP5" i="1"/>
  <c r="CE44" i="1"/>
  <c r="CC44" i="1"/>
  <c r="CB44" i="1"/>
  <c r="CA44" i="1"/>
  <c r="BZ44" i="1"/>
  <c r="BY44" i="1"/>
  <c r="BX44" i="1"/>
  <c r="CD43" i="1"/>
  <c r="CD42" i="1"/>
  <c r="CD41" i="1"/>
  <c r="CD40" i="1"/>
  <c r="CE39" i="1"/>
  <c r="CC39" i="1"/>
  <c r="CB39" i="1"/>
  <c r="CA39" i="1"/>
  <c r="BZ39" i="1"/>
  <c r="BY39" i="1"/>
  <c r="BX39" i="1"/>
  <c r="CD38" i="1"/>
  <c r="CD37" i="1"/>
  <c r="CD36" i="1"/>
  <c r="CD35" i="1"/>
  <c r="CE34" i="1"/>
  <c r="CC34" i="1"/>
  <c r="CB34" i="1"/>
  <c r="CA34" i="1"/>
  <c r="BZ34" i="1"/>
  <c r="BY34" i="1"/>
  <c r="BX34" i="1"/>
  <c r="CD33" i="1"/>
  <c r="CD32" i="1"/>
  <c r="CD31" i="1"/>
  <c r="CD30" i="1"/>
  <c r="CE29" i="1"/>
  <c r="CC29" i="1"/>
  <c r="CB29" i="1"/>
  <c r="CA29" i="1"/>
  <c r="BZ29" i="1"/>
  <c r="BY29" i="1"/>
  <c r="BX29" i="1"/>
  <c r="CD28" i="1"/>
  <c r="CD27" i="1"/>
  <c r="CD26" i="1"/>
  <c r="CD25" i="1"/>
  <c r="CE24" i="1"/>
  <c r="CC24" i="1"/>
  <c r="CB24" i="1"/>
  <c r="CA24" i="1"/>
  <c r="BZ24" i="1"/>
  <c r="BY24" i="1"/>
  <c r="BX24" i="1"/>
  <c r="CD23" i="1"/>
  <c r="CD22" i="1"/>
  <c r="CD21" i="1"/>
  <c r="CD24" i="1" s="1"/>
  <c r="CD20" i="1"/>
  <c r="CE19" i="1"/>
  <c r="CC19" i="1"/>
  <c r="CB19" i="1"/>
  <c r="CA19" i="1"/>
  <c r="BZ19" i="1"/>
  <c r="BY19" i="1"/>
  <c r="BX19" i="1"/>
  <c r="CD18" i="1"/>
  <c r="CD17" i="1"/>
  <c r="CD16" i="1"/>
  <c r="CD15" i="1"/>
  <c r="CE14" i="1"/>
  <c r="CC14" i="1"/>
  <c r="CB14" i="1"/>
  <c r="CA14" i="1"/>
  <c r="BZ14" i="1"/>
  <c r="BY14" i="1"/>
  <c r="BX14" i="1"/>
  <c r="CD13" i="1"/>
  <c r="CD12" i="1"/>
  <c r="CD11" i="1"/>
  <c r="CD10" i="1"/>
  <c r="CE9" i="1"/>
  <c r="CC9" i="1"/>
  <c r="CB9" i="1"/>
  <c r="CA9" i="1"/>
  <c r="BZ9" i="1"/>
  <c r="BY9" i="1"/>
  <c r="BX9" i="1"/>
  <c r="CD8" i="1"/>
  <c r="CD7" i="1"/>
  <c r="CD6" i="1"/>
  <c r="CD5" i="1"/>
  <c r="CD14" i="1" l="1"/>
  <c r="CD34" i="1"/>
  <c r="CD9" i="1"/>
  <c r="CD29" i="1"/>
  <c r="CD44" i="1"/>
  <c r="CD19" i="1"/>
  <c r="CD39" i="1"/>
  <c r="BS44" i="1"/>
  <c r="BS39" i="1"/>
  <c r="BS34" i="1"/>
  <c r="BS29" i="1"/>
  <c r="BS24" i="1"/>
  <c r="BS19" i="1"/>
  <c r="BS14" i="1"/>
  <c r="BS9" i="1"/>
  <c r="BQ44" i="1"/>
  <c r="BP44" i="1"/>
  <c r="BO44" i="1"/>
  <c r="BN44" i="1"/>
  <c r="BM44" i="1"/>
  <c r="BL44" i="1"/>
  <c r="BQ39" i="1"/>
  <c r="BP39" i="1"/>
  <c r="BO39" i="1"/>
  <c r="BN39" i="1"/>
  <c r="BM39" i="1"/>
  <c r="BL39" i="1"/>
  <c r="BQ34" i="1"/>
  <c r="BP34" i="1"/>
  <c r="BO34" i="1"/>
  <c r="BN34" i="1"/>
  <c r="BM34" i="1"/>
  <c r="BL34" i="1"/>
  <c r="BQ29" i="1"/>
  <c r="BP29" i="1"/>
  <c r="BO29" i="1"/>
  <c r="BN29" i="1"/>
  <c r="BM29" i="1"/>
  <c r="BL29" i="1"/>
  <c r="BQ24" i="1"/>
  <c r="BP24" i="1"/>
  <c r="BO24" i="1"/>
  <c r="BN24" i="1"/>
  <c r="BM24" i="1"/>
  <c r="BL24" i="1"/>
  <c r="BQ19" i="1"/>
  <c r="BP19" i="1"/>
  <c r="BO19" i="1"/>
  <c r="BN19" i="1"/>
  <c r="BM19" i="1"/>
  <c r="BL19" i="1"/>
  <c r="BQ14" i="1"/>
  <c r="BP14" i="1"/>
  <c r="BO14" i="1"/>
  <c r="BN14" i="1"/>
  <c r="BM14" i="1"/>
  <c r="BL14" i="1"/>
  <c r="BQ9" i="1"/>
  <c r="BP9" i="1"/>
  <c r="BO9" i="1"/>
  <c r="BN9" i="1"/>
  <c r="BM9" i="1"/>
  <c r="BL9" i="1"/>
  <c r="BG49" i="1" l="1"/>
  <c r="BG44" i="1"/>
  <c r="BG39" i="1"/>
  <c r="BG34" i="1"/>
  <c r="BG29" i="1"/>
  <c r="BG24" i="1"/>
  <c r="BG19" i="1"/>
  <c r="BG14" i="1"/>
  <c r="BG9" i="1"/>
  <c r="BE59" i="1"/>
  <c r="BD59" i="1"/>
  <c r="BC59" i="1"/>
  <c r="BB59" i="1"/>
  <c r="BA59" i="1"/>
  <c r="AZ59" i="1"/>
  <c r="BE54" i="1"/>
  <c r="BD54" i="1"/>
  <c r="BC54" i="1"/>
  <c r="BB54" i="1"/>
  <c r="BA54" i="1"/>
  <c r="AZ54" i="1"/>
  <c r="BE49" i="1"/>
  <c r="BD49" i="1"/>
  <c r="BC49" i="1"/>
  <c r="BB49" i="1"/>
  <c r="BA49" i="1"/>
  <c r="AZ49" i="1"/>
  <c r="BE44" i="1"/>
  <c r="BD44" i="1"/>
  <c r="BC44" i="1"/>
  <c r="BB44" i="1"/>
  <c r="BA44" i="1"/>
  <c r="AZ44" i="1"/>
  <c r="BE39" i="1"/>
  <c r="BD39" i="1"/>
  <c r="BC39" i="1"/>
  <c r="BB39" i="1"/>
  <c r="BA39" i="1"/>
  <c r="AZ39" i="1"/>
  <c r="BE34" i="1"/>
  <c r="BD34" i="1"/>
  <c r="BC34" i="1"/>
  <c r="BB34" i="1"/>
  <c r="BA34" i="1"/>
  <c r="AZ34" i="1"/>
  <c r="BE29" i="1"/>
  <c r="BD29" i="1"/>
  <c r="BC29" i="1"/>
  <c r="BB29" i="1"/>
  <c r="BA29" i="1"/>
  <c r="AZ29" i="1"/>
  <c r="BE24" i="1"/>
  <c r="BD24" i="1"/>
  <c r="BC24" i="1"/>
  <c r="BB24" i="1"/>
  <c r="BA24" i="1"/>
  <c r="AZ24" i="1"/>
  <c r="BE19" i="1"/>
  <c r="BD19" i="1"/>
  <c r="BC19" i="1"/>
  <c r="BB19" i="1"/>
  <c r="BA19" i="1"/>
  <c r="AZ19" i="1"/>
  <c r="BE14" i="1"/>
  <c r="BD14" i="1"/>
  <c r="BC14" i="1"/>
  <c r="BB14" i="1"/>
  <c r="BA14" i="1"/>
  <c r="AZ14" i="1"/>
  <c r="BE9" i="1"/>
  <c r="BD9" i="1"/>
  <c r="BC9" i="1"/>
  <c r="BB9" i="1"/>
  <c r="BA9" i="1"/>
  <c r="AZ9" i="1"/>
  <c r="AU44" i="1" l="1"/>
  <c r="AS44" i="1"/>
  <c r="AR44" i="1"/>
  <c r="AQ44" i="1"/>
  <c r="AP44" i="1"/>
  <c r="AO44" i="1"/>
  <c r="AN44" i="1"/>
  <c r="AT43" i="1"/>
  <c r="AT42" i="1"/>
  <c r="AT41" i="1"/>
  <c r="AT40" i="1"/>
  <c r="AU39" i="1"/>
  <c r="AS39" i="1"/>
  <c r="AR39" i="1"/>
  <c r="AQ39" i="1"/>
  <c r="AP39" i="1"/>
  <c r="AO39" i="1"/>
  <c r="AN39" i="1"/>
  <c r="AT38" i="1"/>
  <c r="AT37" i="1"/>
  <c r="AT36" i="1"/>
  <c r="AT35" i="1"/>
  <c r="AU34" i="1"/>
  <c r="AS34" i="1"/>
  <c r="AR34" i="1"/>
  <c r="AQ34" i="1"/>
  <c r="AP34" i="1"/>
  <c r="AO34" i="1"/>
  <c r="AN34" i="1"/>
  <c r="AT33" i="1"/>
  <c r="AT32" i="1"/>
  <c r="AT31" i="1"/>
  <c r="AT30" i="1"/>
  <c r="AU29" i="1"/>
  <c r="AS29" i="1"/>
  <c r="AR29" i="1"/>
  <c r="AQ29" i="1"/>
  <c r="AP29" i="1"/>
  <c r="AO29" i="1"/>
  <c r="AN29" i="1"/>
  <c r="AT28" i="1"/>
  <c r="AT27" i="1"/>
  <c r="AT26" i="1"/>
  <c r="AT25" i="1"/>
  <c r="AT29" i="1" s="1"/>
  <c r="AU24" i="1"/>
  <c r="AS24" i="1"/>
  <c r="AR24" i="1"/>
  <c r="AQ24" i="1"/>
  <c r="AP24" i="1"/>
  <c r="AO24" i="1"/>
  <c r="AN24" i="1"/>
  <c r="AT23" i="1"/>
  <c r="AT22" i="1"/>
  <c r="AT21" i="1"/>
  <c r="AT20" i="1"/>
  <c r="AU19" i="1"/>
  <c r="AS19" i="1"/>
  <c r="AR19" i="1"/>
  <c r="AQ19" i="1"/>
  <c r="AP19" i="1"/>
  <c r="AO19" i="1"/>
  <c r="AN19" i="1"/>
  <c r="AT18" i="1"/>
  <c r="AT17" i="1"/>
  <c r="AT16" i="1"/>
  <c r="AT15" i="1"/>
  <c r="AU14" i="1"/>
  <c r="AS14" i="1"/>
  <c r="AR14" i="1"/>
  <c r="AQ14" i="1"/>
  <c r="AP14" i="1"/>
  <c r="AO14" i="1"/>
  <c r="AN14" i="1"/>
  <c r="AT13" i="1"/>
  <c r="AT12" i="1"/>
  <c r="AT11" i="1"/>
  <c r="AT10" i="1"/>
  <c r="AT8" i="1"/>
  <c r="AT7" i="1"/>
  <c r="AT6" i="1"/>
  <c r="AT5" i="1"/>
  <c r="AG34" i="1"/>
  <c r="AF34" i="1"/>
  <c r="AE34" i="1"/>
  <c r="AD34" i="1"/>
  <c r="AC34" i="1"/>
  <c r="AB34" i="1"/>
  <c r="AG29" i="1"/>
  <c r="AF29" i="1"/>
  <c r="AE29" i="1"/>
  <c r="AD29" i="1"/>
  <c r="AC29" i="1"/>
  <c r="AB29" i="1"/>
  <c r="AG24" i="1"/>
  <c r="AF24" i="1"/>
  <c r="AE24" i="1"/>
  <c r="AD24" i="1"/>
  <c r="AC24" i="1"/>
  <c r="AB24" i="1"/>
  <c r="AG19" i="1"/>
  <c r="AF19" i="1"/>
  <c r="AE19" i="1"/>
  <c r="AD19" i="1"/>
  <c r="AC19" i="1"/>
  <c r="AB19" i="1"/>
  <c r="AT44" i="1" l="1"/>
  <c r="AT19" i="1"/>
  <c r="AT39" i="1"/>
  <c r="AT24" i="1"/>
  <c r="AT14" i="1"/>
  <c r="AT34" i="1"/>
  <c r="M60" i="1"/>
  <c r="Y60" i="1" s="1"/>
  <c r="AK60" i="1" s="1"/>
  <c r="AW60" i="1" s="1"/>
  <c r="BI60" i="1" s="1"/>
  <c r="BU60" i="1" s="1"/>
  <c r="CG60" i="1" s="1"/>
  <c r="CS60" i="1" s="1"/>
  <c r="DE60" i="1" s="1"/>
  <c r="DQ60" i="1" s="1"/>
  <c r="EC60" i="1" s="1"/>
  <c r="EK72" i="1" l="1"/>
  <c r="EJ72" i="1"/>
  <c r="EI72" i="1"/>
  <c r="EH72" i="1"/>
  <c r="EG72" i="1"/>
  <c r="EF72" i="1"/>
  <c r="EM71" i="1"/>
  <c r="EK71" i="1"/>
  <c r="EJ71" i="1"/>
  <c r="EI71" i="1"/>
  <c r="EH71" i="1"/>
  <c r="EG71" i="1"/>
  <c r="EF71" i="1"/>
  <c r="EK70" i="1"/>
  <c r="EJ70" i="1"/>
  <c r="EI70" i="1"/>
  <c r="EH70" i="1"/>
  <c r="EG70" i="1"/>
  <c r="EF70" i="1"/>
  <c r="EM69" i="1"/>
  <c r="EK69" i="1"/>
  <c r="EJ69" i="1"/>
  <c r="EI69" i="1"/>
  <c r="EH69" i="1"/>
  <c r="EG69" i="1"/>
  <c r="EF69" i="1"/>
  <c r="EG66" i="1"/>
  <c r="EM64" i="1"/>
  <c r="EK64" i="1"/>
  <c r="EJ64" i="1"/>
  <c r="EI64" i="1"/>
  <c r="EH64" i="1"/>
  <c r="EG64" i="1"/>
  <c r="EF64" i="1"/>
  <c r="EL63" i="1"/>
  <c r="EL62" i="1"/>
  <c r="EL61" i="1"/>
  <c r="EL60" i="1"/>
  <c r="EM59" i="1"/>
  <c r="EK59" i="1"/>
  <c r="EJ59" i="1"/>
  <c r="EI59" i="1"/>
  <c r="EH59" i="1"/>
  <c r="EG59" i="1"/>
  <c r="EF59" i="1"/>
  <c r="EL58" i="1"/>
  <c r="EL57" i="1"/>
  <c r="EL56" i="1"/>
  <c r="EL55" i="1"/>
  <c r="EM54" i="1"/>
  <c r="EK54" i="1"/>
  <c r="EJ54" i="1"/>
  <c r="EI54" i="1"/>
  <c r="EH54" i="1"/>
  <c r="EG54" i="1"/>
  <c r="EF54" i="1"/>
  <c r="EL53" i="1"/>
  <c r="EL52" i="1"/>
  <c r="EL51" i="1"/>
  <c r="EL50" i="1"/>
  <c r="EM49" i="1"/>
  <c r="EK49" i="1"/>
  <c r="EJ49" i="1"/>
  <c r="EI49" i="1"/>
  <c r="EH49" i="1"/>
  <c r="EG49" i="1"/>
  <c r="EF49" i="1"/>
  <c r="EL48" i="1"/>
  <c r="EL47" i="1"/>
  <c r="EL46" i="1"/>
  <c r="EL45" i="1"/>
  <c r="EM44" i="1"/>
  <c r="EK44" i="1"/>
  <c r="EJ44" i="1"/>
  <c r="EI44" i="1"/>
  <c r="EH44" i="1"/>
  <c r="EG44" i="1"/>
  <c r="EF44" i="1"/>
  <c r="EL43" i="1"/>
  <c r="EL42" i="1"/>
  <c r="EL41" i="1"/>
  <c r="EL40" i="1"/>
  <c r="EM39" i="1"/>
  <c r="EK39" i="1"/>
  <c r="EJ39" i="1"/>
  <c r="EI39" i="1"/>
  <c r="EH39" i="1"/>
  <c r="EG39" i="1"/>
  <c r="EF39" i="1"/>
  <c r="EL38" i="1"/>
  <c r="EL37" i="1"/>
  <c r="EL36" i="1"/>
  <c r="EL35" i="1"/>
  <c r="EM34" i="1"/>
  <c r="EK34" i="1"/>
  <c r="EJ34" i="1"/>
  <c r="EI34" i="1"/>
  <c r="EH34" i="1"/>
  <c r="EG34" i="1"/>
  <c r="EF34" i="1"/>
  <c r="EL33" i="1"/>
  <c r="EL32" i="1"/>
  <c r="EL31" i="1"/>
  <c r="EL30" i="1"/>
  <c r="EM29" i="1"/>
  <c r="EK29" i="1"/>
  <c r="EJ29" i="1"/>
  <c r="EI29" i="1"/>
  <c r="EH29" i="1"/>
  <c r="EG29" i="1"/>
  <c r="EF29" i="1"/>
  <c r="EL28" i="1"/>
  <c r="EL27" i="1"/>
  <c r="EL26" i="1"/>
  <c r="EL25" i="1"/>
  <c r="EM24" i="1"/>
  <c r="EK24" i="1"/>
  <c r="EJ24" i="1"/>
  <c r="EI24" i="1"/>
  <c r="EH24" i="1"/>
  <c r="EG24" i="1"/>
  <c r="EF24" i="1"/>
  <c r="EL23" i="1"/>
  <c r="EL22" i="1"/>
  <c r="EL21" i="1"/>
  <c r="EL20" i="1"/>
  <c r="EM19" i="1"/>
  <c r="EK19" i="1"/>
  <c r="EJ19" i="1"/>
  <c r="EI19" i="1"/>
  <c r="EH19" i="1"/>
  <c r="EG19" i="1"/>
  <c r="EF19" i="1"/>
  <c r="EL18" i="1"/>
  <c r="EL17" i="1"/>
  <c r="EL16" i="1"/>
  <c r="EL15" i="1"/>
  <c r="EM14" i="1"/>
  <c r="EK14" i="1"/>
  <c r="EJ14" i="1"/>
  <c r="EI14" i="1"/>
  <c r="EH14" i="1"/>
  <c r="EG14" i="1"/>
  <c r="EF14" i="1"/>
  <c r="EL13" i="1"/>
  <c r="EL12" i="1"/>
  <c r="EL11" i="1"/>
  <c r="EL10" i="1"/>
  <c r="EM9" i="1"/>
  <c r="EK9" i="1"/>
  <c r="EJ9" i="1"/>
  <c r="EI9" i="1"/>
  <c r="EH9" i="1"/>
  <c r="EG9" i="1"/>
  <c r="EF9" i="1"/>
  <c r="EL8" i="1"/>
  <c r="EL7" i="1"/>
  <c r="EL6" i="1"/>
  <c r="EL5" i="1"/>
  <c r="DY72" i="1"/>
  <c r="DX72" i="1"/>
  <c r="DW72" i="1"/>
  <c r="DV72" i="1"/>
  <c r="DU72" i="1"/>
  <c r="DT72" i="1"/>
  <c r="EA71" i="1"/>
  <c r="DY71" i="1"/>
  <c r="DX71" i="1"/>
  <c r="DW71" i="1"/>
  <c r="DV71" i="1"/>
  <c r="DU71" i="1"/>
  <c r="DT71" i="1"/>
  <c r="DY70" i="1"/>
  <c r="DX70" i="1"/>
  <c r="DW70" i="1"/>
  <c r="DV70" i="1"/>
  <c r="DU70" i="1"/>
  <c r="DT70" i="1"/>
  <c r="EA69" i="1"/>
  <c r="DY69" i="1"/>
  <c r="DX69" i="1"/>
  <c r="DW69" i="1"/>
  <c r="DV69" i="1"/>
  <c r="DU69" i="1"/>
  <c r="DT69" i="1"/>
  <c r="DU66" i="1"/>
  <c r="EA64" i="1"/>
  <c r="DY64" i="1"/>
  <c r="DX64" i="1"/>
  <c r="DW64" i="1"/>
  <c r="DV64" i="1"/>
  <c r="DU64" i="1"/>
  <c r="DT64" i="1"/>
  <c r="DZ63" i="1"/>
  <c r="DZ62" i="1"/>
  <c r="DZ61" i="1"/>
  <c r="DZ60" i="1"/>
  <c r="EA59" i="1"/>
  <c r="DY59" i="1"/>
  <c r="DX59" i="1"/>
  <c r="DW59" i="1"/>
  <c r="DV59" i="1"/>
  <c r="DU59" i="1"/>
  <c r="DT59" i="1"/>
  <c r="DZ58" i="1"/>
  <c r="DZ57" i="1"/>
  <c r="DZ56" i="1"/>
  <c r="DZ55" i="1"/>
  <c r="EA54" i="1"/>
  <c r="DY54" i="1"/>
  <c r="DX54" i="1"/>
  <c r="DW54" i="1"/>
  <c r="DV54" i="1"/>
  <c r="DU54" i="1"/>
  <c r="DT54" i="1"/>
  <c r="DZ53" i="1"/>
  <c r="DZ52" i="1"/>
  <c r="DZ51" i="1"/>
  <c r="DZ50" i="1"/>
  <c r="EA49" i="1"/>
  <c r="DY49" i="1"/>
  <c r="DX49" i="1"/>
  <c r="DW49" i="1"/>
  <c r="DV49" i="1"/>
  <c r="DU49" i="1"/>
  <c r="DT49" i="1"/>
  <c r="DZ48" i="1"/>
  <c r="DZ47" i="1"/>
  <c r="DZ46" i="1"/>
  <c r="DZ45" i="1"/>
  <c r="EA44" i="1"/>
  <c r="DY44" i="1"/>
  <c r="DX44" i="1"/>
  <c r="DW44" i="1"/>
  <c r="DV44" i="1"/>
  <c r="DU44" i="1"/>
  <c r="DT44" i="1"/>
  <c r="DZ43" i="1"/>
  <c r="DZ42" i="1"/>
  <c r="DZ41" i="1"/>
  <c r="DZ40" i="1"/>
  <c r="EA39" i="1"/>
  <c r="DY39" i="1"/>
  <c r="DX39" i="1"/>
  <c r="DW39" i="1"/>
  <c r="DV39" i="1"/>
  <c r="DU39" i="1"/>
  <c r="DT39" i="1"/>
  <c r="DZ38" i="1"/>
  <c r="DZ37" i="1"/>
  <c r="DZ36" i="1"/>
  <c r="DZ35" i="1"/>
  <c r="EA34" i="1"/>
  <c r="DY34" i="1"/>
  <c r="DX34" i="1"/>
  <c r="DW34" i="1"/>
  <c r="DV34" i="1"/>
  <c r="DU34" i="1"/>
  <c r="DT34" i="1"/>
  <c r="DZ33" i="1"/>
  <c r="DZ32" i="1"/>
  <c r="DZ31" i="1"/>
  <c r="DZ30" i="1"/>
  <c r="EA29" i="1"/>
  <c r="DY29" i="1"/>
  <c r="DX29" i="1"/>
  <c r="DW29" i="1"/>
  <c r="DV29" i="1"/>
  <c r="DU29" i="1"/>
  <c r="DT29" i="1"/>
  <c r="DZ28" i="1"/>
  <c r="DZ27" i="1"/>
  <c r="DZ26" i="1"/>
  <c r="DZ25" i="1"/>
  <c r="EA24" i="1"/>
  <c r="DY24" i="1"/>
  <c r="DX24" i="1"/>
  <c r="DW24" i="1"/>
  <c r="DV24" i="1"/>
  <c r="DU24" i="1"/>
  <c r="DT24" i="1"/>
  <c r="DZ23" i="1"/>
  <c r="DZ22" i="1"/>
  <c r="DZ21" i="1"/>
  <c r="DZ20" i="1"/>
  <c r="EA19" i="1"/>
  <c r="DY19" i="1"/>
  <c r="DX19" i="1"/>
  <c r="DW19" i="1"/>
  <c r="DV19" i="1"/>
  <c r="DU19" i="1"/>
  <c r="DT19" i="1"/>
  <c r="DZ18" i="1"/>
  <c r="DZ17" i="1"/>
  <c r="DZ16" i="1"/>
  <c r="DZ15" i="1"/>
  <c r="EA14" i="1"/>
  <c r="DY14" i="1"/>
  <c r="DX14" i="1"/>
  <c r="DW14" i="1"/>
  <c r="DV14" i="1"/>
  <c r="DU14" i="1"/>
  <c r="DT14" i="1"/>
  <c r="DZ13" i="1"/>
  <c r="DZ12" i="1"/>
  <c r="DZ11" i="1"/>
  <c r="DZ10" i="1"/>
  <c r="EA9" i="1"/>
  <c r="DY9" i="1"/>
  <c r="DX9" i="1"/>
  <c r="DW9" i="1"/>
  <c r="DV9" i="1"/>
  <c r="DU9" i="1"/>
  <c r="DT9" i="1"/>
  <c r="DZ8" i="1"/>
  <c r="DZ7" i="1"/>
  <c r="DZ6" i="1"/>
  <c r="DZ5" i="1"/>
  <c r="DM72" i="1"/>
  <c r="DL72" i="1"/>
  <c r="DK72" i="1"/>
  <c r="DJ72" i="1"/>
  <c r="DI72" i="1"/>
  <c r="DH72" i="1"/>
  <c r="DO71" i="1"/>
  <c r="DM71" i="1"/>
  <c r="DL71" i="1"/>
  <c r="DK71" i="1"/>
  <c r="DJ71" i="1"/>
  <c r="DI71" i="1"/>
  <c r="DH71" i="1"/>
  <c r="DM70" i="1"/>
  <c r="DL70" i="1"/>
  <c r="DK70" i="1"/>
  <c r="DJ70" i="1"/>
  <c r="DI70" i="1"/>
  <c r="DH70" i="1"/>
  <c r="DO69" i="1"/>
  <c r="DM69" i="1"/>
  <c r="DL69" i="1"/>
  <c r="DK69" i="1"/>
  <c r="DJ69" i="1"/>
  <c r="DI69" i="1"/>
  <c r="DH69" i="1"/>
  <c r="DI66" i="1"/>
  <c r="DO64" i="1"/>
  <c r="DM64" i="1"/>
  <c r="DL64" i="1"/>
  <c r="DK64" i="1"/>
  <c r="DJ64" i="1"/>
  <c r="DI64" i="1"/>
  <c r="DH64" i="1"/>
  <c r="DN63" i="1"/>
  <c r="DN62" i="1"/>
  <c r="DN61" i="1"/>
  <c r="DN60" i="1"/>
  <c r="DO59" i="1"/>
  <c r="DM59" i="1"/>
  <c r="DL59" i="1"/>
  <c r="DK59" i="1"/>
  <c r="DJ59" i="1"/>
  <c r="DI59" i="1"/>
  <c r="DH59" i="1"/>
  <c r="DN58" i="1"/>
  <c r="DN57" i="1"/>
  <c r="DN56" i="1"/>
  <c r="DN55" i="1"/>
  <c r="DO54" i="1"/>
  <c r="DM54" i="1"/>
  <c r="DL54" i="1"/>
  <c r="DK54" i="1"/>
  <c r="DJ54" i="1"/>
  <c r="DI54" i="1"/>
  <c r="DH54" i="1"/>
  <c r="DN53" i="1"/>
  <c r="DN52" i="1"/>
  <c r="DN51" i="1"/>
  <c r="DN50" i="1"/>
  <c r="DO49" i="1"/>
  <c r="DM49" i="1"/>
  <c r="DL49" i="1"/>
  <c r="DK49" i="1"/>
  <c r="DJ49" i="1"/>
  <c r="DI49" i="1"/>
  <c r="DH49" i="1"/>
  <c r="DN48" i="1"/>
  <c r="DN47" i="1"/>
  <c r="DN46" i="1"/>
  <c r="DN45" i="1"/>
  <c r="DO44" i="1"/>
  <c r="DM44" i="1"/>
  <c r="DL44" i="1"/>
  <c r="DK44" i="1"/>
  <c r="DJ44" i="1"/>
  <c r="DI44" i="1"/>
  <c r="DH44" i="1"/>
  <c r="DN43" i="1"/>
  <c r="DN42" i="1"/>
  <c r="DN41" i="1"/>
  <c r="DN40" i="1"/>
  <c r="DO39" i="1"/>
  <c r="DM39" i="1"/>
  <c r="DL39" i="1"/>
  <c r="DK39" i="1"/>
  <c r="DJ39" i="1"/>
  <c r="DI39" i="1"/>
  <c r="DH39" i="1"/>
  <c r="DN38" i="1"/>
  <c r="DN37" i="1"/>
  <c r="DN36" i="1"/>
  <c r="DN35" i="1"/>
  <c r="DO34" i="1"/>
  <c r="DM34" i="1"/>
  <c r="DL34" i="1"/>
  <c r="DK34" i="1"/>
  <c r="DJ34" i="1"/>
  <c r="DI34" i="1"/>
  <c r="DH34" i="1"/>
  <c r="DN33" i="1"/>
  <c r="DN32" i="1"/>
  <c r="DN31" i="1"/>
  <c r="DN30" i="1"/>
  <c r="DO29" i="1"/>
  <c r="DM29" i="1"/>
  <c r="DL29" i="1"/>
  <c r="DK29" i="1"/>
  <c r="DJ29" i="1"/>
  <c r="DI29" i="1"/>
  <c r="DH29" i="1"/>
  <c r="DN28" i="1"/>
  <c r="DN27" i="1"/>
  <c r="DN26" i="1"/>
  <c r="DN25" i="1"/>
  <c r="DO24" i="1"/>
  <c r="DM24" i="1"/>
  <c r="DL24" i="1"/>
  <c r="DK24" i="1"/>
  <c r="DJ24" i="1"/>
  <c r="DI24" i="1"/>
  <c r="DH24" i="1"/>
  <c r="DN23" i="1"/>
  <c r="DN22" i="1"/>
  <c r="DN21" i="1"/>
  <c r="DN20" i="1"/>
  <c r="DO19" i="1"/>
  <c r="DM19" i="1"/>
  <c r="DL19" i="1"/>
  <c r="DK19" i="1"/>
  <c r="DJ19" i="1"/>
  <c r="DI19" i="1"/>
  <c r="DH19" i="1"/>
  <c r="DN18" i="1"/>
  <c r="DN17" i="1"/>
  <c r="DN16" i="1"/>
  <c r="DN15" i="1"/>
  <c r="DO14" i="1"/>
  <c r="DM14" i="1"/>
  <c r="DL14" i="1"/>
  <c r="DK14" i="1"/>
  <c r="DJ14" i="1"/>
  <c r="DI14" i="1"/>
  <c r="DH14" i="1"/>
  <c r="DN13" i="1"/>
  <c r="DN12" i="1"/>
  <c r="DN11" i="1"/>
  <c r="DN10" i="1"/>
  <c r="DO9" i="1"/>
  <c r="DM9" i="1"/>
  <c r="DL9" i="1"/>
  <c r="DK9" i="1"/>
  <c r="DJ9" i="1"/>
  <c r="DI9" i="1"/>
  <c r="DH9" i="1"/>
  <c r="DN8" i="1"/>
  <c r="DN7" i="1"/>
  <c r="DN6" i="1"/>
  <c r="DN5" i="1"/>
  <c r="DA72" i="1"/>
  <c r="CZ72" i="1"/>
  <c r="CY72" i="1"/>
  <c r="CX72" i="1"/>
  <c r="CW72" i="1"/>
  <c r="CV72" i="1"/>
  <c r="DC71" i="1"/>
  <c r="DA71" i="1"/>
  <c r="CZ71" i="1"/>
  <c r="CY71" i="1"/>
  <c r="CX71" i="1"/>
  <c r="CW71" i="1"/>
  <c r="CV71" i="1"/>
  <c r="DA70" i="1"/>
  <c r="CZ70" i="1"/>
  <c r="CY70" i="1"/>
  <c r="CX70" i="1"/>
  <c r="CW70" i="1"/>
  <c r="CV70" i="1"/>
  <c r="DC69" i="1"/>
  <c r="DA69" i="1"/>
  <c r="CZ69" i="1"/>
  <c r="CY69" i="1"/>
  <c r="CX69" i="1"/>
  <c r="CW69" i="1"/>
  <c r="CV69" i="1"/>
  <c r="CW66" i="1"/>
  <c r="DC64" i="1"/>
  <c r="DA64" i="1"/>
  <c r="CZ64" i="1"/>
  <c r="CY64" i="1"/>
  <c r="CX64" i="1"/>
  <c r="CW64" i="1"/>
  <c r="CV64" i="1"/>
  <c r="DB63" i="1"/>
  <c r="DB62" i="1"/>
  <c r="DB61" i="1"/>
  <c r="DB60" i="1"/>
  <c r="DC59" i="1"/>
  <c r="DA59" i="1"/>
  <c r="CZ59" i="1"/>
  <c r="CY59" i="1"/>
  <c r="CX59" i="1"/>
  <c r="CW59" i="1"/>
  <c r="CV59" i="1"/>
  <c r="DB58" i="1"/>
  <c r="DB57" i="1"/>
  <c r="CO72" i="1"/>
  <c r="CN72" i="1"/>
  <c r="CM72" i="1"/>
  <c r="CL72" i="1"/>
  <c r="CK72" i="1"/>
  <c r="CJ72" i="1"/>
  <c r="CQ71" i="1"/>
  <c r="CO71" i="1"/>
  <c r="CN71" i="1"/>
  <c r="CM71" i="1"/>
  <c r="CL71" i="1"/>
  <c r="CK71" i="1"/>
  <c r="CJ71" i="1"/>
  <c r="CO70" i="1"/>
  <c r="CN70" i="1"/>
  <c r="CM70" i="1"/>
  <c r="CL70" i="1"/>
  <c r="CK70" i="1"/>
  <c r="CJ70" i="1"/>
  <c r="CQ69" i="1"/>
  <c r="CQ73" i="1" s="1"/>
  <c r="CO69" i="1"/>
  <c r="CN69" i="1"/>
  <c r="CM69" i="1"/>
  <c r="CL69" i="1"/>
  <c r="CK69" i="1"/>
  <c r="CJ69" i="1"/>
  <c r="CK66" i="1"/>
  <c r="CQ64" i="1"/>
  <c r="CO64" i="1"/>
  <c r="CN64" i="1"/>
  <c r="CM64" i="1"/>
  <c r="CL64" i="1"/>
  <c r="CK64" i="1"/>
  <c r="CJ64" i="1"/>
  <c r="CC72" i="1"/>
  <c r="CB72" i="1"/>
  <c r="CA72" i="1"/>
  <c r="BZ72" i="1"/>
  <c r="BY72" i="1"/>
  <c r="BX72" i="1"/>
  <c r="CE71" i="1"/>
  <c r="CC71" i="1"/>
  <c r="CB71" i="1"/>
  <c r="CA71" i="1"/>
  <c r="BZ71" i="1"/>
  <c r="BY71" i="1"/>
  <c r="BX71" i="1"/>
  <c r="CC70" i="1"/>
  <c r="CB70" i="1"/>
  <c r="CA70" i="1"/>
  <c r="BZ70" i="1"/>
  <c r="BY70" i="1"/>
  <c r="BX70" i="1"/>
  <c r="CE69" i="1"/>
  <c r="CC69" i="1"/>
  <c r="CB69" i="1"/>
  <c r="CA69" i="1"/>
  <c r="BZ69" i="1"/>
  <c r="BY69" i="1"/>
  <c r="BX69" i="1"/>
  <c r="BX73" i="1" s="1"/>
  <c r="BY66" i="1"/>
  <c r="CE64" i="1"/>
  <c r="CC64" i="1"/>
  <c r="CB64" i="1"/>
  <c r="CA64" i="1"/>
  <c r="BZ64" i="1"/>
  <c r="BY64" i="1"/>
  <c r="BX64" i="1"/>
  <c r="CD63" i="1"/>
  <c r="CD62" i="1"/>
  <c r="CD61" i="1"/>
  <c r="CD60" i="1"/>
  <c r="CE59" i="1"/>
  <c r="CC59" i="1"/>
  <c r="CB59" i="1"/>
  <c r="CA59" i="1"/>
  <c r="BZ59" i="1"/>
  <c r="BY59" i="1"/>
  <c r="BX59" i="1"/>
  <c r="CD58" i="1"/>
  <c r="CD57" i="1"/>
  <c r="CD56" i="1"/>
  <c r="CD55" i="1"/>
  <c r="CE54" i="1"/>
  <c r="CC54" i="1"/>
  <c r="CB54" i="1"/>
  <c r="CA54" i="1"/>
  <c r="BZ54" i="1"/>
  <c r="BY54" i="1"/>
  <c r="BX54" i="1"/>
  <c r="CD53" i="1"/>
  <c r="CD52" i="1"/>
  <c r="CD51" i="1"/>
  <c r="CD50" i="1"/>
  <c r="CE49" i="1"/>
  <c r="CC49" i="1"/>
  <c r="CB49" i="1"/>
  <c r="CA49" i="1"/>
  <c r="BZ49" i="1"/>
  <c r="BY49" i="1"/>
  <c r="BX49" i="1"/>
  <c r="CD48" i="1"/>
  <c r="CD47" i="1"/>
  <c r="CD46" i="1"/>
  <c r="CD45" i="1"/>
  <c r="BQ72" i="1"/>
  <c r="BP72" i="1"/>
  <c r="BO72" i="1"/>
  <c r="BN72" i="1"/>
  <c r="BM72" i="1"/>
  <c r="BL72" i="1"/>
  <c r="BS71" i="1"/>
  <c r="BQ71" i="1"/>
  <c r="BP71" i="1"/>
  <c r="BO71" i="1"/>
  <c r="BN71" i="1"/>
  <c r="BM71" i="1"/>
  <c r="BL71" i="1"/>
  <c r="BQ70" i="1"/>
  <c r="BP70" i="1"/>
  <c r="BO70" i="1"/>
  <c r="BN70" i="1"/>
  <c r="BM70" i="1"/>
  <c r="BL70" i="1"/>
  <c r="BS69" i="1"/>
  <c r="BQ69" i="1"/>
  <c r="BP69" i="1"/>
  <c r="BO69" i="1"/>
  <c r="BN69" i="1"/>
  <c r="BM69" i="1"/>
  <c r="BL69" i="1"/>
  <c r="BM66" i="1"/>
  <c r="BS64" i="1"/>
  <c r="BQ64" i="1"/>
  <c r="BP64" i="1"/>
  <c r="BO64" i="1"/>
  <c r="BN64" i="1"/>
  <c r="BM64" i="1"/>
  <c r="BL64" i="1"/>
  <c r="BR63" i="1"/>
  <c r="BR62" i="1"/>
  <c r="BR61" i="1"/>
  <c r="BR60" i="1"/>
  <c r="BS59" i="1"/>
  <c r="BQ59" i="1"/>
  <c r="BP59" i="1"/>
  <c r="BO59" i="1"/>
  <c r="BN59" i="1"/>
  <c r="BM59" i="1"/>
  <c r="BL59" i="1"/>
  <c r="BR58" i="1"/>
  <c r="BR57" i="1"/>
  <c r="BR56" i="1"/>
  <c r="BR55" i="1"/>
  <c r="BS54" i="1"/>
  <c r="BQ54" i="1"/>
  <c r="BP54" i="1"/>
  <c r="BO54" i="1"/>
  <c r="BN54" i="1"/>
  <c r="BM54" i="1"/>
  <c r="BL54" i="1"/>
  <c r="BR53" i="1"/>
  <c r="BR52" i="1"/>
  <c r="BR51" i="1"/>
  <c r="BR50" i="1"/>
  <c r="BS49" i="1"/>
  <c r="BQ49" i="1"/>
  <c r="BP49" i="1"/>
  <c r="BO49" i="1"/>
  <c r="BN49" i="1"/>
  <c r="BM49" i="1"/>
  <c r="BL49" i="1"/>
  <c r="BR48" i="1"/>
  <c r="BR47" i="1"/>
  <c r="BR46" i="1"/>
  <c r="BR45" i="1"/>
  <c r="BR43" i="1"/>
  <c r="BR42" i="1"/>
  <c r="BR41" i="1"/>
  <c r="BR40" i="1"/>
  <c r="BR38" i="1"/>
  <c r="BR37" i="1"/>
  <c r="BR36" i="1"/>
  <c r="BR35" i="1"/>
  <c r="BR33" i="1"/>
  <c r="BR32" i="1"/>
  <c r="BR31" i="1"/>
  <c r="BR30" i="1"/>
  <c r="BR28" i="1"/>
  <c r="BR27" i="1"/>
  <c r="BR26" i="1"/>
  <c r="BR25" i="1"/>
  <c r="BR23" i="1"/>
  <c r="BR22" i="1"/>
  <c r="BR21" i="1"/>
  <c r="BR20" i="1"/>
  <c r="BR18" i="1"/>
  <c r="BR17" i="1"/>
  <c r="BR16" i="1"/>
  <c r="BR15" i="1"/>
  <c r="BR13" i="1"/>
  <c r="BR12" i="1"/>
  <c r="BR11" i="1"/>
  <c r="BR10" i="1"/>
  <c r="BR8" i="1"/>
  <c r="BR7" i="1"/>
  <c r="BR6" i="1"/>
  <c r="BR5" i="1"/>
  <c r="BE72" i="1"/>
  <c r="BD72" i="1"/>
  <c r="BC72" i="1"/>
  <c r="BB72" i="1"/>
  <c r="BA72" i="1"/>
  <c r="AZ72" i="1"/>
  <c r="BG71" i="1"/>
  <c r="BE71" i="1"/>
  <c r="BD71" i="1"/>
  <c r="BC71" i="1"/>
  <c r="BB71" i="1"/>
  <c r="BA71" i="1"/>
  <c r="AZ71" i="1"/>
  <c r="BE70" i="1"/>
  <c r="BD70" i="1"/>
  <c r="BC70" i="1"/>
  <c r="BB70" i="1"/>
  <c r="BA70" i="1"/>
  <c r="AZ70" i="1"/>
  <c r="BG69" i="1"/>
  <c r="BE69" i="1"/>
  <c r="BD69" i="1"/>
  <c r="BC69" i="1"/>
  <c r="BB69" i="1"/>
  <c r="BA69" i="1"/>
  <c r="AZ69" i="1"/>
  <c r="BA66" i="1"/>
  <c r="BG64" i="1"/>
  <c r="BE64" i="1"/>
  <c r="BD64" i="1"/>
  <c r="BC64" i="1"/>
  <c r="BB64" i="1"/>
  <c r="BA64" i="1"/>
  <c r="AZ64" i="1"/>
  <c r="BF63" i="1"/>
  <c r="BF62" i="1"/>
  <c r="BF61" i="1"/>
  <c r="BF60" i="1"/>
  <c r="BG59" i="1"/>
  <c r="BF58" i="1"/>
  <c r="BF57" i="1"/>
  <c r="BF56" i="1"/>
  <c r="BF55" i="1"/>
  <c r="BG54" i="1"/>
  <c r="BF53" i="1"/>
  <c r="BF52" i="1"/>
  <c r="BF51" i="1"/>
  <c r="BF50" i="1"/>
  <c r="BF48" i="1"/>
  <c r="BF47" i="1"/>
  <c r="BF46" i="1"/>
  <c r="BF45" i="1"/>
  <c r="BF43" i="1"/>
  <c r="BF42" i="1"/>
  <c r="BF41" i="1"/>
  <c r="BF40" i="1"/>
  <c r="BF38" i="1"/>
  <c r="BF37" i="1"/>
  <c r="BF36" i="1"/>
  <c r="BF35" i="1"/>
  <c r="BF33" i="1"/>
  <c r="BF32" i="1"/>
  <c r="BF31" i="1"/>
  <c r="BF30" i="1"/>
  <c r="BF28" i="1"/>
  <c r="BF27" i="1"/>
  <c r="BF26" i="1"/>
  <c r="BF25" i="1"/>
  <c r="BF23" i="1"/>
  <c r="BF22" i="1"/>
  <c r="BF21" i="1"/>
  <c r="BF20" i="1"/>
  <c r="BF18" i="1"/>
  <c r="BF17" i="1"/>
  <c r="BF16" i="1"/>
  <c r="BF15" i="1"/>
  <c r="BF13" i="1"/>
  <c r="BF12" i="1"/>
  <c r="BF11" i="1"/>
  <c r="BF10" i="1"/>
  <c r="BF8" i="1"/>
  <c r="BF7" i="1"/>
  <c r="BF6" i="1"/>
  <c r="BF5" i="1"/>
  <c r="AS72" i="1"/>
  <c r="AR72" i="1"/>
  <c r="AQ72" i="1"/>
  <c r="AP72" i="1"/>
  <c r="AO72" i="1"/>
  <c r="AN72" i="1"/>
  <c r="AU71" i="1"/>
  <c r="AS71" i="1"/>
  <c r="AR71" i="1"/>
  <c r="AQ71" i="1"/>
  <c r="AP71" i="1"/>
  <c r="AO71" i="1"/>
  <c r="AN71" i="1"/>
  <c r="AS70" i="1"/>
  <c r="AR70" i="1"/>
  <c r="AQ70" i="1"/>
  <c r="AP70" i="1"/>
  <c r="AO70" i="1"/>
  <c r="AN70" i="1"/>
  <c r="AU69" i="1"/>
  <c r="AS69" i="1"/>
  <c r="AR69" i="1"/>
  <c r="AQ69" i="1"/>
  <c r="AP69" i="1"/>
  <c r="AO69" i="1"/>
  <c r="AN69" i="1"/>
  <c r="AO66" i="1"/>
  <c r="AU64" i="1"/>
  <c r="AS64" i="1"/>
  <c r="AR64" i="1"/>
  <c r="AQ64" i="1"/>
  <c r="AP64" i="1"/>
  <c r="AO64" i="1"/>
  <c r="AN64" i="1"/>
  <c r="AT63" i="1"/>
  <c r="AT62" i="1"/>
  <c r="AT61" i="1"/>
  <c r="AT60" i="1"/>
  <c r="AU59" i="1"/>
  <c r="AS59" i="1"/>
  <c r="AR59" i="1"/>
  <c r="AQ59" i="1"/>
  <c r="AP59" i="1"/>
  <c r="AO59" i="1"/>
  <c r="AN59" i="1"/>
  <c r="AT58" i="1"/>
  <c r="AT57" i="1"/>
  <c r="AT56" i="1"/>
  <c r="AT55" i="1"/>
  <c r="AU54" i="1"/>
  <c r="AS54" i="1"/>
  <c r="AR54" i="1"/>
  <c r="AQ54" i="1"/>
  <c r="AP54" i="1"/>
  <c r="AO54" i="1"/>
  <c r="AN54" i="1"/>
  <c r="AT53" i="1"/>
  <c r="AT52" i="1"/>
  <c r="AT51" i="1"/>
  <c r="AT50" i="1"/>
  <c r="AU49" i="1"/>
  <c r="AS49" i="1"/>
  <c r="AR49" i="1"/>
  <c r="AQ49" i="1"/>
  <c r="AP49" i="1"/>
  <c r="AO49" i="1"/>
  <c r="AN49" i="1"/>
  <c r="AT48" i="1"/>
  <c r="AT47" i="1"/>
  <c r="AT46" i="1"/>
  <c r="AT45" i="1"/>
  <c r="AU9" i="1"/>
  <c r="AS9" i="1"/>
  <c r="AR9" i="1"/>
  <c r="AQ9" i="1"/>
  <c r="AP9" i="1"/>
  <c r="AO9" i="1"/>
  <c r="AN9" i="1"/>
  <c r="AG72" i="1"/>
  <c r="AF72" i="1"/>
  <c r="AE72" i="1"/>
  <c r="AD72" i="1"/>
  <c r="AC72" i="1"/>
  <c r="AB72" i="1"/>
  <c r="AI71" i="1"/>
  <c r="AG71" i="1"/>
  <c r="AF71" i="1"/>
  <c r="AE71" i="1"/>
  <c r="AD71" i="1"/>
  <c r="AC71" i="1"/>
  <c r="AB71" i="1"/>
  <c r="AG70" i="1"/>
  <c r="AF70" i="1"/>
  <c r="AE70" i="1"/>
  <c r="AD70" i="1"/>
  <c r="AC70" i="1"/>
  <c r="AB70" i="1"/>
  <c r="AI69" i="1"/>
  <c r="AG69" i="1"/>
  <c r="AF69" i="1"/>
  <c r="AE69" i="1"/>
  <c r="AD69" i="1"/>
  <c r="AC69" i="1"/>
  <c r="AB69" i="1"/>
  <c r="AC66" i="1"/>
  <c r="AI64" i="1"/>
  <c r="AG64" i="1"/>
  <c r="AF64" i="1"/>
  <c r="AE64" i="1"/>
  <c r="AD64" i="1"/>
  <c r="AC64" i="1"/>
  <c r="AB64" i="1"/>
  <c r="AH63" i="1"/>
  <c r="AH62" i="1"/>
  <c r="AH61" i="1"/>
  <c r="AH60" i="1"/>
  <c r="AI59" i="1"/>
  <c r="AG59" i="1"/>
  <c r="AF59" i="1"/>
  <c r="AE59" i="1"/>
  <c r="AD59" i="1"/>
  <c r="AC59" i="1"/>
  <c r="AB59" i="1"/>
  <c r="AH58" i="1"/>
  <c r="AH57" i="1"/>
  <c r="AH56" i="1"/>
  <c r="AH55" i="1"/>
  <c r="AI54" i="1"/>
  <c r="AG54" i="1"/>
  <c r="AF54" i="1"/>
  <c r="AE54" i="1"/>
  <c r="AD54" i="1"/>
  <c r="AC54" i="1"/>
  <c r="AB54" i="1"/>
  <c r="AH53" i="1"/>
  <c r="AH52" i="1"/>
  <c r="AH51" i="1"/>
  <c r="AH50" i="1"/>
  <c r="AI49" i="1"/>
  <c r="AG49" i="1"/>
  <c r="AF49" i="1"/>
  <c r="AE49" i="1"/>
  <c r="AD49" i="1"/>
  <c r="AC49" i="1"/>
  <c r="AB49" i="1"/>
  <c r="AH48" i="1"/>
  <c r="AH47" i="1"/>
  <c r="AH46" i="1"/>
  <c r="AH45" i="1"/>
  <c r="AI44" i="1"/>
  <c r="AG44" i="1"/>
  <c r="AF44" i="1"/>
  <c r="AE44" i="1"/>
  <c r="AD44" i="1"/>
  <c r="AC44" i="1"/>
  <c r="AB44" i="1"/>
  <c r="AH43" i="1"/>
  <c r="AH42" i="1"/>
  <c r="AH41" i="1"/>
  <c r="AH40" i="1"/>
  <c r="AI39" i="1"/>
  <c r="AG39" i="1"/>
  <c r="AF39" i="1"/>
  <c r="AE39" i="1"/>
  <c r="AD39" i="1"/>
  <c r="AC39" i="1"/>
  <c r="AB39" i="1"/>
  <c r="AH38" i="1"/>
  <c r="AH37" i="1"/>
  <c r="AH36" i="1"/>
  <c r="AH35" i="1"/>
  <c r="AI34" i="1"/>
  <c r="AH33" i="1"/>
  <c r="AH32" i="1"/>
  <c r="AH31" i="1"/>
  <c r="AH30" i="1"/>
  <c r="AI29" i="1"/>
  <c r="AH28" i="1"/>
  <c r="AH27" i="1"/>
  <c r="AH26" i="1"/>
  <c r="AH25" i="1"/>
  <c r="AI24" i="1"/>
  <c r="AH23" i="1"/>
  <c r="AH22" i="1"/>
  <c r="AH21" i="1"/>
  <c r="AH20" i="1"/>
  <c r="AI19" i="1"/>
  <c r="AH18" i="1"/>
  <c r="AH17" i="1"/>
  <c r="AH16" i="1"/>
  <c r="AH15" i="1"/>
  <c r="AI14" i="1"/>
  <c r="AG14" i="1"/>
  <c r="AF14" i="1"/>
  <c r="AE14" i="1"/>
  <c r="AD14" i="1"/>
  <c r="AC14" i="1"/>
  <c r="AB14" i="1"/>
  <c r="AH13" i="1"/>
  <c r="AH12" i="1"/>
  <c r="AH11" i="1"/>
  <c r="AH10" i="1"/>
  <c r="AI9" i="1"/>
  <c r="AG9" i="1"/>
  <c r="AF9" i="1"/>
  <c r="AE9" i="1"/>
  <c r="AD9" i="1"/>
  <c r="AC9" i="1"/>
  <c r="AB9" i="1"/>
  <c r="AH8" i="1"/>
  <c r="AH7" i="1"/>
  <c r="AH6" i="1"/>
  <c r="AH5" i="1"/>
  <c r="U72" i="1"/>
  <c r="T72" i="1"/>
  <c r="S72" i="1"/>
  <c r="R72" i="1"/>
  <c r="Q72" i="1"/>
  <c r="P72" i="1"/>
  <c r="W71" i="1"/>
  <c r="U71" i="1"/>
  <c r="T71" i="1"/>
  <c r="S71" i="1"/>
  <c r="R71" i="1"/>
  <c r="Q71" i="1"/>
  <c r="P71" i="1"/>
  <c r="U70" i="1"/>
  <c r="T70" i="1"/>
  <c r="S70" i="1"/>
  <c r="R70" i="1"/>
  <c r="Q70" i="1"/>
  <c r="P70" i="1"/>
  <c r="W69" i="1"/>
  <c r="U69" i="1"/>
  <c r="T69" i="1"/>
  <c r="S69" i="1"/>
  <c r="R69" i="1"/>
  <c r="Q69" i="1"/>
  <c r="P69" i="1"/>
  <c r="Q66" i="1"/>
  <c r="W64" i="1"/>
  <c r="U64" i="1"/>
  <c r="T64" i="1"/>
  <c r="S64" i="1"/>
  <c r="R64" i="1"/>
  <c r="Q64" i="1"/>
  <c r="P64" i="1"/>
  <c r="V63" i="1"/>
  <c r="V62" i="1"/>
  <c r="V61" i="1"/>
  <c r="V60" i="1"/>
  <c r="W59" i="1"/>
  <c r="U59" i="1"/>
  <c r="T59" i="1"/>
  <c r="S59" i="1"/>
  <c r="R59" i="1"/>
  <c r="Q59" i="1"/>
  <c r="P59" i="1"/>
  <c r="V58" i="1"/>
  <c r="V57" i="1"/>
  <c r="V56" i="1"/>
  <c r="V55" i="1"/>
  <c r="W54" i="1"/>
  <c r="U54" i="1"/>
  <c r="T54" i="1"/>
  <c r="S54" i="1"/>
  <c r="R54" i="1"/>
  <c r="Q54" i="1"/>
  <c r="P54" i="1"/>
  <c r="V53" i="1"/>
  <c r="V52" i="1"/>
  <c r="V51" i="1"/>
  <c r="V50" i="1"/>
  <c r="W49" i="1"/>
  <c r="U49" i="1"/>
  <c r="T49" i="1"/>
  <c r="S49" i="1"/>
  <c r="R49" i="1"/>
  <c r="Q49" i="1"/>
  <c r="P49" i="1"/>
  <c r="V48" i="1"/>
  <c r="V47" i="1"/>
  <c r="V46" i="1"/>
  <c r="V45" i="1"/>
  <c r="W44" i="1"/>
  <c r="U44" i="1"/>
  <c r="T44" i="1"/>
  <c r="S44" i="1"/>
  <c r="R44" i="1"/>
  <c r="Q44" i="1"/>
  <c r="P44" i="1"/>
  <c r="V43" i="1"/>
  <c r="V42" i="1"/>
  <c r="V41" i="1"/>
  <c r="V40" i="1"/>
  <c r="W39" i="1"/>
  <c r="U39" i="1"/>
  <c r="T39" i="1"/>
  <c r="S39" i="1"/>
  <c r="R39" i="1"/>
  <c r="Q39" i="1"/>
  <c r="P39" i="1"/>
  <c r="V38" i="1"/>
  <c r="V37" i="1"/>
  <c r="V36" i="1"/>
  <c r="V35" i="1"/>
  <c r="W34" i="1"/>
  <c r="U34" i="1"/>
  <c r="T34" i="1"/>
  <c r="S34" i="1"/>
  <c r="R34" i="1"/>
  <c r="Q34" i="1"/>
  <c r="P34" i="1"/>
  <c r="V33" i="1"/>
  <c r="V32" i="1"/>
  <c r="V31" i="1"/>
  <c r="V30" i="1"/>
  <c r="W29" i="1"/>
  <c r="U29" i="1"/>
  <c r="T29" i="1"/>
  <c r="S29" i="1"/>
  <c r="R29" i="1"/>
  <c r="Q29" i="1"/>
  <c r="P29" i="1"/>
  <c r="V28" i="1"/>
  <c r="V27" i="1"/>
  <c r="V26" i="1"/>
  <c r="V25" i="1"/>
  <c r="W24" i="1"/>
  <c r="U24" i="1"/>
  <c r="T24" i="1"/>
  <c r="S24" i="1"/>
  <c r="R24" i="1"/>
  <c r="Q24" i="1"/>
  <c r="P24" i="1"/>
  <c r="V23" i="1"/>
  <c r="V22" i="1"/>
  <c r="V21" i="1"/>
  <c r="V20" i="1"/>
  <c r="W19" i="1"/>
  <c r="U19" i="1"/>
  <c r="T19" i="1"/>
  <c r="S19" i="1"/>
  <c r="R19" i="1"/>
  <c r="Q19" i="1"/>
  <c r="P19" i="1"/>
  <c r="V18" i="1"/>
  <c r="V17" i="1"/>
  <c r="V16" i="1"/>
  <c r="V15" i="1"/>
  <c r="W14" i="1"/>
  <c r="U14" i="1"/>
  <c r="T14" i="1"/>
  <c r="S14" i="1"/>
  <c r="R14" i="1"/>
  <c r="Q14" i="1"/>
  <c r="P14" i="1"/>
  <c r="V13" i="1"/>
  <c r="V12" i="1"/>
  <c r="V11" i="1"/>
  <c r="V10" i="1"/>
  <c r="W9" i="1"/>
  <c r="U9" i="1"/>
  <c r="T9" i="1"/>
  <c r="S9" i="1"/>
  <c r="R9" i="1"/>
  <c r="Q9" i="1"/>
  <c r="P9" i="1"/>
  <c r="V8" i="1"/>
  <c r="V7" i="1"/>
  <c r="V6" i="1"/>
  <c r="V5" i="1"/>
  <c r="K71" i="1"/>
  <c r="K69" i="1"/>
  <c r="D70" i="1"/>
  <c r="E70" i="1"/>
  <c r="F70" i="1"/>
  <c r="G70" i="1"/>
  <c r="H70" i="1"/>
  <c r="I70" i="1"/>
  <c r="D71" i="1"/>
  <c r="E71" i="1"/>
  <c r="F71" i="1"/>
  <c r="G71" i="1"/>
  <c r="H71" i="1"/>
  <c r="I71" i="1"/>
  <c r="D72" i="1"/>
  <c r="E72" i="1"/>
  <c r="F72" i="1"/>
  <c r="G72" i="1"/>
  <c r="H72" i="1"/>
  <c r="I72" i="1"/>
  <c r="E69" i="1"/>
  <c r="F69" i="1"/>
  <c r="G69" i="1"/>
  <c r="H69" i="1"/>
  <c r="I69" i="1"/>
  <c r="D69" i="1"/>
  <c r="J63" i="1"/>
  <c r="J62" i="1"/>
  <c r="J61" i="1"/>
  <c r="J60" i="1"/>
  <c r="J58" i="1"/>
  <c r="J57" i="1"/>
  <c r="J56" i="1"/>
  <c r="J55" i="1"/>
  <c r="J53" i="1"/>
  <c r="J52" i="1"/>
  <c r="J51" i="1"/>
  <c r="J50" i="1"/>
  <c r="J48" i="1"/>
  <c r="J47" i="1"/>
  <c r="J46" i="1"/>
  <c r="J45" i="1"/>
  <c r="J43" i="1"/>
  <c r="J42" i="1"/>
  <c r="J41" i="1"/>
  <c r="J40" i="1"/>
  <c r="J38" i="1"/>
  <c r="J37" i="1"/>
  <c r="J36" i="1"/>
  <c r="J35" i="1"/>
  <c r="J28" i="1"/>
  <c r="J27" i="1"/>
  <c r="J26" i="1"/>
  <c r="J25" i="1"/>
  <c r="J23" i="1"/>
  <c r="J22" i="1"/>
  <c r="J21" i="1"/>
  <c r="J20" i="1"/>
  <c r="J18" i="1"/>
  <c r="J17" i="1"/>
  <c r="J16" i="1"/>
  <c r="J15" i="1"/>
  <c r="J13" i="1"/>
  <c r="J12" i="1"/>
  <c r="J11" i="1"/>
  <c r="J10" i="1"/>
  <c r="V29" i="1" l="1"/>
  <c r="CD64" i="1"/>
  <c r="CX73" i="1"/>
  <c r="DC73" i="1"/>
  <c r="DK73" i="1"/>
  <c r="DZ24" i="1"/>
  <c r="DZ44" i="1"/>
  <c r="DZ64" i="1"/>
  <c r="DT73" i="1"/>
  <c r="DX73" i="1"/>
  <c r="EL71" i="1"/>
  <c r="CB73" i="1"/>
  <c r="BB73" i="1"/>
  <c r="AQ73" i="1"/>
  <c r="AZ73" i="1"/>
  <c r="BD73" i="1"/>
  <c r="DV73" i="1"/>
  <c r="EA73" i="1"/>
  <c r="EI73" i="1"/>
  <c r="AD73" i="1"/>
  <c r="AI73" i="1"/>
  <c r="V9" i="1"/>
  <c r="BR24" i="1"/>
  <c r="BR44" i="1"/>
  <c r="BR64" i="1"/>
  <c r="BL73" i="1"/>
  <c r="BP73" i="1"/>
  <c r="BR72" i="1"/>
  <c r="CD59" i="1"/>
  <c r="CD71" i="1"/>
  <c r="CL73" i="1"/>
  <c r="CY73" i="1"/>
  <c r="DB70" i="1"/>
  <c r="DN24" i="1"/>
  <c r="DN44" i="1"/>
  <c r="DN64" i="1"/>
  <c r="DH73" i="1"/>
  <c r="DL73" i="1"/>
  <c r="DN72" i="1"/>
  <c r="EH73" i="1"/>
  <c r="AH14" i="1"/>
  <c r="AH34" i="1"/>
  <c r="AH54" i="1"/>
  <c r="AC73" i="1"/>
  <c r="AG73" i="1"/>
  <c r="AT9" i="1"/>
  <c r="AT49" i="1"/>
  <c r="AT70" i="1"/>
  <c r="BF24" i="1"/>
  <c r="BF44" i="1"/>
  <c r="BF64" i="1"/>
  <c r="BF72" i="1"/>
  <c r="BR71" i="1"/>
  <c r="EL9" i="1"/>
  <c r="EL29" i="1"/>
  <c r="EL70" i="1"/>
  <c r="V34" i="1"/>
  <c r="V54" i="1"/>
  <c r="R73" i="1"/>
  <c r="W73" i="1"/>
  <c r="Q73" i="1"/>
  <c r="U73" i="1"/>
  <c r="AN73" i="1"/>
  <c r="AR73" i="1"/>
  <c r="BN73" i="1"/>
  <c r="CJ73" i="1"/>
  <c r="DJ73" i="1"/>
  <c r="DO73" i="1"/>
  <c r="DZ9" i="1"/>
  <c r="DZ29" i="1"/>
  <c r="DZ49" i="1"/>
  <c r="DW73" i="1"/>
  <c r="DZ70" i="1"/>
  <c r="EL24" i="1"/>
  <c r="EL44" i="1"/>
  <c r="EF73" i="1"/>
  <c r="EJ73" i="1"/>
  <c r="EL72" i="1"/>
  <c r="V19" i="1"/>
  <c r="V24" i="1"/>
  <c r="V44" i="1"/>
  <c r="V64" i="1"/>
  <c r="P73" i="1"/>
  <c r="T73" i="1"/>
  <c r="V72" i="1"/>
  <c r="AH24" i="1"/>
  <c r="AH44" i="1"/>
  <c r="AH64" i="1"/>
  <c r="AB73" i="1"/>
  <c r="AF73" i="1"/>
  <c r="AH72" i="1"/>
  <c r="AT59" i="1"/>
  <c r="AT71" i="1"/>
  <c r="BF14" i="1"/>
  <c r="BF34" i="1"/>
  <c r="BF54" i="1"/>
  <c r="BG73" i="1"/>
  <c r="BA73" i="1"/>
  <c r="BE73" i="1"/>
  <c r="BR14" i="1"/>
  <c r="BR34" i="1"/>
  <c r="BR54" i="1"/>
  <c r="BS73" i="1"/>
  <c r="BM73" i="1"/>
  <c r="BQ73" i="1"/>
  <c r="CD54" i="1"/>
  <c r="BZ73" i="1"/>
  <c r="CE73" i="1"/>
  <c r="BY73" i="1"/>
  <c r="CC73" i="1"/>
  <c r="CM73" i="1"/>
  <c r="CP70" i="1"/>
  <c r="DB64" i="1"/>
  <c r="CV73" i="1"/>
  <c r="CZ73" i="1"/>
  <c r="DB72" i="1"/>
  <c r="DN19" i="1"/>
  <c r="DN39" i="1"/>
  <c r="DN59" i="1"/>
  <c r="DN71" i="1"/>
  <c r="DZ19" i="1"/>
  <c r="DZ39" i="1"/>
  <c r="DZ59" i="1"/>
  <c r="DZ71" i="1"/>
  <c r="EL14" i="1"/>
  <c r="EL34" i="1"/>
  <c r="EL54" i="1"/>
  <c r="EM73" i="1"/>
  <c r="EG73" i="1"/>
  <c r="EK73" i="1"/>
  <c r="V49" i="1"/>
  <c r="S73" i="1"/>
  <c r="V70" i="1"/>
  <c r="AH9" i="1"/>
  <c r="AH29" i="1"/>
  <c r="AH49" i="1"/>
  <c r="AE73" i="1"/>
  <c r="AH70" i="1"/>
  <c r="AT64" i="1"/>
  <c r="AT72" i="1"/>
  <c r="BF19" i="1"/>
  <c r="BF39" i="1"/>
  <c r="BF59" i="1"/>
  <c r="BF71" i="1"/>
  <c r="BR19" i="1"/>
  <c r="BR39" i="1"/>
  <c r="BR59" i="1"/>
  <c r="CK73" i="1"/>
  <c r="CO73" i="1"/>
  <c r="DZ72" i="1"/>
  <c r="EL19" i="1"/>
  <c r="EL39" i="1"/>
  <c r="EL59" i="1"/>
  <c r="V14" i="1"/>
  <c r="CD72" i="1"/>
  <c r="CP71" i="1"/>
  <c r="CW73" i="1"/>
  <c r="DA73" i="1"/>
  <c r="DN9" i="1"/>
  <c r="DN29" i="1"/>
  <c r="DN49" i="1"/>
  <c r="DN70" i="1"/>
  <c r="EL64" i="1"/>
  <c r="V39" i="1"/>
  <c r="V59" i="1"/>
  <c r="V71" i="1"/>
  <c r="AH19" i="1"/>
  <c r="AH39" i="1"/>
  <c r="AH59" i="1"/>
  <c r="AH71" i="1"/>
  <c r="AT54" i="1"/>
  <c r="AP73" i="1"/>
  <c r="AU73" i="1"/>
  <c r="AO73" i="1"/>
  <c r="AS73" i="1"/>
  <c r="BF9" i="1"/>
  <c r="BF29" i="1"/>
  <c r="BF49" i="1"/>
  <c r="BC73" i="1"/>
  <c r="BF70" i="1"/>
  <c r="BR9" i="1"/>
  <c r="BR29" i="1"/>
  <c r="BR49" i="1"/>
  <c r="BO73" i="1"/>
  <c r="BR70" i="1"/>
  <c r="CD49" i="1"/>
  <c r="CA73" i="1"/>
  <c r="CD70" i="1"/>
  <c r="CP64" i="1"/>
  <c r="CN73" i="1"/>
  <c r="CP72" i="1"/>
  <c r="DB59" i="1"/>
  <c r="DB71" i="1"/>
  <c r="DN14" i="1"/>
  <c r="DN34" i="1"/>
  <c r="DN54" i="1"/>
  <c r="DI73" i="1"/>
  <c r="DM73" i="1"/>
  <c r="DZ14" i="1"/>
  <c r="DZ34" i="1"/>
  <c r="DZ54" i="1"/>
  <c r="DU73" i="1"/>
  <c r="DY73" i="1"/>
  <c r="EL49" i="1"/>
  <c r="EL69" i="1"/>
  <c r="DZ69" i="1"/>
  <c r="DN69" i="1"/>
  <c r="DB69" i="1"/>
  <c r="CP69" i="1"/>
  <c r="CD69" i="1"/>
  <c r="BR69" i="1"/>
  <c r="BR73" i="1" s="1"/>
  <c r="BF69" i="1"/>
  <c r="AT69" i="1"/>
  <c r="AT73" i="1" s="1"/>
  <c r="AH69" i="1"/>
  <c r="AH73" i="1" s="1"/>
  <c r="V69" i="1"/>
  <c r="EL73" i="1" l="1"/>
  <c r="BF73" i="1"/>
  <c r="V73" i="1"/>
  <c r="DB73" i="1"/>
  <c r="DN73" i="1"/>
  <c r="CP73" i="1"/>
  <c r="CD73" i="1"/>
  <c r="DZ73" i="1"/>
  <c r="E66" i="1"/>
  <c r="EO10" i="1"/>
  <c r="EO15" i="1"/>
  <c r="EO20" i="1"/>
  <c r="EO25" i="1"/>
  <c r="EO30" i="1"/>
  <c r="EO35" i="1"/>
  <c r="EO40" i="1"/>
  <c r="EO45" i="1"/>
  <c r="EO50" i="1"/>
  <c r="EO55" i="1"/>
  <c r="EO60" i="1"/>
  <c r="EO5" i="1"/>
  <c r="J33" i="1" l="1"/>
  <c r="J32" i="1"/>
  <c r="J31" i="1"/>
  <c r="J30" i="1"/>
  <c r="J69" i="1" l="1"/>
  <c r="ER5" i="1" l="1"/>
  <c r="ES5" i="1"/>
  <c r="ET5" i="1"/>
  <c r="EU5" i="1"/>
  <c r="EV5" i="1"/>
  <c r="EW5" i="1"/>
  <c r="EY5" i="1"/>
  <c r="ER6" i="1"/>
  <c r="ES6" i="1"/>
  <c r="ET6" i="1"/>
  <c r="EU6" i="1"/>
  <c r="EV6" i="1"/>
  <c r="EW6" i="1"/>
  <c r="ER7" i="1"/>
  <c r="ES7" i="1"/>
  <c r="ET7" i="1"/>
  <c r="EU7" i="1"/>
  <c r="EV7" i="1"/>
  <c r="EW7" i="1"/>
  <c r="EY7" i="1"/>
  <c r="ER8" i="1"/>
  <c r="ES8" i="1"/>
  <c r="ET8" i="1"/>
  <c r="EU8" i="1"/>
  <c r="EV8" i="1"/>
  <c r="EW8" i="1"/>
  <c r="ER10" i="1"/>
  <c r="ES10" i="1"/>
  <c r="ET10" i="1"/>
  <c r="EU10" i="1"/>
  <c r="EV10" i="1"/>
  <c r="EW10" i="1"/>
  <c r="EY10" i="1"/>
  <c r="ER11" i="1"/>
  <c r="ES11" i="1"/>
  <c r="ET11" i="1"/>
  <c r="EU11" i="1"/>
  <c r="EV11" i="1"/>
  <c r="EW11" i="1"/>
  <c r="ER12" i="1"/>
  <c r="ES12" i="1"/>
  <c r="ET12" i="1"/>
  <c r="EU12" i="1"/>
  <c r="EV12" i="1"/>
  <c r="EW12" i="1"/>
  <c r="EY12" i="1"/>
  <c r="ER13" i="1"/>
  <c r="ES13" i="1"/>
  <c r="ET13" i="1"/>
  <c r="EU13" i="1"/>
  <c r="EV13" i="1"/>
  <c r="EW13" i="1"/>
  <c r="ER15" i="1"/>
  <c r="ES15" i="1"/>
  <c r="ET15" i="1"/>
  <c r="EU15" i="1"/>
  <c r="EV15" i="1"/>
  <c r="EW15" i="1"/>
  <c r="EY15" i="1"/>
  <c r="ER16" i="1"/>
  <c r="ES16" i="1"/>
  <c r="ET16" i="1"/>
  <c r="EU16" i="1"/>
  <c r="EV16" i="1"/>
  <c r="EW16" i="1"/>
  <c r="ER17" i="1"/>
  <c r="ES17" i="1"/>
  <c r="ET17" i="1"/>
  <c r="EU17" i="1"/>
  <c r="EV17" i="1"/>
  <c r="EW17" i="1"/>
  <c r="EY17" i="1"/>
  <c r="EY19" i="1" s="1"/>
  <c r="ER18" i="1"/>
  <c r="ES18" i="1"/>
  <c r="ET18" i="1"/>
  <c r="EU18" i="1"/>
  <c r="EV18" i="1"/>
  <c r="EW18" i="1"/>
  <c r="ER20" i="1"/>
  <c r="ES20" i="1"/>
  <c r="ET20" i="1"/>
  <c r="EU20" i="1"/>
  <c r="EV20" i="1"/>
  <c r="EW20" i="1"/>
  <c r="EY20" i="1"/>
  <c r="ER21" i="1"/>
  <c r="ES21" i="1"/>
  <c r="ET21" i="1"/>
  <c r="EU21" i="1"/>
  <c r="EV21" i="1"/>
  <c r="EW21" i="1"/>
  <c r="ER22" i="1"/>
  <c r="ES22" i="1"/>
  <c r="ET22" i="1"/>
  <c r="EU22" i="1"/>
  <c r="EV22" i="1"/>
  <c r="EW22" i="1"/>
  <c r="EY22" i="1"/>
  <c r="ER23" i="1"/>
  <c r="ES23" i="1"/>
  <c r="ET23" i="1"/>
  <c r="EU23" i="1"/>
  <c r="EV23" i="1"/>
  <c r="EW23" i="1"/>
  <c r="ER25" i="1"/>
  <c r="ES25" i="1"/>
  <c r="ET25" i="1"/>
  <c r="EU25" i="1"/>
  <c r="EV25" i="1"/>
  <c r="EW25" i="1"/>
  <c r="EY25" i="1"/>
  <c r="ER26" i="1"/>
  <c r="ES26" i="1"/>
  <c r="ET26" i="1"/>
  <c r="EU26" i="1"/>
  <c r="EV26" i="1"/>
  <c r="EW26" i="1"/>
  <c r="ER27" i="1"/>
  <c r="ES27" i="1"/>
  <c r="ET27" i="1"/>
  <c r="EU27" i="1"/>
  <c r="EV27" i="1"/>
  <c r="EW27" i="1"/>
  <c r="EY27" i="1"/>
  <c r="ER28" i="1"/>
  <c r="ES28" i="1"/>
  <c r="ET28" i="1"/>
  <c r="EU28" i="1"/>
  <c r="EV28" i="1"/>
  <c r="EW28" i="1"/>
  <c r="ER30" i="1"/>
  <c r="ES30" i="1"/>
  <c r="ET30" i="1"/>
  <c r="EU30" i="1"/>
  <c r="EV30" i="1"/>
  <c r="EW30" i="1"/>
  <c r="EY30" i="1"/>
  <c r="ER31" i="1"/>
  <c r="ES31" i="1"/>
  <c r="ET31" i="1"/>
  <c r="EU31" i="1"/>
  <c r="EV31" i="1"/>
  <c r="EW31" i="1"/>
  <c r="ER32" i="1"/>
  <c r="ES32" i="1"/>
  <c r="ET32" i="1"/>
  <c r="EU32" i="1"/>
  <c r="EV32" i="1"/>
  <c r="EW32" i="1"/>
  <c r="EY32" i="1"/>
  <c r="ER33" i="1"/>
  <c r="ES33" i="1"/>
  <c r="ET33" i="1"/>
  <c r="EU33" i="1"/>
  <c r="EV33" i="1"/>
  <c r="EW33" i="1"/>
  <c r="ER35" i="1"/>
  <c r="ES35" i="1"/>
  <c r="ET35" i="1"/>
  <c r="EU35" i="1"/>
  <c r="EV35" i="1"/>
  <c r="EW35" i="1"/>
  <c r="EY35" i="1"/>
  <c r="ER36" i="1"/>
  <c r="ES36" i="1"/>
  <c r="ET36" i="1"/>
  <c r="EU36" i="1"/>
  <c r="EV36" i="1"/>
  <c r="EW36" i="1"/>
  <c r="ER37" i="1"/>
  <c r="ES37" i="1"/>
  <c r="ET37" i="1"/>
  <c r="EU37" i="1"/>
  <c r="EV37" i="1"/>
  <c r="EW37" i="1"/>
  <c r="EY37" i="1"/>
  <c r="ER38" i="1"/>
  <c r="ES38" i="1"/>
  <c r="ET38" i="1"/>
  <c r="EU38" i="1"/>
  <c r="EV38" i="1"/>
  <c r="EW38" i="1"/>
  <c r="ER40" i="1"/>
  <c r="ES40" i="1"/>
  <c r="ET40" i="1"/>
  <c r="EU40" i="1"/>
  <c r="EV40" i="1"/>
  <c r="EW40" i="1"/>
  <c r="EY40" i="1"/>
  <c r="ER41" i="1"/>
  <c r="ES41" i="1"/>
  <c r="ET41" i="1"/>
  <c r="EU41" i="1"/>
  <c r="EV41" i="1"/>
  <c r="EW41" i="1"/>
  <c r="ER42" i="1"/>
  <c r="ES42" i="1"/>
  <c r="ET42" i="1"/>
  <c r="EU42" i="1"/>
  <c r="EV42" i="1"/>
  <c r="EW42" i="1"/>
  <c r="EY42" i="1"/>
  <c r="ER43" i="1"/>
  <c r="ES43" i="1"/>
  <c r="ET43" i="1"/>
  <c r="EU43" i="1"/>
  <c r="EV43" i="1"/>
  <c r="EW43" i="1"/>
  <c r="ER45" i="1"/>
  <c r="ES45" i="1"/>
  <c r="ET45" i="1"/>
  <c r="EU45" i="1"/>
  <c r="EV45" i="1"/>
  <c r="EW45" i="1"/>
  <c r="EY45" i="1"/>
  <c r="ER46" i="1"/>
  <c r="ES46" i="1"/>
  <c r="ET46" i="1"/>
  <c r="EU46" i="1"/>
  <c r="EV46" i="1"/>
  <c r="EW46" i="1"/>
  <c r="ER47" i="1"/>
  <c r="ES47" i="1"/>
  <c r="ET47" i="1"/>
  <c r="EU47" i="1"/>
  <c r="EV47" i="1"/>
  <c r="EW47" i="1"/>
  <c r="EY47" i="1"/>
  <c r="ER48" i="1"/>
  <c r="ES48" i="1"/>
  <c r="ET48" i="1"/>
  <c r="EU48" i="1"/>
  <c r="EV48" i="1"/>
  <c r="EW48" i="1"/>
  <c r="ER50" i="1"/>
  <c r="ES50" i="1"/>
  <c r="ET50" i="1"/>
  <c r="EU50" i="1"/>
  <c r="EV50" i="1"/>
  <c r="EW50" i="1"/>
  <c r="EY50" i="1"/>
  <c r="ER51" i="1"/>
  <c r="ES51" i="1"/>
  <c r="ET51" i="1"/>
  <c r="EU51" i="1"/>
  <c r="EV51" i="1"/>
  <c r="EW51" i="1"/>
  <c r="ER52" i="1"/>
  <c r="ES52" i="1"/>
  <c r="ET52" i="1"/>
  <c r="EU52" i="1"/>
  <c r="EV52" i="1"/>
  <c r="EW52" i="1"/>
  <c r="EY52" i="1"/>
  <c r="ER53" i="1"/>
  <c r="ES53" i="1"/>
  <c r="ET53" i="1"/>
  <c r="EU53" i="1"/>
  <c r="EV53" i="1"/>
  <c r="EW53" i="1"/>
  <c r="ER55" i="1"/>
  <c r="ES55" i="1"/>
  <c r="ET55" i="1"/>
  <c r="EU55" i="1"/>
  <c r="EV55" i="1"/>
  <c r="EW55" i="1"/>
  <c r="EY55" i="1"/>
  <c r="ER56" i="1"/>
  <c r="ES56" i="1"/>
  <c r="ET56" i="1"/>
  <c r="EU56" i="1"/>
  <c r="EV56" i="1"/>
  <c r="EW56" i="1"/>
  <c r="ER57" i="1"/>
  <c r="ES57" i="1"/>
  <c r="ET57" i="1"/>
  <c r="EU57" i="1"/>
  <c r="EV57" i="1"/>
  <c r="EW57" i="1"/>
  <c r="EY57" i="1"/>
  <c r="ER58" i="1"/>
  <c r="ES58" i="1"/>
  <c r="ET58" i="1"/>
  <c r="EU58" i="1"/>
  <c r="EV58" i="1"/>
  <c r="EW58" i="1"/>
  <c r="ER60" i="1"/>
  <c r="ES60" i="1"/>
  <c r="ET60" i="1"/>
  <c r="EU60" i="1"/>
  <c r="EV60" i="1"/>
  <c r="EW60" i="1"/>
  <c r="EY60" i="1"/>
  <c r="ER61" i="1"/>
  <c r="ES61" i="1"/>
  <c r="ET61" i="1"/>
  <c r="EU61" i="1"/>
  <c r="EV61" i="1"/>
  <c r="EW61" i="1"/>
  <c r="ER62" i="1"/>
  <c r="ES62" i="1"/>
  <c r="ET62" i="1"/>
  <c r="EU62" i="1"/>
  <c r="EV62" i="1"/>
  <c r="EW62" i="1"/>
  <c r="EY62" i="1"/>
  <c r="ER63" i="1"/>
  <c r="ES63" i="1"/>
  <c r="ET63" i="1"/>
  <c r="EU63" i="1"/>
  <c r="EV63" i="1"/>
  <c r="EW63" i="1"/>
  <c r="EY69" i="1" l="1"/>
  <c r="ET69" i="1"/>
  <c r="EY29" i="1"/>
  <c r="ES69" i="1"/>
  <c r="EW69" i="1"/>
  <c r="EY14" i="1"/>
  <c r="EU72" i="1"/>
  <c r="EY71" i="1"/>
  <c r="ET71" i="1"/>
  <c r="EV70" i="1"/>
  <c r="ER70" i="1"/>
  <c r="ET72" i="1"/>
  <c r="EW71" i="1"/>
  <c r="ES71" i="1"/>
  <c r="EU70" i="1"/>
  <c r="EY9" i="1"/>
  <c r="ER69" i="1"/>
  <c r="EW72" i="1"/>
  <c r="ES72" i="1"/>
  <c r="EV71" i="1"/>
  <c r="ER71" i="1"/>
  <c r="ET70" i="1"/>
  <c r="EV69" i="1"/>
  <c r="EU69" i="1"/>
  <c r="EV72" i="1"/>
  <c r="ER72" i="1"/>
  <c r="EU71" i="1"/>
  <c r="EW70" i="1"/>
  <c r="ES70" i="1"/>
  <c r="EY24" i="1"/>
  <c r="EU44" i="1"/>
  <c r="ES34" i="1"/>
  <c r="ET64" i="1"/>
  <c r="EY59" i="1"/>
  <c r="EX58" i="1"/>
  <c r="ET24" i="1"/>
  <c r="EX6" i="1"/>
  <c r="EY44" i="1"/>
  <c r="EY34" i="1"/>
  <c r="EV29" i="1"/>
  <c r="ER9" i="1"/>
  <c r="ES9" i="1"/>
  <c r="EW64" i="1"/>
  <c r="EV59" i="1"/>
  <c r="ER59" i="1"/>
  <c r="ES64" i="1"/>
  <c r="EX57" i="1"/>
  <c r="EX18" i="1"/>
  <c r="EU59" i="1"/>
  <c r="EW59" i="1"/>
  <c r="ES59" i="1"/>
  <c r="EW44" i="1"/>
  <c r="EW34" i="1"/>
  <c r="ET34" i="1"/>
  <c r="EW19" i="1"/>
  <c r="EX15" i="1"/>
  <c r="EY54" i="1"/>
  <c r="EW49" i="1"/>
  <c r="ET44" i="1"/>
  <c r="ES44" i="1"/>
  <c r="EY39" i="1"/>
  <c r="EU34" i="1"/>
  <c r="ES19" i="1"/>
  <c r="EX8" i="1"/>
  <c r="EX7" i="1"/>
  <c r="EW9" i="1"/>
  <c r="ER39" i="1"/>
  <c r="EU24" i="1"/>
  <c r="ES29" i="1"/>
  <c r="EW24" i="1"/>
  <c r="ES24" i="1"/>
  <c r="ER19" i="1"/>
  <c r="EX16" i="1"/>
  <c r="EV19" i="1"/>
  <c r="EY64" i="1"/>
  <c r="EX41" i="1"/>
  <c r="EX32" i="1"/>
  <c r="EX28" i="1"/>
  <c r="EX26" i="1"/>
  <c r="EX5" i="1"/>
  <c r="EX61" i="1"/>
  <c r="EU64" i="1"/>
  <c r="EX43" i="1"/>
  <c r="EV44" i="1"/>
  <c r="EX40" i="1"/>
  <c r="EX25" i="1"/>
  <c r="EX21" i="1"/>
  <c r="ET9" i="1"/>
  <c r="EX63" i="1"/>
  <c r="EV64" i="1"/>
  <c r="EX60" i="1"/>
  <c r="EX56" i="1"/>
  <c r="EX55" i="1"/>
  <c r="EX42" i="1"/>
  <c r="EX31" i="1"/>
  <c r="EW29" i="1"/>
  <c r="EX23" i="1"/>
  <c r="EV24" i="1"/>
  <c r="EX20" i="1"/>
  <c r="EU19" i="1"/>
  <c r="EX17" i="1"/>
  <c r="ET19" i="1"/>
  <c r="EU9" i="1"/>
  <c r="EX62" i="1"/>
  <c r="ET59" i="1"/>
  <c r="ES39" i="1"/>
  <c r="EX33" i="1"/>
  <c r="EV34" i="1"/>
  <c r="EX30" i="1"/>
  <c r="ER29" i="1"/>
  <c r="EU29" i="1"/>
  <c r="EX22" i="1"/>
  <c r="EV9" i="1"/>
  <c r="EU14" i="1"/>
  <c r="EX13" i="1"/>
  <c r="ET14" i="1"/>
  <c r="EX12" i="1"/>
  <c r="EW14" i="1"/>
  <c r="EV14" i="1"/>
  <c r="EX11" i="1"/>
  <c r="ES14" i="1"/>
  <c r="EU54" i="1"/>
  <c r="EX53" i="1"/>
  <c r="ET54" i="1"/>
  <c r="EX52" i="1"/>
  <c r="EW54" i="1"/>
  <c r="EV54" i="1"/>
  <c r="EX51" i="1"/>
  <c r="ES54" i="1"/>
  <c r="EX50" i="1"/>
  <c r="EY49" i="1"/>
  <c r="EV49" i="1"/>
  <c r="EU49" i="1"/>
  <c r="EX48" i="1"/>
  <c r="EX47" i="1"/>
  <c r="EX46" i="1"/>
  <c r="ET49" i="1"/>
  <c r="ES49" i="1"/>
  <c r="EX45" i="1"/>
  <c r="ER49" i="1"/>
  <c r="EW39" i="1"/>
  <c r="EX38" i="1"/>
  <c r="ET39" i="1"/>
  <c r="EX37" i="1"/>
  <c r="EV39" i="1"/>
  <c r="EX36" i="1"/>
  <c r="EX35" i="1"/>
  <c r="EX27" i="1"/>
  <c r="ET29" i="1"/>
  <c r="EX10" i="1"/>
  <c r="ER64" i="1"/>
  <c r="ER54" i="1"/>
  <c r="ER44" i="1"/>
  <c r="ER34" i="1"/>
  <c r="ER24" i="1"/>
  <c r="ER14" i="1"/>
  <c r="EU39" i="1"/>
  <c r="EX24" i="1" l="1"/>
  <c r="EX34" i="1"/>
  <c r="EX19" i="1"/>
  <c r="EX9" i="1"/>
  <c r="EX44" i="1"/>
  <c r="EX29" i="1"/>
  <c r="EX64" i="1"/>
  <c r="EX49" i="1"/>
  <c r="EX14" i="1"/>
  <c r="EX59" i="1"/>
  <c r="EX69" i="1"/>
  <c r="EX54" i="1"/>
  <c r="EX39" i="1"/>
  <c r="G73" i="1" l="1"/>
  <c r="J71" i="1"/>
  <c r="I73" i="1"/>
  <c r="E73" i="1"/>
  <c r="J70" i="1"/>
  <c r="H73" i="1"/>
  <c r="D73" i="1"/>
  <c r="F73" i="1"/>
  <c r="J72" i="1"/>
  <c r="EK2" i="4"/>
  <c r="DY2" i="4"/>
  <c r="DM2" i="4"/>
  <c r="DA2" i="4"/>
  <c r="CO2" i="4"/>
  <c r="CC2" i="4"/>
  <c r="BQ2" i="4"/>
  <c r="BE2" i="4"/>
  <c r="AS2" i="4"/>
  <c r="AG2" i="4"/>
  <c r="U2" i="4"/>
  <c r="EK8" i="4"/>
  <c r="EJ8" i="4"/>
  <c r="EI8" i="4"/>
  <c r="EH8" i="4"/>
  <c r="EG8" i="4"/>
  <c r="EF8" i="4"/>
  <c r="EM7" i="4"/>
  <c r="EK7" i="4"/>
  <c r="EJ7" i="4"/>
  <c r="EI7" i="4"/>
  <c r="EH7" i="4"/>
  <c r="EG7" i="4"/>
  <c r="EF7" i="4"/>
  <c r="EK6" i="4"/>
  <c r="EJ6" i="4"/>
  <c r="EI6" i="4"/>
  <c r="EH6" i="4"/>
  <c r="EG6" i="4"/>
  <c r="EK5" i="4"/>
  <c r="EJ5" i="4"/>
  <c r="EI5" i="4"/>
  <c r="EH5" i="4"/>
  <c r="EG5" i="4"/>
  <c r="EF5" i="4"/>
  <c r="DY8" i="4"/>
  <c r="DX8" i="4"/>
  <c r="DW8" i="4"/>
  <c r="DV8" i="4"/>
  <c r="DU8" i="4"/>
  <c r="EA7" i="4"/>
  <c r="DY7" i="4"/>
  <c r="DX7" i="4"/>
  <c r="DW7" i="4"/>
  <c r="DV7" i="4"/>
  <c r="DU7" i="4"/>
  <c r="DY6" i="4"/>
  <c r="DX6" i="4"/>
  <c r="DW6" i="4"/>
  <c r="DV6" i="4"/>
  <c r="DU6" i="4"/>
  <c r="DU5" i="4"/>
  <c r="DT5" i="4"/>
  <c r="DM8" i="4"/>
  <c r="DL8" i="4"/>
  <c r="DK8" i="4"/>
  <c r="DJ8" i="4"/>
  <c r="DI8" i="4"/>
  <c r="DO7" i="4"/>
  <c r="DM7" i="4"/>
  <c r="DL7" i="4"/>
  <c r="DK7" i="4"/>
  <c r="DJ7" i="4"/>
  <c r="DI7" i="4"/>
  <c r="DM6" i="4"/>
  <c r="DL6" i="4"/>
  <c r="DK6" i="4"/>
  <c r="DJ6" i="4"/>
  <c r="DI6" i="4"/>
  <c r="DI5" i="4"/>
  <c r="DH5" i="4"/>
  <c r="DA8" i="4"/>
  <c r="CZ8" i="4"/>
  <c r="CY8" i="4"/>
  <c r="CX8" i="4"/>
  <c r="CW8" i="4"/>
  <c r="DC7" i="4"/>
  <c r="DA7" i="4"/>
  <c r="CZ7" i="4"/>
  <c r="CY7" i="4"/>
  <c r="CX7" i="4"/>
  <c r="CW7" i="4"/>
  <c r="DA6" i="4"/>
  <c r="CZ6" i="4"/>
  <c r="CY6" i="4"/>
  <c r="CX6" i="4"/>
  <c r="CW6" i="4"/>
  <c r="CW5" i="4"/>
  <c r="CV5" i="4"/>
  <c r="CO8" i="4"/>
  <c r="CN8" i="4"/>
  <c r="CM8" i="4"/>
  <c r="CL8" i="4"/>
  <c r="CK8" i="4"/>
  <c r="CQ7" i="4"/>
  <c r="CO7" i="4"/>
  <c r="CN7" i="4"/>
  <c r="CM7" i="4"/>
  <c r="CL7" i="4"/>
  <c r="CK7" i="4"/>
  <c r="CO6" i="4"/>
  <c r="CN6" i="4"/>
  <c r="CM6" i="4"/>
  <c r="CL6" i="4"/>
  <c r="CK6" i="4"/>
  <c r="CK5" i="4"/>
  <c r="CJ5" i="4"/>
  <c r="CC8" i="4"/>
  <c r="CB8" i="4"/>
  <c r="CA8" i="4"/>
  <c r="BZ8" i="4"/>
  <c r="BY8" i="4"/>
  <c r="CE7" i="4"/>
  <c r="CC7" i="4"/>
  <c r="CB7" i="4"/>
  <c r="CA7" i="4"/>
  <c r="BZ7" i="4"/>
  <c r="BY7" i="4"/>
  <c r="CC6" i="4"/>
  <c r="CB6" i="4"/>
  <c r="CA6" i="4"/>
  <c r="BZ6" i="4"/>
  <c r="BY6" i="4"/>
  <c r="BX6" i="4"/>
  <c r="CC5" i="4"/>
  <c r="CB5" i="4"/>
  <c r="CA5" i="4"/>
  <c r="BZ5" i="4"/>
  <c r="BY5" i="4"/>
  <c r="BX5" i="4"/>
  <c r="BQ8" i="4"/>
  <c r="BP8" i="4"/>
  <c r="BO8" i="4"/>
  <c r="BN8" i="4"/>
  <c r="BM8" i="4"/>
  <c r="BS7" i="4"/>
  <c r="BQ7" i="4"/>
  <c r="BP7" i="4"/>
  <c r="BO7" i="4"/>
  <c r="BN7" i="4"/>
  <c r="BM7" i="4"/>
  <c r="BQ6" i="4"/>
  <c r="BP6" i="4"/>
  <c r="BO6" i="4"/>
  <c r="BN6" i="4"/>
  <c r="BM6" i="4"/>
  <c r="BM5" i="4"/>
  <c r="BL5" i="4"/>
  <c r="BE8" i="4"/>
  <c r="BD8" i="4"/>
  <c r="BC8" i="4"/>
  <c r="BB8" i="4"/>
  <c r="BA8" i="4"/>
  <c r="BG7" i="4"/>
  <c r="BE7" i="4"/>
  <c r="BD7" i="4"/>
  <c r="BC7" i="4"/>
  <c r="BB7" i="4"/>
  <c r="BA7" i="4"/>
  <c r="BE6" i="4"/>
  <c r="BD6" i="4"/>
  <c r="BC6" i="4"/>
  <c r="BB6" i="4"/>
  <c r="BA6" i="4"/>
  <c r="BA5" i="4"/>
  <c r="AZ5" i="4"/>
  <c r="AS8" i="4"/>
  <c r="AR8" i="4"/>
  <c r="AQ8" i="4"/>
  <c r="AP8" i="4"/>
  <c r="AO8" i="4"/>
  <c r="AU7" i="4"/>
  <c r="AS7" i="4"/>
  <c r="AR7" i="4"/>
  <c r="AQ7" i="4"/>
  <c r="AP7" i="4"/>
  <c r="AO7" i="4"/>
  <c r="AN7" i="4"/>
  <c r="AS6" i="4"/>
  <c r="AR6" i="4"/>
  <c r="AQ6" i="4"/>
  <c r="AP6" i="4"/>
  <c r="AO6" i="4"/>
  <c r="AU5" i="4"/>
  <c r="AS5" i="4"/>
  <c r="AR5" i="4"/>
  <c r="AQ5" i="4"/>
  <c r="AP5" i="4"/>
  <c r="AO5" i="4"/>
  <c r="AN5" i="4"/>
  <c r="AG8" i="4"/>
  <c r="AF8" i="4"/>
  <c r="AE8" i="4"/>
  <c r="AD8" i="4"/>
  <c r="AC8" i="4"/>
  <c r="AI7" i="4"/>
  <c r="AG7" i="4"/>
  <c r="AF7" i="4"/>
  <c r="AE7" i="4"/>
  <c r="AD7" i="4"/>
  <c r="AC7" i="4"/>
  <c r="AG6" i="4"/>
  <c r="AF6" i="4"/>
  <c r="AE6" i="4"/>
  <c r="AD6" i="4"/>
  <c r="AC6" i="4"/>
  <c r="AC5" i="4"/>
  <c r="AB5" i="4"/>
  <c r="U8" i="4"/>
  <c r="T8" i="4"/>
  <c r="S8" i="4"/>
  <c r="R8" i="4"/>
  <c r="Q8" i="4"/>
  <c r="W7" i="4"/>
  <c r="U7" i="4"/>
  <c r="T7" i="4"/>
  <c r="S7" i="4"/>
  <c r="R7" i="4"/>
  <c r="Q7" i="4"/>
  <c r="P7" i="4"/>
  <c r="U6" i="4"/>
  <c r="T6" i="4"/>
  <c r="S6" i="4"/>
  <c r="R6" i="4"/>
  <c r="Q6" i="4"/>
  <c r="W5" i="4"/>
  <c r="U5" i="4"/>
  <c r="T5" i="4"/>
  <c r="S5" i="4"/>
  <c r="R5" i="4"/>
  <c r="Q5" i="4"/>
  <c r="P5" i="4"/>
  <c r="K14" i="1"/>
  <c r="I14" i="1"/>
  <c r="H14" i="1"/>
  <c r="G14" i="1"/>
  <c r="F14" i="1"/>
  <c r="E14" i="1"/>
  <c r="D14" i="1"/>
  <c r="K59" i="1"/>
  <c r="I59" i="1"/>
  <c r="H59" i="1"/>
  <c r="G59" i="1"/>
  <c r="F59" i="1"/>
  <c r="E59" i="1"/>
  <c r="D59" i="1"/>
  <c r="K54" i="1"/>
  <c r="I54" i="1"/>
  <c r="H54" i="1"/>
  <c r="G54" i="1"/>
  <c r="F54" i="1"/>
  <c r="E54" i="1"/>
  <c r="D54" i="1"/>
  <c r="K49" i="1"/>
  <c r="I49" i="1"/>
  <c r="H49" i="1"/>
  <c r="G49" i="1"/>
  <c r="F49" i="1"/>
  <c r="E49" i="1"/>
  <c r="D49" i="1"/>
  <c r="I44" i="1"/>
  <c r="H44" i="1"/>
  <c r="G44" i="1"/>
  <c r="F44" i="1"/>
  <c r="E44" i="1"/>
  <c r="D44" i="1"/>
  <c r="K39" i="1"/>
  <c r="I39" i="1"/>
  <c r="H39" i="1"/>
  <c r="G39" i="1"/>
  <c r="F39" i="1"/>
  <c r="E39" i="1"/>
  <c r="D39" i="1"/>
  <c r="K34" i="1"/>
  <c r="I34" i="1"/>
  <c r="H34" i="1"/>
  <c r="G34" i="1"/>
  <c r="F34" i="1"/>
  <c r="E34" i="1"/>
  <c r="D34" i="1"/>
  <c r="K29" i="1"/>
  <c r="I29" i="1"/>
  <c r="H29" i="1"/>
  <c r="G29" i="1"/>
  <c r="F29" i="1"/>
  <c r="E29" i="1"/>
  <c r="D29" i="1"/>
  <c r="K19" i="1"/>
  <c r="I19" i="1"/>
  <c r="H19" i="1"/>
  <c r="G19" i="1"/>
  <c r="F19" i="1"/>
  <c r="E19" i="1"/>
  <c r="D19" i="1"/>
  <c r="DI9" i="4" l="1"/>
  <c r="CK9" i="4"/>
  <c r="BM9" i="4"/>
  <c r="AS9" i="4"/>
  <c r="AR9" i="4"/>
  <c r="AC9" i="4"/>
  <c r="U9" i="4"/>
  <c r="T9" i="4"/>
  <c r="Q9" i="4"/>
  <c r="J73" i="1"/>
  <c r="AD5" i="4"/>
  <c r="AD9" i="4" s="1"/>
  <c r="AI5" i="4"/>
  <c r="AI9" i="4" s="1"/>
  <c r="AN8" i="4"/>
  <c r="BC5" i="4"/>
  <c r="BC9" i="4" s="1"/>
  <c r="AZ6" i="4"/>
  <c r="BF6" i="4" s="1"/>
  <c r="BQ5" i="4"/>
  <c r="BQ9" i="4" s="1"/>
  <c r="BL7" i="4"/>
  <c r="BR7" i="4" s="1"/>
  <c r="CM5" i="4"/>
  <c r="CJ6" i="4"/>
  <c r="CX5" i="4"/>
  <c r="CX9" i="4" s="1"/>
  <c r="DC5" i="4"/>
  <c r="DC9" i="4" s="1"/>
  <c r="DK5" i="4"/>
  <c r="DK9" i="4" s="1"/>
  <c r="DH6" i="4"/>
  <c r="DY5" i="4"/>
  <c r="DY9" i="4" s="1"/>
  <c r="DT7" i="4"/>
  <c r="DZ7" i="4" s="1"/>
  <c r="DU9" i="4"/>
  <c r="P8" i="4"/>
  <c r="V8" i="4" s="1"/>
  <c r="AG5" i="4"/>
  <c r="AG9" i="4" s="1"/>
  <c r="AB7" i="4"/>
  <c r="AH7" i="4" s="1"/>
  <c r="AN6" i="4"/>
  <c r="BB5" i="4"/>
  <c r="BB9" i="4" s="1"/>
  <c r="BG5" i="4"/>
  <c r="BG9" i="4" s="1"/>
  <c r="BP5" i="4"/>
  <c r="BP9" i="4" s="1"/>
  <c r="BL8" i="4"/>
  <c r="BR8" i="4" s="1"/>
  <c r="BX7" i="4"/>
  <c r="CD7" i="4" s="1"/>
  <c r="CL5" i="4"/>
  <c r="CL9" i="4" s="1"/>
  <c r="CQ5" i="4"/>
  <c r="CQ9" i="4" s="1"/>
  <c r="DA5" i="4"/>
  <c r="DA9" i="4" s="1"/>
  <c r="CV7" i="4"/>
  <c r="DB7" i="4" s="1"/>
  <c r="DJ5" i="4"/>
  <c r="DJ9" i="4" s="1"/>
  <c r="DO5" i="4"/>
  <c r="DO9" i="4" s="1"/>
  <c r="DX5" i="4"/>
  <c r="DX9" i="4" s="1"/>
  <c r="DT8" i="4"/>
  <c r="DZ8" i="4" s="1"/>
  <c r="EF6" i="4"/>
  <c r="EF9" i="4" s="1"/>
  <c r="P6" i="4"/>
  <c r="V6" i="4" s="1"/>
  <c r="AF5" i="4"/>
  <c r="AF9" i="4" s="1"/>
  <c r="AB8" i="4"/>
  <c r="AH8" i="4" s="1"/>
  <c r="BE5" i="4"/>
  <c r="BE9" i="4" s="1"/>
  <c r="AZ7" i="4"/>
  <c r="BF7" i="4" s="1"/>
  <c r="BO5" i="4"/>
  <c r="BO9" i="4" s="1"/>
  <c r="BL6" i="4"/>
  <c r="BX8" i="4"/>
  <c r="CD8" i="4" s="1"/>
  <c r="CO5" i="4"/>
  <c r="CO9" i="4" s="1"/>
  <c r="CJ7" i="4"/>
  <c r="CZ5" i="4"/>
  <c r="CZ9" i="4" s="1"/>
  <c r="CV8" i="4"/>
  <c r="DB8" i="4" s="1"/>
  <c r="DM5" i="4"/>
  <c r="DH7" i="4"/>
  <c r="DN7" i="4" s="1"/>
  <c r="DW5" i="4"/>
  <c r="DW9" i="4" s="1"/>
  <c r="DT6" i="4"/>
  <c r="AE5" i="4"/>
  <c r="AB6" i="4"/>
  <c r="AH6" i="4" s="1"/>
  <c r="BD5" i="4"/>
  <c r="BD9" i="4" s="1"/>
  <c r="AZ8" i="4"/>
  <c r="BN5" i="4"/>
  <c r="BN9" i="4" s="1"/>
  <c r="BS5" i="4"/>
  <c r="BS9" i="4" s="1"/>
  <c r="CN5" i="4"/>
  <c r="CJ8" i="4"/>
  <c r="CY5" i="4"/>
  <c r="CY9" i="4" s="1"/>
  <c r="CV6" i="4"/>
  <c r="DB6" i="4" s="1"/>
  <c r="DL5" i="4"/>
  <c r="DH8" i="4"/>
  <c r="DV5" i="4"/>
  <c r="EA5" i="4"/>
  <c r="EA9" i="4" s="1"/>
  <c r="AO9" i="4"/>
  <c r="CW9" i="4"/>
  <c r="BA9" i="4"/>
  <c r="AP9" i="4"/>
  <c r="CE5" i="4"/>
  <c r="CC9" i="4"/>
  <c r="CB9" i="4"/>
  <c r="CD6" i="4"/>
  <c r="BY9" i="4"/>
  <c r="BZ9" i="4"/>
  <c r="EM5" i="4"/>
  <c r="EM9" i="4" s="1"/>
  <c r="EK9" i="4"/>
  <c r="EJ9" i="4"/>
  <c r="EG9" i="4"/>
  <c r="EL7" i="4"/>
  <c r="EL8" i="4"/>
  <c r="EI9" i="4"/>
  <c r="EH9" i="4"/>
  <c r="EL5" i="4"/>
  <c r="CA9" i="4"/>
  <c r="CD5" i="4"/>
  <c r="AT7" i="4"/>
  <c r="AQ9" i="4"/>
  <c r="AU9" i="4"/>
  <c r="AT5" i="4"/>
  <c r="V7" i="4"/>
  <c r="S9" i="4"/>
  <c r="W9" i="4"/>
  <c r="R9" i="4"/>
  <c r="V5" i="4"/>
  <c r="J29" i="1"/>
  <c r="J54" i="1"/>
  <c r="J39" i="1"/>
  <c r="J34" i="1"/>
  <c r="J59" i="1"/>
  <c r="J19" i="1"/>
  <c r="J49" i="1"/>
  <c r="J44" i="1"/>
  <c r="J14" i="1"/>
  <c r="EL6" i="4" l="1"/>
  <c r="EL9" i="4" s="1"/>
  <c r="CP7" i="4"/>
  <c r="CM9" i="4"/>
  <c r="BR6" i="4"/>
  <c r="K44" i="1"/>
  <c r="K73" i="1"/>
  <c r="DN6" i="4"/>
  <c r="DM9" i="4"/>
  <c r="DL9" i="4"/>
  <c r="DB5" i="4"/>
  <c r="DB9" i="4" s="1"/>
  <c r="CP6" i="4"/>
  <c r="CP5" i="4"/>
  <c r="BX9" i="4"/>
  <c r="BR5" i="4"/>
  <c r="BF8" i="4"/>
  <c r="BF5" i="4"/>
  <c r="AN9" i="4"/>
  <c r="AT8" i="4"/>
  <c r="AT6" i="4"/>
  <c r="AH5" i="4"/>
  <c r="AH9" i="4" s="1"/>
  <c r="DT9" i="4"/>
  <c r="DZ6" i="4"/>
  <c r="CP8" i="4"/>
  <c r="AZ9" i="4"/>
  <c r="DH9" i="4"/>
  <c r="DN8" i="4"/>
  <c r="DV9" i="4"/>
  <c r="CJ9" i="4"/>
  <c r="AB9" i="4"/>
  <c r="DN5" i="4"/>
  <c r="DZ5" i="4"/>
  <c r="CN9" i="4"/>
  <c r="AE9" i="4"/>
  <c r="CV9" i="4"/>
  <c r="P9" i="4"/>
  <c r="BL9" i="4"/>
  <c r="V9" i="4"/>
  <c r="CD9" i="4"/>
  <c r="CE9" i="4"/>
  <c r="BR9" i="4" l="1"/>
  <c r="DZ9" i="4"/>
  <c r="CP9" i="4"/>
  <c r="BF9" i="4"/>
  <c r="AT9" i="4"/>
  <c r="DN9" i="4"/>
  <c r="K64" i="1"/>
  <c r="I64" i="1"/>
  <c r="H64" i="1"/>
  <c r="G64" i="1"/>
  <c r="F64" i="1"/>
  <c r="E64" i="1"/>
  <c r="D64" i="1"/>
  <c r="J64" i="1" l="1"/>
  <c r="K24" i="1" l="1"/>
  <c r="I24" i="1"/>
  <c r="H24" i="1"/>
  <c r="G24" i="1"/>
  <c r="F24" i="1"/>
  <c r="E24" i="1"/>
  <c r="D24" i="1"/>
  <c r="J24" i="1" l="1"/>
  <c r="EY73" i="1" l="1"/>
  <c r="K9" i="1" l="1"/>
  <c r="I9" i="1"/>
  <c r="H9" i="1"/>
  <c r="G9" i="1"/>
  <c r="F9" i="1"/>
  <c r="E9" i="1"/>
  <c r="D9" i="1"/>
  <c r="J8" i="1"/>
  <c r="J7" i="1"/>
  <c r="J6" i="1"/>
  <c r="J5" i="1"/>
  <c r="EU73" i="1" l="1"/>
  <c r="EW73" i="1"/>
  <c r="ET73" i="1"/>
  <c r="ES73" i="1"/>
  <c r="EV73" i="1"/>
  <c r="EX70" i="1"/>
  <c r="EX72" i="1"/>
  <c r="EX71" i="1"/>
  <c r="ER73" i="1"/>
  <c r="J9" i="1"/>
  <c r="EX73" i="1" l="1"/>
  <c r="I2" i="4" l="1"/>
  <c r="D5" i="4"/>
  <c r="E5" i="4"/>
  <c r="F5" i="4"/>
  <c r="G5" i="4"/>
  <c r="H5" i="4"/>
  <c r="I5" i="4"/>
  <c r="K5" i="4"/>
  <c r="ES5" i="4"/>
  <c r="ET5" i="4"/>
  <c r="EU5" i="4"/>
  <c r="EV5" i="4"/>
  <c r="EW5" i="4"/>
  <c r="EX5" i="4"/>
  <c r="EZ5" i="4"/>
  <c r="D6" i="4"/>
  <c r="E6" i="4"/>
  <c r="F6" i="4"/>
  <c r="G6" i="4"/>
  <c r="H6" i="4"/>
  <c r="I6" i="4"/>
  <c r="ES6" i="4"/>
  <c r="ET6" i="4"/>
  <c r="EU6" i="4"/>
  <c r="EV6" i="4"/>
  <c r="EW6" i="4"/>
  <c r="EX6" i="4"/>
  <c r="D7" i="4"/>
  <c r="E7" i="4"/>
  <c r="F7" i="4"/>
  <c r="G7" i="4"/>
  <c r="H7" i="4"/>
  <c r="I7" i="4"/>
  <c r="K7" i="4"/>
  <c r="ES7" i="4"/>
  <c r="ET7" i="4"/>
  <c r="EU7" i="4"/>
  <c r="EV7" i="4"/>
  <c r="EW7" i="4"/>
  <c r="EX7" i="4"/>
  <c r="EZ7" i="4"/>
  <c r="D8" i="4"/>
  <c r="E8" i="4"/>
  <c r="F8" i="4"/>
  <c r="G8" i="4"/>
  <c r="H8" i="4"/>
  <c r="I8" i="4"/>
  <c r="ES8" i="4"/>
  <c r="ET8" i="4"/>
  <c r="EU8" i="4"/>
  <c r="EW8" i="4"/>
  <c r="EX8" i="4"/>
  <c r="K9" i="4" l="1"/>
  <c r="F9" i="4"/>
  <c r="H9" i="4"/>
  <c r="D9" i="4"/>
  <c r="I9" i="4"/>
  <c r="G9" i="4"/>
  <c r="E9" i="4"/>
  <c r="ET9" i="4"/>
  <c r="EX9" i="4"/>
  <c r="EV8" i="4"/>
  <c r="EZ9" i="4"/>
  <c r="J8" i="4"/>
  <c r="J6" i="4"/>
  <c r="EY7" i="4"/>
  <c r="EY5" i="4"/>
  <c r="J7" i="4"/>
  <c r="J5" i="4"/>
  <c r="EY6" i="4"/>
  <c r="EU9" i="4"/>
  <c r="EW9" i="4"/>
  <c r="ES9" i="4"/>
  <c r="EV9" i="4" l="1"/>
  <c r="EY8" i="4"/>
  <c r="EY9" i="4" s="1"/>
  <c r="J9" i="4"/>
  <c r="ET2" i="1"/>
  <c r="EX2" i="4" l="1"/>
</calcChain>
</file>

<file path=xl/sharedStrings.xml><?xml version="1.0" encoding="utf-8"?>
<sst xmlns="http://schemas.openxmlformats.org/spreadsheetml/2006/main" count="2171" uniqueCount="37">
  <si>
    <t>شهر</t>
  </si>
  <si>
    <t>بيان عدد السكان والأسر من واقع أخر مسح سكاني</t>
  </si>
  <si>
    <t>الفئات العمرية</t>
  </si>
  <si>
    <t>الجنسية</t>
  </si>
  <si>
    <t>الجنس</t>
  </si>
  <si>
    <t>أقل من سنة</t>
  </si>
  <si>
    <t>من 4:1</t>
  </si>
  <si>
    <t>من14:5</t>
  </si>
  <si>
    <t>من44:15</t>
  </si>
  <si>
    <t>من60:45</t>
  </si>
  <si>
    <t>أكثر من 60</t>
  </si>
  <si>
    <t>الإجمالي</t>
  </si>
  <si>
    <t>عدد الأسر</t>
  </si>
  <si>
    <t>ذكر</t>
  </si>
  <si>
    <t>سعودي</t>
  </si>
  <si>
    <t>أنثى</t>
  </si>
  <si>
    <t>غير</t>
  </si>
  <si>
    <t>المجموع</t>
  </si>
  <si>
    <t>مراكز</t>
  </si>
  <si>
    <t>المنطقة</t>
  </si>
  <si>
    <t>عام</t>
  </si>
  <si>
    <t>بيان عدد السكان والأسر المشمولين بالخدمة من واقع الملفات الصحية</t>
  </si>
  <si>
    <t>من 5:1</t>
  </si>
  <si>
    <t>محمد الزهراني</t>
  </si>
  <si>
    <t>الجامعة</t>
  </si>
  <si>
    <t>السليمانية</t>
  </si>
  <si>
    <t>المطار القديم</t>
  </si>
  <si>
    <t>الروابي</t>
  </si>
  <si>
    <t>قويزة</t>
  </si>
  <si>
    <t>الربيع والتوفيق</t>
  </si>
  <si>
    <t>الرغامة</t>
  </si>
  <si>
    <t>مراكز شرق جدة</t>
  </si>
  <si>
    <t>إجمالي مراكز شرق جدة</t>
  </si>
  <si>
    <t>شرق جدة</t>
  </si>
  <si>
    <t>ادارة الاحصاء</t>
  </si>
  <si>
    <t>الواحة</t>
  </si>
  <si>
    <t>2100+P15:U43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</si>
</sst>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;[Red]0"/>
  </numFmts>
  <fonts count="12" x14ac:knownFonts="1">
    <font>
      <sz val="10"/>
      <name val="Arial"/>
      <charset val="178"/>
    </font>
    <font>
      <b/>
      <sz val="12"/>
      <name val="Arial"/>
      <family val="2"/>
    </font>
    <font>
      <b/>
      <sz val="10"/>
      <color indexed="10"/>
      <name val="Arial"/>
      <family val="2"/>
    </font>
    <font>
      <b/>
      <sz val="10"/>
      <name val="Arial"/>
      <family val="2"/>
    </font>
    <font>
      <b/>
      <sz val="12"/>
      <color indexed="10"/>
      <name val="Arial"/>
      <family val="2"/>
    </font>
    <font>
      <b/>
      <sz val="10"/>
      <color indexed="12"/>
      <name val="Arial"/>
      <family val="2"/>
    </font>
    <font>
      <b/>
      <sz val="10"/>
      <color indexed="59"/>
      <name val="Arial"/>
      <family val="2"/>
    </font>
    <font>
      <b/>
      <sz val="12"/>
      <color indexed="12"/>
      <name val="Arial"/>
      <family val="2"/>
    </font>
    <font>
      <b/>
      <sz val="12"/>
      <color indexed="59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9"/>
      <name val="Arial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rgb="FF66FFFF"/>
        <bgColor indexed="64"/>
      </patternFill>
    </fill>
  </fills>
  <borders count="5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rgb="FF000000"/>
      </left>
      <right style="thick">
        <color rgb="FF000000"/>
      </right>
      <top style="thick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CCCCCC"/>
      </right>
      <top style="thick">
        <color rgb="FF000000"/>
      </top>
      <bottom style="medium">
        <color rgb="FF000000"/>
      </bottom>
      <diagonal/>
    </border>
    <border>
      <left style="thick">
        <color rgb="FF000000"/>
      </left>
      <right style="medium">
        <color rgb="FFCCCCCC"/>
      </right>
      <top style="thick">
        <color rgb="FF000000"/>
      </top>
      <bottom style="medium">
        <color rgb="FF000000"/>
      </bottom>
      <diagonal/>
    </border>
    <border>
      <left style="medium">
        <color rgb="FF000000"/>
      </left>
      <right style="thick">
        <color rgb="FF000000"/>
      </right>
      <top style="medium">
        <color rgb="FFCCCCCC"/>
      </top>
      <bottom style="thick">
        <color rgb="FF000000"/>
      </bottom>
      <diagonal/>
    </border>
    <border>
      <left style="medium">
        <color rgb="FF000000"/>
      </left>
      <right style="medium">
        <color rgb="FFCCCCCC"/>
      </right>
      <top style="medium">
        <color rgb="FFCCCCCC"/>
      </top>
      <bottom style="thick">
        <color rgb="FF000000"/>
      </bottom>
      <diagonal/>
    </border>
    <border>
      <left style="thick">
        <color rgb="FF000000"/>
      </left>
      <right style="medium">
        <color rgb="FFCCCCCC"/>
      </right>
      <top style="medium">
        <color rgb="FFCCCCCC"/>
      </top>
      <bottom style="thick">
        <color rgb="FF000000"/>
      </bottom>
      <diagonal/>
    </border>
    <border>
      <left style="medium">
        <color rgb="FF000000"/>
      </left>
      <right style="thick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thick">
        <color rgb="FF000000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medium">
        <color rgb="FF000000"/>
      </bottom>
      <diagonal/>
    </border>
    <border>
      <left style="thick">
        <color rgb="FF000000"/>
      </left>
      <right style="thick">
        <color rgb="FF000000"/>
      </right>
      <top style="medium">
        <color rgb="FFCCCCCC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thick">
        <color rgb="FF000000"/>
      </right>
      <top style="thick">
        <color rgb="FF000000"/>
      </top>
      <bottom style="medium">
        <color rgb="FFCCCCCC"/>
      </bottom>
      <diagonal/>
    </border>
  </borders>
  <cellStyleXfs count="1">
    <xf numFmtId="0" fontId="0" fillId="0" borderId="0"/>
  </cellStyleXfs>
  <cellXfs count="183">
    <xf numFmtId="0" fontId="0" fillId="0" borderId="0" xfId="0"/>
    <xf numFmtId="0" fontId="2" fillId="3" borderId="12" xfId="0" applyFont="1" applyFill="1" applyBorder="1" applyAlignment="1" applyProtection="1">
      <alignment readingOrder="2"/>
      <protection hidden="1"/>
    </xf>
    <xf numFmtId="0" fontId="3" fillId="0" borderId="0" xfId="0" applyFont="1" applyAlignment="1" applyProtection="1">
      <alignment readingOrder="2"/>
      <protection hidden="1"/>
    </xf>
    <xf numFmtId="0" fontId="3" fillId="5" borderId="16" xfId="0" applyFont="1" applyFill="1" applyBorder="1" applyAlignment="1">
      <alignment horizontal="center" vertical="center" readingOrder="2"/>
    </xf>
    <xf numFmtId="0" fontId="3" fillId="5" borderId="24" xfId="0" applyFont="1" applyFill="1" applyBorder="1" applyAlignment="1">
      <alignment horizontal="center" vertical="center" readingOrder="2"/>
    </xf>
    <xf numFmtId="0" fontId="3" fillId="5" borderId="12" xfId="0" applyFont="1" applyFill="1" applyBorder="1" applyAlignment="1">
      <alignment horizontal="center" vertical="center" readingOrder="2"/>
    </xf>
    <xf numFmtId="0" fontId="3" fillId="5" borderId="25" xfId="0" applyFont="1" applyFill="1" applyBorder="1" applyAlignment="1">
      <alignment horizontal="center" vertical="center" readingOrder="2"/>
    </xf>
    <xf numFmtId="0" fontId="3" fillId="5" borderId="26" xfId="0" applyFont="1" applyFill="1" applyBorder="1" applyAlignment="1">
      <alignment horizontal="center" vertical="center" readingOrder="2"/>
    </xf>
    <xf numFmtId="0" fontId="3" fillId="5" borderId="27" xfId="0" applyFont="1" applyFill="1" applyBorder="1" applyAlignment="1">
      <alignment horizontal="center" vertical="center" readingOrder="2"/>
    </xf>
    <xf numFmtId="0" fontId="1" fillId="5" borderId="1" xfId="0" applyFont="1" applyFill="1" applyBorder="1" applyAlignment="1">
      <alignment vertical="center" readingOrder="2"/>
    </xf>
    <xf numFmtId="0" fontId="7" fillId="5" borderId="4" xfId="0" applyFont="1" applyFill="1" applyBorder="1" applyAlignment="1">
      <alignment vertical="center" readingOrder="2"/>
    </xf>
    <xf numFmtId="0" fontId="1" fillId="5" borderId="5" xfId="0" applyFont="1" applyFill="1" applyBorder="1" applyAlignment="1">
      <alignment vertical="center" readingOrder="2"/>
    </xf>
    <xf numFmtId="0" fontId="7" fillId="5" borderId="8" xfId="0" applyFont="1" applyFill="1" applyBorder="1" applyAlignment="1">
      <alignment vertical="center" readingOrder="2"/>
    </xf>
    <xf numFmtId="0" fontId="4" fillId="5" borderId="13" xfId="0" applyFont="1" applyFill="1" applyBorder="1" applyAlignment="1">
      <alignment vertical="center" readingOrder="2"/>
    </xf>
    <xf numFmtId="0" fontId="8" fillId="5" borderId="13" xfId="0" applyFont="1" applyFill="1" applyBorder="1" applyAlignment="1">
      <alignment vertical="center" readingOrder="2"/>
    </xf>
    <xf numFmtId="0" fontId="3" fillId="5" borderId="13" xfId="0" applyFont="1" applyFill="1" applyBorder="1" applyAlignment="1">
      <alignment horizontal="center" vertical="center" readingOrder="2"/>
    </xf>
    <xf numFmtId="0" fontId="3" fillId="0" borderId="0" xfId="0" applyFont="1" applyAlignment="1">
      <alignment vertical="center" readingOrder="2"/>
    </xf>
    <xf numFmtId="0" fontId="3" fillId="6" borderId="0" xfId="0" applyFont="1" applyFill="1" applyAlignment="1">
      <alignment vertical="center" readingOrder="2"/>
    </xf>
    <xf numFmtId="0" fontId="1" fillId="5" borderId="0" xfId="0" applyFont="1" applyFill="1" applyAlignment="1">
      <alignment vertical="center" readingOrder="2"/>
    </xf>
    <xf numFmtId="0" fontId="1" fillId="6" borderId="0" xfId="0" applyFont="1" applyFill="1" applyAlignment="1">
      <alignment vertical="center" readingOrder="2"/>
    </xf>
    <xf numFmtId="0" fontId="1" fillId="0" borderId="0" xfId="0" applyFont="1" applyAlignment="1">
      <alignment vertical="center" readingOrder="2"/>
    </xf>
    <xf numFmtId="0" fontId="1" fillId="5" borderId="4" xfId="0" applyFont="1" applyFill="1" applyBorder="1" applyAlignment="1">
      <alignment vertical="center" readingOrder="2"/>
    </xf>
    <xf numFmtId="0" fontId="1" fillId="5" borderId="14" xfId="0" applyFont="1" applyFill="1" applyBorder="1" applyAlignment="1">
      <alignment vertical="center" readingOrder="2"/>
    </xf>
    <xf numFmtId="0" fontId="7" fillId="5" borderId="14" xfId="0" applyFont="1" applyFill="1" applyBorder="1" applyAlignment="1">
      <alignment vertical="center" readingOrder="2"/>
    </xf>
    <xf numFmtId="0" fontId="4" fillId="5" borderId="12" xfId="0" applyFont="1" applyFill="1" applyBorder="1" applyAlignment="1">
      <alignment vertical="center" readingOrder="2"/>
    </xf>
    <xf numFmtId="0" fontId="4" fillId="5" borderId="28" xfId="0" applyFont="1" applyFill="1" applyBorder="1" applyAlignment="1">
      <alignment vertical="center" readingOrder="2"/>
    </xf>
    <xf numFmtId="0" fontId="8" fillId="5" borderId="28" xfId="0" applyFont="1" applyFill="1" applyBorder="1" applyAlignment="1">
      <alignment vertical="center" readingOrder="2"/>
    </xf>
    <xf numFmtId="0" fontId="1" fillId="5" borderId="8" xfId="0" applyFont="1" applyFill="1" applyBorder="1" applyAlignment="1">
      <alignment vertical="center" readingOrder="2"/>
    </xf>
    <xf numFmtId="0" fontId="1" fillId="5" borderId="15" xfId="0" applyFont="1" applyFill="1" applyBorder="1" applyAlignment="1">
      <alignment vertical="center" readingOrder="2"/>
    </xf>
    <xf numFmtId="0" fontId="7" fillId="5" borderId="15" xfId="0" applyFont="1" applyFill="1" applyBorder="1" applyAlignment="1">
      <alignment vertical="center" readingOrder="2"/>
    </xf>
    <xf numFmtId="0" fontId="1" fillId="5" borderId="29" xfId="0" applyFont="1" applyFill="1" applyBorder="1" applyAlignment="1">
      <alignment vertical="center" readingOrder="2"/>
    </xf>
    <xf numFmtId="0" fontId="1" fillId="5" borderId="30" xfId="0" applyFont="1" applyFill="1" applyBorder="1" applyAlignment="1">
      <alignment vertical="center" readingOrder="2"/>
    </xf>
    <xf numFmtId="0" fontId="7" fillId="5" borderId="30" xfId="0" applyFont="1" applyFill="1" applyBorder="1" applyAlignment="1">
      <alignment vertical="center" readingOrder="2"/>
    </xf>
    <xf numFmtId="0" fontId="4" fillId="5" borderId="31" xfId="0" applyFont="1" applyFill="1" applyBorder="1" applyAlignment="1">
      <alignment vertical="center" readingOrder="2"/>
    </xf>
    <xf numFmtId="0" fontId="1" fillId="5" borderId="31" xfId="0" applyFont="1" applyFill="1" applyBorder="1" applyAlignment="1">
      <alignment vertical="center" readingOrder="2"/>
    </xf>
    <xf numFmtId="0" fontId="1" fillId="5" borderId="31" xfId="0" applyFont="1" applyFill="1" applyBorder="1" applyAlignment="1">
      <alignment horizontal="center" vertical="center" readingOrder="2"/>
    </xf>
    <xf numFmtId="0" fontId="4" fillId="5" borderId="31" xfId="0" applyFont="1" applyFill="1" applyBorder="1" applyAlignment="1">
      <alignment horizontal="center" vertical="center" readingOrder="2"/>
    </xf>
    <xf numFmtId="0" fontId="4" fillId="5" borderId="32" xfId="0" applyFont="1" applyFill="1" applyBorder="1" applyAlignment="1">
      <alignment vertical="center" readingOrder="2"/>
    </xf>
    <xf numFmtId="0" fontId="1" fillId="5" borderId="33" xfId="0" applyFont="1" applyFill="1" applyBorder="1" applyAlignment="1">
      <alignment vertical="center" readingOrder="2"/>
    </xf>
    <xf numFmtId="0" fontId="1" fillId="6" borderId="33" xfId="0" applyFont="1" applyFill="1" applyBorder="1" applyAlignment="1">
      <alignment vertical="center" readingOrder="2"/>
    </xf>
    <xf numFmtId="0" fontId="3" fillId="6" borderId="34" xfId="0" applyFont="1" applyFill="1" applyBorder="1" applyAlignment="1">
      <alignment vertical="center" readingOrder="2"/>
    </xf>
    <xf numFmtId="0" fontId="3" fillId="5" borderId="0" xfId="0" applyFont="1" applyFill="1" applyAlignment="1">
      <alignment vertical="center" readingOrder="2"/>
    </xf>
    <xf numFmtId="0" fontId="3" fillId="5" borderId="34" xfId="0" applyFont="1" applyFill="1" applyBorder="1" applyAlignment="1">
      <alignment vertical="center" readingOrder="2"/>
    </xf>
    <xf numFmtId="0" fontId="3" fillId="5" borderId="34" xfId="0" applyFont="1" applyFill="1" applyBorder="1" applyAlignment="1">
      <alignment horizontal="left" vertical="center" readingOrder="2"/>
    </xf>
    <xf numFmtId="0" fontId="1" fillId="5" borderId="21" xfId="0" applyFont="1" applyFill="1" applyBorder="1" applyAlignment="1">
      <alignment vertical="center" readingOrder="2"/>
    </xf>
    <xf numFmtId="0" fontId="3" fillId="5" borderId="20" xfId="0" applyFont="1" applyFill="1" applyBorder="1" applyAlignment="1">
      <alignment vertical="center" readingOrder="2"/>
    </xf>
    <xf numFmtId="0" fontId="1" fillId="5" borderId="22" xfId="0" applyFont="1" applyFill="1" applyBorder="1" applyAlignment="1">
      <alignment vertical="center" readingOrder="2"/>
    </xf>
    <xf numFmtId="0" fontId="4" fillId="5" borderId="36" xfId="0" applyFont="1" applyFill="1" applyBorder="1" applyAlignment="1">
      <alignment vertical="center" readingOrder="2"/>
    </xf>
    <xf numFmtId="0" fontId="1" fillId="5" borderId="36" xfId="0" applyFont="1" applyFill="1" applyBorder="1" applyAlignment="1">
      <alignment vertical="center" readingOrder="2"/>
    </xf>
    <xf numFmtId="0" fontId="1" fillId="5" borderId="36" xfId="0" applyFont="1" applyFill="1" applyBorder="1" applyAlignment="1">
      <alignment horizontal="center" vertical="center" readingOrder="2"/>
    </xf>
    <xf numFmtId="0" fontId="4" fillId="5" borderId="36" xfId="0" applyFont="1" applyFill="1" applyBorder="1" applyAlignment="1">
      <alignment horizontal="center" vertical="center" readingOrder="2"/>
    </xf>
    <xf numFmtId="0" fontId="4" fillId="5" borderId="23" xfId="0" applyFont="1" applyFill="1" applyBorder="1" applyAlignment="1">
      <alignment vertical="center" readingOrder="2"/>
    </xf>
    <xf numFmtId="0" fontId="3" fillId="5" borderId="35" xfId="0" applyFont="1" applyFill="1" applyBorder="1" applyAlignment="1">
      <alignment vertical="center" readingOrder="2"/>
    </xf>
    <xf numFmtId="0" fontId="3" fillId="2" borderId="14" xfId="0" applyFont="1" applyFill="1" applyBorder="1" applyAlignment="1" applyProtection="1">
      <alignment horizontal="center" readingOrder="2"/>
      <protection hidden="1"/>
    </xf>
    <xf numFmtId="0" fontId="9" fillId="0" borderId="0" xfId="0" applyFont="1" applyAlignment="1" applyProtection="1">
      <alignment readingOrder="2"/>
      <protection hidden="1"/>
    </xf>
    <xf numFmtId="0" fontId="3" fillId="2" borderId="15" xfId="0" applyFont="1" applyFill="1" applyBorder="1" applyAlignment="1" applyProtection="1">
      <alignment horizontal="center" readingOrder="2"/>
      <protection hidden="1"/>
    </xf>
    <xf numFmtId="0" fontId="3" fillId="2" borderId="16" xfId="0" applyFont="1" applyFill="1" applyBorder="1" applyAlignment="1" applyProtection="1">
      <alignment horizontal="center" readingOrder="2"/>
      <protection hidden="1"/>
    </xf>
    <xf numFmtId="0" fontId="3" fillId="2" borderId="4" xfId="0" applyFont="1" applyFill="1" applyBorder="1" applyAlignment="1" applyProtection="1">
      <alignment horizontal="center" readingOrder="2"/>
      <protection hidden="1"/>
    </xf>
    <xf numFmtId="0" fontId="3" fillId="2" borderId="12" xfId="0" applyFont="1" applyFill="1" applyBorder="1" applyAlignment="1" applyProtection="1">
      <alignment horizontal="center" readingOrder="2"/>
      <protection hidden="1"/>
    </xf>
    <xf numFmtId="0" fontId="3" fillId="2" borderId="8" xfId="0" applyFont="1" applyFill="1" applyBorder="1" applyAlignment="1" applyProtection="1">
      <alignment horizontal="center" readingOrder="2"/>
      <protection hidden="1"/>
    </xf>
    <xf numFmtId="0" fontId="9" fillId="2" borderId="0" xfId="0" applyFont="1" applyFill="1" applyAlignment="1" applyProtection="1">
      <alignment readingOrder="2"/>
      <protection hidden="1"/>
    </xf>
    <xf numFmtId="0" fontId="2" fillId="2" borderId="0" xfId="0" applyFont="1" applyFill="1" applyAlignment="1" applyProtection="1">
      <alignment readingOrder="2"/>
      <protection hidden="1"/>
    </xf>
    <xf numFmtId="0" fontId="3" fillId="2" borderId="0" xfId="0" applyFont="1" applyFill="1" applyAlignment="1" applyProtection="1">
      <alignment horizontal="center" readingOrder="2"/>
      <protection hidden="1"/>
    </xf>
    <xf numFmtId="0" fontId="2" fillId="2" borderId="0" xfId="0" applyFont="1" applyFill="1" applyAlignment="1" applyProtection="1">
      <alignment horizontal="center" readingOrder="2"/>
      <protection hidden="1"/>
    </xf>
    <xf numFmtId="0" fontId="3" fillId="2" borderId="0" xfId="0" applyFont="1" applyFill="1" applyAlignment="1" applyProtection="1">
      <alignment readingOrder="2"/>
      <protection hidden="1"/>
    </xf>
    <xf numFmtId="0" fontId="3" fillId="2" borderId="0" xfId="0" applyFont="1" applyFill="1" applyAlignment="1" applyProtection="1">
      <alignment horizontal="left" readingOrder="2"/>
      <protection hidden="1"/>
    </xf>
    <xf numFmtId="0" fontId="3" fillId="3" borderId="37" xfId="0" applyFont="1" applyFill="1" applyBorder="1" applyAlignment="1" applyProtection="1">
      <alignment horizontal="center" readingOrder="2"/>
      <protection hidden="1"/>
    </xf>
    <xf numFmtId="0" fontId="3" fillId="3" borderId="38" xfId="0" applyFont="1" applyFill="1" applyBorder="1" applyAlignment="1" applyProtection="1">
      <alignment horizontal="center" readingOrder="2"/>
      <protection hidden="1"/>
    </xf>
    <xf numFmtId="0" fontId="3" fillId="3" borderId="39" xfId="0" applyFont="1" applyFill="1" applyBorder="1" applyAlignment="1" applyProtection="1">
      <alignment horizontal="center" readingOrder="2"/>
      <protection hidden="1"/>
    </xf>
    <xf numFmtId="0" fontId="3" fillId="3" borderId="38" xfId="0" applyFont="1" applyFill="1" applyBorder="1" applyAlignment="1" applyProtection="1">
      <alignment horizontal="center" vertical="center" readingOrder="2"/>
      <protection hidden="1"/>
    </xf>
    <xf numFmtId="0" fontId="3" fillId="0" borderId="1" xfId="0" applyFont="1" applyBorder="1" applyAlignment="1" applyProtection="1">
      <alignment readingOrder="2"/>
      <protection hidden="1"/>
    </xf>
    <xf numFmtId="0" fontId="3" fillId="0" borderId="2" xfId="0" applyFont="1" applyBorder="1" applyAlignment="1" applyProtection="1">
      <alignment readingOrder="2"/>
      <protection hidden="1"/>
    </xf>
    <xf numFmtId="0" fontId="3" fillId="0" borderId="3" xfId="0" applyFont="1" applyBorder="1" applyAlignment="1" applyProtection="1">
      <alignment readingOrder="2"/>
      <protection hidden="1"/>
    </xf>
    <xf numFmtId="0" fontId="5" fillId="2" borderId="4" xfId="0" applyFont="1" applyFill="1" applyBorder="1" applyAlignment="1" applyProtection="1">
      <alignment readingOrder="2"/>
      <protection hidden="1"/>
    </xf>
    <xf numFmtId="0" fontId="5" fillId="2" borderId="14" xfId="0" applyFont="1" applyFill="1" applyBorder="1" applyAlignment="1" applyProtection="1">
      <alignment readingOrder="2"/>
      <protection hidden="1"/>
    </xf>
    <xf numFmtId="0" fontId="3" fillId="0" borderId="5" xfId="0" applyFont="1" applyBorder="1" applyAlignment="1" applyProtection="1">
      <alignment readingOrder="2"/>
      <protection hidden="1"/>
    </xf>
    <xf numFmtId="0" fontId="3" fillId="0" borderId="6" xfId="0" applyFont="1" applyBorder="1" applyAlignment="1" applyProtection="1">
      <alignment readingOrder="2"/>
      <protection hidden="1"/>
    </xf>
    <xf numFmtId="0" fontId="3" fillId="0" borderId="7" xfId="0" applyFont="1" applyBorder="1" applyAlignment="1" applyProtection="1">
      <alignment readingOrder="2"/>
      <protection hidden="1"/>
    </xf>
    <xf numFmtId="0" fontId="5" fillId="2" borderId="8" xfId="0" applyFont="1" applyFill="1" applyBorder="1" applyAlignment="1" applyProtection="1">
      <alignment readingOrder="2"/>
      <protection hidden="1"/>
    </xf>
    <xf numFmtId="0" fontId="5" fillId="2" borderId="15" xfId="0" applyFont="1" applyFill="1" applyBorder="1" applyAlignment="1" applyProtection="1">
      <alignment readingOrder="2"/>
      <protection hidden="1"/>
    </xf>
    <xf numFmtId="0" fontId="3" fillId="0" borderId="17" xfId="0" applyFont="1" applyBorder="1" applyAlignment="1" applyProtection="1">
      <alignment readingOrder="2"/>
      <protection hidden="1"/>
    </xf>
    <xf numFmtId="0" fontId="3" fillId="0" borderId="18" xfId="0" applyFont="1" applyBorder="1" applyAlignment="1" applyProtection="1">
      <alignment readingOrder="2"/>
      <protection hidden="1"/>
    </xf>
    <xf numFmtId="0" fontId="3" fillId="0" borderId="19" xfId="0" applyFont="1" applyBorder="1" applyAlignment="1" applyProtection="1">
      <alignment readingOrder="2"/>
      <protection hidden="1"/>
    </xf>
    <xf numFmtId="0" fontId="2" fillId="2" borderId="9" xfId="0" applyFont="1" applyFill="1" applyBorder="1" applyAlignment="1" applyProtection="1">
      <alignment readingOrder="2"/>
      <protection hidden="1"/>
    </xf>
    <xf numFmtId="0" fontId="2" fillId="2" borderId="10" xfId="0" applyFont="1" applyFill="1" applyBorder="1" applyAlignment="1" applyProtection="1">
      <alignment readingOrder="2"/>
      <protection hidden="1"/>
    </xf>
    <xf numFmtId="0" fontId="2" fillId="2" borderId="11" xfId="0" applyFont="1" applyFill="1" applyBorder="1" applyAlignment="1" applyProtection="1">
      <alignment readingOrder="2"/>
      <protection hidden="1"/>
    </xf>
    <xf numFmtId="0" fontId="5" fillId="2" borderId="13" xfId="0" applyFont="1" applyFill="1" applyBorder="1" applyAlignment="1" applyProtection="1">
      <alignment readingOrder="2"/>
      <protection hidden="1"/>
    </xf>
    <xf numFmtId="0" fontId="9" fillId="4" borderId="0" xfId="0" applyFont="1" applyFill="1" applyAlignment="1" applyProtection="1">
      <alignment readingOrder="2"/>
      <protection hidden="1"/>
    </xf>
    <xf numFmtId="0" fontId="3" fillId="3" borderId="24" xfId="0" applyFont="1" applyFill="1" applyBorder="1" applyAlignment="1" applyProtection="1">
      <alignment horizontal="center" readingOrder="2"/>
      <protection hidden="1"/>
    </xf>
    <xf numFmtId="0" fontId="5" fillId="3" borderId="14" xfId="0" applyFont="1" applyFill="1" applyBorder="1" applyAlignment="1" applyProtection="1">
      <alignment readingOrder="2"/>
      <protection hidden="1"/>
    </xf>
    <xf numFmtId="0" fontId="3" fillId="3" borderId="25" xfId="0" applyFont="1" applyFill="1" applyBorder="1" applyAlignment="1" applyProtection="1">
      <alignment horizontal="center" readingOrder="2"/>
      <protection hidden="1"/>
    </xf>
    <xf numFmtId="0" fontId="5" fillId="3" borderId="15" xfId="0" applyFont="1" applyFill="1" applyBorder="1" applyAlignment="1" applyProtection="1">
      <alignment readingOrder="2"/>
      <protection hidden="1"/>
    </xf>
    <xf numFmtId="0" fontId="3" fillId="3" borderId="16" xfId="0" applyFont="1" applyFill="1" applyBorder="1" applyAlignment="1" applyProtection="1">
      <alignment horizontal="center" readingOrder="2"/>
      <protection hidden="1"/>
    </xf>
    <xf numFmtId="0" fontId="3" fillId="3" borderId="26" xfId="0" applyFont="1" applyFill="1" applyBorder="1" applyAlignment="1" applyProtection="1">
      <alignment horizontal="center" readingOrder="2"/>
      <protection hidden="1"/>
    </xf>
    <xf numFmtId="0" fontId="5" fillId="3" borderId="30" xfId="0" applyFont="1" applyFill="1" applyBorder="1" applyAlignment="1" applyProtection="1">
      <alignment readingOrder="2"/>
      <protection hidden="1"/>
    </xf>
    <xf numFmtId="0" fontId="3" fillId="3" borderId="12" xfId="0" applyFont="1" applyFill="1" applyBorder="1" applyAlignment="1" applyProtection="1">
      <alignment horizontal="center" readingOrder="2"/>
      <protection hidden="1"/>
    </xf>
    <xf numFmtId="0" fontId="3" fillId="3" borderId="27" xfId="0" applyFont="1" applyFill="1" applyBorder="1" applyAlignment="1" applyProtection="1">
      <alignment horizontal="center" readingOrder="2"/>
      <protection hidden="1"/>
    </xf>
    <xf numFmtId="0" fontId="5" fillId="3" borderId="41" xfId="0" applyFont="1" applyFill="1" applyBorder="1" applyAlignment="1" applyProtection="1">
      <alignment readingOrder="2"/>
      <protection hidden="1"/>
    </xf>
    <xf numFmtId="0" fontId="2" fillId="3" borderId="9" xfId="0" applyFont="1" applyFill="1" applyBorder="1" applyAlignment="1" applyProtection="1">
      <alignment readingOrder="2"/>
      <protection hidden="1"/>
    </xf>
    <xf numFmtId="0" fontId="2" fillId="3" borderId="10" xfId="0" applyFont="1" applyFill="1" applyBorder="1" applyAlignment="1" applyProtection="1">
      <alignment readingOrder="2"/>
      <protection hidden="1"/>
    </xf>
    <xf numFmtId="0" fontId="2" fillId="3" borderId="40" xfId="0" applyFont="1" applyFill="1" applyBorder="1" applyAlignment="1" applyProtection="1">
      <alignment readingOrder="2"/>
      <protection hidden="1"/>
    </xf>
    <xf numFmtId="0" fontId="6" fillId="3" borderId="13" xfId="0" applyFont="1" applyFill="1" applyBorder="1" applyAlignment="1" applyProtection="1">
      <alignment readingOrder="2"/>
      <protection hidden="1"/>
    </xf>
    <xf numFmtId="0" fontId="2" fillId="3" borderId="15" xfId="0" applyFont="1" applyFill="1" applyBorder="1" applyAlignment="1" applyProtection="1">
      <alignment readingOrder="2"/>
      <protection hidden="1"/>
    </xf>
    <xf numFmtId="0" fontId="9" fillId="2" borderId="0" xfId="0" applyFont="1" applyFill="1" applyAlignment="1" applyProtection="1">
      <alignment vertical="center" readingOrder="2"/>
      <protection hidden="1"/>
    </xf>
    <xf numFmtId="0" fontId="9" fillId="0" borderId="0" xfId="0" applyFont="1" applyAlignment="1" applyProtection="1">
      <alignment vertical="center" readingOrder="2"/>
      <protection hidden="1"/>
    </xf>
    <xf numFmtId="0" fontId="3" fillId="2" borderId="16" xfId="0" applyFont="1" applyFill="1" applyBorder="1" applyAlignment="1" applyProtection="1">
      <alignment horizontal="center" vertical="center" readingOrder="2"/>
      <protection hidden="1"/>
    </xf>
    <xf numFmtId="0" fontId="3" fillId="2" borderId="12" xfId="0" applyFont="1" applyFill="1" applyBorder="1" applyAlignment="1" applyProtection="1">
      <alignment horizontal="center" vertical="center" readingOrder="2"/>
      <protection hidden="1"/>
    </xf>
    <xf numFmtId="0" fontId="3" fillId="2" borderId="22" xfId="0" applyFont="1" applyFill="1" applyBorder="1" applyAlignment="1" applyProtection="1">
      <alignment horizontal="center" readingOrder="2"/>
      <protection hidden="1"/>
    </xf>
    <xf numFmtId="0" fontId="3" fillId="2" borderId="23" xfId="0" applyFont="1" applyFill="1" applyBorder="1" applyAlignment="1" applyProtection="1">
      <alignment horizontal="center" readingOrder="2"/>
      <protection hidden="1"/>
    </xf>
    <xf numFmtId="0" fontId="9" fillId="2" borderId="20" xfId="0" applyFont="1" applyFill="1" applyBorder="1" applyAlignment="1" applyProtection="1">
      <alignment readingOrder="2"/>
      <protection hidden="1"/>
    </xf>
    <xf numFmtId="0" fontId="9" fillId="0" borderId="20" xfId="0" applyFont="1" applyBorder="1" applyAlignment="1" applyProtection="1">
      <alignment readingOrder="2"/>
      <protection hidden="1"/>
    </xf>
    <xf numFmtId="0" fontId="9" fillId="7" borderId="0" xfId="0" applyFont="1" applyFill="1" applyAlignment="1" applyProtection="1">
      <alignment readingOrder="2"/>
      <protection hidden="1"/>
    </xf>
    <xf numFmtId="0" fontId="9" fillId="7" borderId="20" xfId="0" applyFont="1" applyFill="1" applyBorder="1" applyAlignment="1" applyProtection="1">
      <alignment readingOrder="2"/>
      <protection hidden="1"/>
    </xf>
    <xf numFmtId="0" fontId="3" fillId="0" borderId="43" xfId="0" applyFont="1" applyBorder="1" applyAlignment="1">
      <alignment horizontal="center" vertical="center" wrapText="1" readingOrder="2"/>
    </xf>
    <xf numFmtId="0" fontId="3" fillId="0" borderId="44" xfId="0" applyFont="1" applyBorder="1" applyAlignment="1">
      <alignment horizontal="center" vertical="center" wrapText="1" readingOrder="2"/>
    </xf>
    <xf numFmtId="0" fontId="3" fillId="0" borderId="45" xfId="0" applyFont="1" applyBorder="1" applyAlignment="1">
      <alignment horizontal="center" vertical="center" wrapText="1" readingOrder="2"/>
    </xf>
    <xf numFmtId="0" fontId="5" fillId="2" borderId="4" xfId="0" applyFont="1" applyFill="1" applyBorder="1" applyAlignment="1" applyProtection="1">
      <alignment horizontal="center" vertical="center" readingOrder="2"/>
      <protection hidden="1"/>
    </xf>
    <xf numFmtId="0" fontId="3" fillId="0" borderId="46" xfId="0" applyFont="1" applyBorder="1" applyAlignment="1">
      <alignment horizontal="center" vertical="center" wrapText="1" readingOrder="2"/>
    </xf>
    <xf numFmtId="0" fontId="3" fillId="0" borderId="47" xfId="0" applyFont="1" applyBorder="1" applyAlignment="1">
      <alignment horizontal="center" vertical="center" wrapText="1" readingOrder="2"/>
    </xf>
    <xf numFmtId="0" fontId="3" fillId="0" borderId="48" xfId="0" applyFont="1" applyBorder="1" applyAlignment="1">
      <alignment horizontal="center" vertical="center" wrapText="1" readingOrder="2"/>
    </xf>
    <xf numFmtId="0" fontId="5" fillId="2" borderId="8" xfId="0" applyFont="1" applyFill="1" applyBorder="1" applyAlignment="1" applyProtection="1">
      <alignment horizontal="center" vertical="center" readingOrder="2"/>
      <protection hidden="1"/>
    </xf>
    <xf numFmtId="0" fontId="3" fillId="0" borderId="49" xfId="0" applyFont="1" applyBorder="1" applyAlignment="1">
      <alignment horizontal="center" vertical="center" wrapText="1" readingOrder="2"/>
    </xf>
    <xf numFmtId="0" fontId="3" fillId="0" borderId="50" xfId="0" applyFont="1" applyBorder="1" applyAlignment="1">
      <alignment horizontal="center" vertical="center" wrapText="1" readingOrder="2"/>
    </xf>
    <xf numFmtId="0" fontId="3" fillId="0" borderId="51" xfId="0" applyFont="1" applyBorder="1" applyAlignment="1">
      <alignment horizontal="center" vertical="center" wrapText="1" readingOrder="2"/>
    </xf>
    <xf numFmtId="0" fontId="2" fillId="2" borderId="9" xfId="0" applyFont="1" applyFill="1" applyBorder="1" applyAlignment="1" applyProtection="1">
      <alignment horizontal="center" vertical="center" readingOrder="2"/>
      <protection hidden="1"/>
    </xf>
    <xf numFmtId="0" fontId="2" fillId="2" borderId="10" xfId="0" applyFont="1" applyFill="1" applyBorder="1" applyAlignment="1" applyProtection="1">
      <alignment horizontal="center" vertical="center" readingOrder="2"/>
      <protection hidden="1"/>
    </xf>
    <xf numFmtId="0" fontId="2" fillId="2" borderId="11" xfId="0" applyFont="1" applyFill="1" applyBorder="1" applyAlignment="1" applyProtection="1">
      <alignment horizontal="center" vertical="center" readingOrder="2"/>
      <protection hidden="1"/>
    </xf>
    <xf numFmtId="0" fontId="2" fillId="3" borderId="12" xfId="0" applyFont="1" applyFill="1" applyBorder="1" applyAlignment="1" applyProtection="1">
      <alignment horizontal="center" vertical="center" readingOrder="2"/>
      <protection hidden="1"/>
    </xf>
    <xf numFmtId="0" fontId="3" fillId="0" borderId="54" xfId="0" applyFont="1" applyBorder="1" applyAlignment="1">
      <alignment horizontal="center" vertical="center" wrapText="1" readingOrder="2"/>
    </xf>
    <xf numFmtId="0" fontId="3" fillId="0" borderId="55" xfId="0" applyFont="1" applyBorder="1" applyAlignment="1">
      <alignment horizontal="center" vertical="center" wrapText="1" readingOrder="2"/>
    </xf>
    <xf numFmtId="0" fontId="3" fillId="0" borderId="56" xfId="0" applyFont="1" applyBorder="1" applyAlignment="1">
      <alignment horizontal="center" vertical="center" wrapText="1" readingOrder="2"/>
    </xf>
    <xf numFmtId="0" fontId="3" fillId="0" borderId="1" xfId="0" applyFont="1" applyBorder="1" applyAlignment="1" applyProtection="1">
      <alignment horizontal="center" vertical="center" readingOrder="2"/>
      <protection hidden="1"/>
    </xf>
    <xf numFmtId="0" fontId="3" fillId="0" borderId="2" xfId="0" applyFont="1" applyBorder="1" applyAlignment="1" applyProtection="1">
      <alignment horizontal="center" vertical="center" readingOrder="2"/>
      <protection hidden="1"/>
    </xf>
    <xf numFmtId="0" fontId="3" fillId="0" borderId="3" xfId="0" applyFont="1" applyBorder="1" applyAlignment="1" applyProtection="1">
      <alignment horizontal="center" vertical="center" readingOrder="2"/>
      <protection hidden="1"/>
    </xf>
    <xf numFmtId="0" fontId="3" fillId="0" borderId="5" xfId="0" applyFont="1" applyBorder="1" applyAlignment="1" applyProtection="1">
      <alignment horizontal="center" vertical="center" readingOrder="2"/>
      <protection hidden="1"/>
    </xf>
    <xf numFmtId="0" fontId="3" fillId="0" borderId="6" xfId="0" applyFont="1" applyBorder="1" applyAlignment="1" applyProtection="1">
      <alignment horizontal="center" vertical="center" readingOrder="2"/>
      <protection hidden="1"/>
    </xf>
    <xf numFmtId="0" fontId="3" fillId="0" borderId="7" xfId="0" applyFont="1" applyBorder="1" applyAlignment="1" applyProtection="1">
      <alignment horizontal="center" vertical="center" readingOrder="2"/>
      <protection hidden="1"/>
    </xf>
    <xf numFmtId="0" fontId="9" fillId="0" borderId="57" xfId="0" applyFont="1" applyBorder="1" applyAlignment="1">
      <alignment horizontal="center" vertical="center" wrapText="1" readingOrder="2"/>
    </xf>
    <xf numFmtId="0" fontId="3" fillId="3" borderId="22" xfId="0" applyFont="1" applyFill="1" applyBorder="1" applyAlignment="1" applyProtection="1">
      <alignment horizontal="center" readingOrder="2"/>
      <protection hidden="1"/>
    </xf>
    <xf numFmtId="0" fontId="3" fillId="3" borderId="36" xfId="0" applyFont="1" applyFill="1" applyBorder="1" applyAlignment="1" applyProtection="1">
      <alignment horizontal="center" readingOrder="2"/>
      <protection hidden="1"/>
    </xf>
    <xf numFmtId="0" fontId="3" fillId="3" borderId="23" xfId="0" applyFont="1" applyFill="1" applyBorder="1" applyAlignment="1" applyProtection="1">
      <alignment horizontal="center" readingOrder="2"/>
      <protection hidden="1"/>
    </xf>
    <xf numFmtId="0" fontId="3" fillId="3" borderId="16" xfId="0" applyFont="1" applyFill="1" applyBorder="1" applyAlignment="1" applyProtection="1">
      <alignment horizontal="center" vertical="center" readingOrder="2"/>
      <protection hidden="1"/>
    </xf>
    <xf numFmtId="0" fontId="3" fillId="3" borderId="12" xfId="0" applyFont="1" applyFill="1" applyBorder="1" applyAlignment="1" applyProtection="1">
      <alignment horizontal="center" vertical="center" readingOrder="2"/>
      <protection hidden="1"/>
    </xf>
    <xf numFmtId="0" fontId="3" fillId="0" borderId="16" xfId="0" applyFont="1" applyBorder="1" applyAlignment="1" applyProtection="1">
      <alignment horizontal="right" vertical="center" readingOrder="2"/>
      <protection hidden="1"/>
    </xf>
    <xf numFmtId="0" fontId="3" fillId="0" borderId="12" xfId="0" applyFont="1" applyBorder="1" applyAlignment="1" applyProtection="1">
      <alignment horizontal="right" vertical="center" readingOrder="2"/>
      <protection hidden="1"/>
    </xf>
    <xf numFmtId="164" fontId="2" fillId="3" borderId="16" xfId="0" applyNumberFormat="1" applyFont="1" applyFill="1" applyBorder="1" applyAlignment="1" applyProtection="1">
      <alignment horizontal="center" vertical="center" wrapText="1" readingOrder="2"/>
      <protection hidden="1"/>
    </xf>
    <xf numFmtId="164" fontId="2" fillId="3" borderId="42" xfId="0" applyNumberFormat="1" applyFont="1" applyFill="1" applyBorder="1" applyAlignment="1" applyProtection="1">
      <alignment horizontal="center" vertical="center" wrapText="1" readingOrder="2"/>
      <protection hidden="1"/>
    </xf>
    <xf numFmtId="164" fontId="2" fillId="3" borderId="12" xfId="0" applyNumberFormat="1" applyFont="1" applyFill="1" applyBorder="1" applyAlignment="1" applyProtection="1">
      <alignment horizontal="center" vertical="center" wrapText="1" readingOrder="2"/>
      <protection hidden="1"/>
    </xf>
    <xf numFmtId="0" fontId="2" fillId="2" borderId="20" xfId="0" applyFont="1" applyFill="1" applyBorder="1" applyAlignment="1" applyProtection="1">
      <alignment horizontal="center" readingOrder="2"/>
      <protection hidden="1"/>
    </xf>
    <xf numFmtId="0" fontId="10" fillId="2" borderId="20" xfId="0" applyFont="1" applyFill="1" applyBorder="1" applyAlignment="1" applyProtection="1">
      <alignment horizontal="center" readingOrder="2"/>
      <protection hidden="1"/>
    </xf>
    <xf numFmtId="0" fontId="3" fillId="2" borderId="22" xfId="0" applyFont="1" applyFill="1" applyBorder="1" applyAlignment="1" applyProtection="1">
      <alignment horizontal="center" readingOrder="2"/>
      <protection hidden="1"/>
    </xf>
    <xf numFmtId="0" fontId="3" fillId="2" borderId="23" xfId="0" applyFont="1" applyFill="1" applyBorder="1" applyAlignment="1" applyProtection="1">
      <alignment horizontal="center" readingOrder="2"/>
      <protection hidden="1"/>
    </xf>
    <xf numFmtId="0" fontId="3" fillId="2" borderId="16" xfId="0" applyFont="1" applyFill="1" applyBorder="1" applyAlignment="1" applyProtection="1">
      <alignment horizontal="center" vertical="center" readingOrder="2"/>
      <protection hidden="1"/>
    </xf>
    <xf numFmtId="0" fontId="3" fillId="2" borderId="12" xfId="0" applyFont="1" applyFill="1" applyBorder="1" applyAlignment="1" applyProtection="1">
      <alignment horizontal="center" vertical="center" readingOrder="2"/>
      <protection hidden="1"/>
    </xf>
    <xf numFmtId="0" fontId="3" fillId="3" borderId="35" xfId="0" applyFont="1" applyFill="1" applyBorder="1" applyAlignment="1" applyProtection="1">
      <alignment horizontal="center" vertical="center" readingOrder="2"/>
      <protection hidden="1"/>
    </xf>
    <xf numFmtId="0" fontId="3" fillId="3" borderId="31" xfId="0" applyFont="1" applyFill="1" applyBorder="1" applyAlignment="1" applyProtection="1">
      <alignment horizontal="center" vertical="center" readingOrder="2"/>
      <protection hidden="1"/>
    </xf>
    <xf numFmtId="0" fontId="3" fillId="3" borderId="32" xfId="0" applyFont="1" applyFill="1" applyBorder="1" applyAlignment="1" applyProtection="1">
      <alignment horizontal="center" vertical="center" readingOrder="2"/>
      <protection hidden="1"/>
    </xf>
    <xf numFmtId="0" fontId="3" fillId="3" borderId="21" xfId="0" applyFont="1" applyFill="1" applyBorder="1" applyAlignment="1" applyProtection="1">
      <alignment horizontal="center" vertical="center" readingOrder="2"/>
      <protection hidden="1"/>
    </xf>
    <xf numFmtId="0" fontId="3" fillId="3" borderId="20" xfId="0" applyFont="1" applyFill="1" applyBorder="1" applyAlignment="1" applyProtection="1">
      <alignment horizontal="center" vertical="center" readingOrder="2"/>
      <protection hidden="1"/>
    </xf>
    <xf numFmtId="0" fontId="3" fillId="3" borderId="28" xfId="0" applyFont="1" applyFill="1" applyBorder="1" applyAlignment="1" applyProtection="1">
      <alignment horizontal="center" vertical="center" readingOrder="2"/>
      <protection hidden="1"/>
    </xf>
    <xf numFmtId="0" fontId="3" fillId="0" borderId="52" xfId="0" applyFont="1" applyBorder="1" applyAlignment="1">
      <alignment horizontal="right" vertical="center" wrapText="1"/>
    </xf>
    <xf numFmtId="0" fontId="3" fillId="0" borderId="53" xfId="0" applyFont="1" applyBorder="1" applyAlignment="1">
      <alignment horizontal="right" vertical="center" wrapText="1"/>
    </xf>
    <xf numFmtId="0" fontId="11" fillId="2" borderId="20" xfId="0" applyFont="1" applyFill="1" applyBorder="1" applyAlignment="1" applyProtection="1">
      <alignment horizontal="center" readingOrder="2"/>
      <protection hidden="1"/>
    </xf>
    <xf numFmtId="0" fontId="3" fillId="5" borderId="20" xfId="0" applyFont="1" applyFill="1" applyBorder="1" applyAlignment="1">
      <alignment horizontal="center" vertical="center" readingOrder="2"/>
    </xf>
    <xf numFmtId="0" fontId="3" fillId="5" borderId="28" xfId="0" applyFont="1" applyFill="1" applyBorder="1" applyAlignment="1">
      <alignment horizontal="center" vertical="center" readingOrder="2"/>
    </xf>
    <xf numFmtId="0" fontId="1" fillId="5" borderId="16" xfId="0" applyFont="1" applyFill="1" applyBorder="1" applyAlignment="1">
      <alignment horizontal="right" vertical="center" readingOrder="2"/>
    </xf>
    <xf numFmtId="0" fontId="1" fillId="5" borderId="12" xfId="0" applyFont="1" applyFill="1" applyBorder="1" applyAlignment="1">
      <alignment horizontal="right" vertical="center" readingOrder="2"/>
    </xf>
    <xf numFmtId="0" fontId="3" fillId="5" borderId="16" xfId="0" applyFont="1" applyFill="1" applyBorder="1" applyAlignment="1">
      <alignment horizontal="center" vertical="center" readingOrder="2"/>
    </xf>
    <xf numFmtId="0" fontId="3" fillId="5" borderId="12" xfId="0" applyFont="1" applyFill="1" applyBorder="1" applyAlignment="1">
      <alignment vertical="center" readingOrder="2"/>
    </xf>
    <xf numFmtId="164" fontId="4" fillId="5" borderId="16" xfId="0" applyNumberFormat="1" applyFont="1" applyFill="1" applyBorder="1" applyAlignment="1">
      <alignment horizontal="center" vertical="center" wrapText="1" readingOrder="2"/>
    </xf>
    <xf numFmtId="164" fontId="4" fillId="5" borderId="42" xfId="0" applyNumberFormat="1" applyFont="1" applyFill="1" applyBorder="1" applyAlignment="1">
      <alignment horizontal="center" vertical="center" wrapText="1" readingOrder="2"/>
    </xf>
    <xf numFmtId="164" fontId="4" fillId="5" borderId="12" xfId="0" applyNumberFormat="1" applyFont="1" applyFill="1" applyBorder="1" applyAlignment="1">
      <alignment horizontal="center" vertical="center" wrapText="1" readingOrder="2"/>
    </xf>
    <xf numFmtId="0" fontId="3" fillId="5" borderId="22" xfId="0" applyFont="1" applyFill="1" applyBorder="1" applyAlignment="1">
      <alignment horizontal="center" vertical="center" readingOrder="2"/>
    </xf>
    <xf numFmtId="0" fontId="3" fillId="5" borderId="36" xfId="0" applyFont="1" applyFill="1" applyBorder="1" applyAlignment="1">
      <alignment horizontal="center" vertical="center" readingOrder="2"/>
    </xf>
    <xf numFmtId="0" fontId="1" fillId="5" borderId="16" xfId="0" applyFont="1" applyFill="1" applyBorder="1" applyAlignment="1">
      <alignment horizontal="center" vertical="center" readingOrder="2"/>
    </xf>
    <xf numFmtId="0" fontId="1" fillId="5" borderId="12" xfId="0" applyFont="1" applyFill="1" applyBorder="1" applyAlignment="1">
      <alignment vertical="center" readingOrder="2"/>
    </xf>
    <xf numFmtId="0" fontId="3" fillId="5" borderId="35" xfId="0" applyFont="1" applyFill="1" applyBorder="1" applyAlignment="1">
      <alignment horizontal="center" vertical="center" readingOrder="2"/>
    </xf>
    <xf numFmtId="0" fontId="3" fillId="5" borderId="31" xfId="0" applyFont="1" applyFill="1" applyBorder="1" applyAlignment="1">
      <alignment horizontal="center" vertical="center" readingOrder="2"/>
    </xf>
    <xf numFmtId="0" fontId="3" fillId="5" borderId="32" xfId="0" applyFont="1" applyFill="1" applyBorder="1" applyAlignment="1">
      <alignment horizontal="center" vertical="center" readingOrder="2"/>
    </xf>
    <xf numFmtId="0" fontId="3" fillId="5" borderId="42" xfId="0" applyFont="1" applyFill="1" applyBorder="1" applyAlignment="1">
      <alignment vertical="center" readingOrder="2"/>
    </xf>
    <xf numFmtId="0" fontId="1" fillId="5" borderId="14" xfId="0" applyFont="1" applyFill="1" applyBorder="1" applyAlignment="1">
      <alignment horizontal="right" vertical="center" readingOrder="2"/>
    </xf>
    <xf numFmtId="0" fontId="1" fillId="5" borderId="15" xfId="0" applyFont="1" applyFill="1" applyBorder="1" applyAlignment="1">
      <alignment horizontal="right" vertical="center" readingOrder="2"/>
    </xf>
    <xf numFmtId="0" fontId="1" fillId="5" borderId="30" xfId="0" applyFont="1" applyFill="1" applyBorder="1" applyAlignment="1">
      <alignment horizontal="right" vertical="center" readingOrder="2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66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Z79"/>
  <sheetViews>
    <sheetView rightToLeft="1" tabSelected="1" topLeftCell="BV1" zoomScaleNormal="100" workbookViewId="0">
      <selection activeCell="CV5" sqref="CV5:DC56"/>
    </sheetView>
  </sheetViews>
  <sheetFormatPr defaultColWidth="9.140625" defaultRowHeight="12.75" x14ac:dyDescent="0.2"/>
  <cols>
    <col min="1" max="1" width="8" style="54" customWidth="1"/>
    <col min="2" max="2" width="6.5703125" style="54" customWidth="1"/>
    <col min="3" max="3" width="6.42578125" style="54" customWidth="1"/>
    <col min="4" max="11" width="8" style="54" customWidth="1"/>
    <col min="12" max="12" width="3.5703125" style="54" customWidth="1"/>
    <col min="13" max="13" width="8" style="54" customWidth="1"/>
    <col min="14" max="14" width="6.5703125" style="54" customWidth="1"/>
    <col min="15" max="15" width="6.42578125" style="54" customWidth="1"/>
    <col min="16" max="16" width="8" style="54" customWidth="1"/>
    <col min="17" max="17" width="7.85546875" style="54" customWidth="1"/>
    <col min="18" max="19" width="8.28515625" style="54" customWidth="1"/>
    <col min="20" max="21" width="8.5703125" style="54" customWidth="1"/>
    <col min="22" max="22" width="9.28515625" style="54" customWidth="1"/>
    <col min="23" max="23" width="8.7109375" style="54" customWidth="1"/>
    <col min="24" max="24" width="2.7109375" style="54" customWidth="1"/>
    <col min="25" max="25" width="8" style="54" customWidth="1"/>
    <col min="26" max="26" width="6.5703125" style="54" customWidth="1"/>
    <col min="27" max="27" width="6.42578125" style="54" customWidth="1"/>
    <col min="28" max="28" width="8" style="54" customWidth="1"/>
    <col min="29" max="29" width="7.85546875" style="54" customWidth="1"/>
    <col min="30" max="30" width="9" style="54" customWidth="1"/>
    <col min="31" max="31" width="8.28515625" style="54" customWidth="1"/>
    <col min="32" max="33" width="8.5703125" style="54" customWidth="1"/>
    <col min="34" max="34" width="9.28515625" style="54" customWidth="1"/>
    <col min="35" max="35" width="8.7109375" style="54" customWidth="1"/>
    <col min="36" max="36" width="2.7109375" style="54" customWidth="1"/>
    <col min="37" max="37" width="8" style="54" customWidth="1"/>
    <col min="38" max="38" width="6.5703125" style="54" customWidth="1"/>
    <col min="39" max="39" width="6.42578125" style="54" customWidth="1"/>
    <col min="40" max="40" width="8" style="54" customWidth="1"/>
    <col min="41" max="41" width="7.85546875" style="54" customWidth="1"/>
    <col min="42" max="42" width="9" style="54" customWidth="1"/>
    <col min="43" max="43" width="8.28515625" style="54" customWidth="1"/>
    <col min="44" max="45" width="8.5703125" style="54" customWidth="1"/>
    <col min="46" max="46" width="9.28515625" style="54" customWidth="1"/>
    <col min="47" max="47" width="8.7109375" style="54" customWidth="1"/>
    <col min="48" max="48" width="2.7109375" style="54" customWidth="1"/>
    <col min="49" max="49" width="8" style="54" customWidth="1"/>
    <col min="50" max="50" width="6.5703125" style="54" customWidth="1"/>
    <col min="51" max="51" width="6.42578125" style="54" customWidth="1"/>
    <col min="52" max="52" width="8" style="54" customWidth="1"/>
    <col min="53" max="55" width="7.85546875" style="54" customWidth="1"/>
    <col min="56" max="57" width="8.5703125" style="54" customWidth="1"/>
    <col min="58" max="58" width="9.28515625" style="54" customWidth="1"/>
    <col min="59" max="59" width="8.7109375" style="54" customWidth="1"/>
    <col min="60" max="60" width="2.7109375" style="54" customWidth="1"/>
    <col min="61" max="61" width="8" style="54" customWidth="1"/>
    <col min="62" max="62" width="6.5703125" style="54" customWidth="1"/>
    <col min="63" max="63" width="6.42578125" style="54" customWidth="1"/>
    <col min="64" max="64" width="8" style="54" customWidth="1"/>
    <col min="65" max="66" width="7.85546875" style="54" customWidth="1"/>
    <col min="67" max="67" width="8.28515625" style="54" customWidth="1"/>
    <col min="68" max="69" width="8.5703125" style="54" customWidth="1"/>
    <col min="70" max="70" width="9.28515625" style="54" customWidth="1"/>
    <col min="71" max="71" width="10.28515625" style="54" customWidth="1"/>
    <col min="72" max="72" width="2.7109375" style="54" customWidth="1"/>
    <col min="73" max="73" width="8" style="54" customWidth="1"/>
    <col min="74" max="74" width="6.5703125" style="54" customWidth="1"/>
    <col min="75" max="75" width="6.42578125" style="54" customWidth="1"/>
    <col min="76" max="76" width="8" style="54" customWidth="1"/>
    <col min="77" max="77" width="7.85546875" style="54" customWidth="1"/>
    <col min="78" max="78" width="8" style="54" customWidth="1"/>
    <col min="79" max="79" width="8.28515625" style="54" customWidth="1"/>
    <col min="80" max="81" width="8.5703125" style="54" customWidth="1"/>
    <col min="82" max="82" width="9.28515625" style="54" customWidth="1"/>
    <col min="83" max="83" width="8.7109375" style="54" customWidth="1"/>
    <col min="84" max="84" width="2.7109375" style="54" customWidth="1"/>
    <col min="85" max="85" width="8" style="54" customWidth="1"/>
    <col min="86" max="86" width="6.5703125" style="54" customWidth="1"/>
    <col min="87" max="87" width="6.42578125" style="54" customWidth="1"/>
    <col min="88" max="88" width="8" style="54" customWidth="1"/>
    <col min="89" max="89" width="7.85546875" style="54" customWidth="1"/>
    <col min="90" max="90" width="9.42578125" style="54" customWidth="1"/>
    <col min="91" max="91" width="8.28515625" style="54" customWidth="1"/>
    <col min="92" max="93" width="8.5703125" style="54" customWidth="1"/>
    <col min="94" max="94" width="9.28515625" style="54" customWidth="1"/>
    <col min="95" max="95" width="8.7109375" style="54" customWidth="1"/>
    <col min="96" max="96" width="2.7109375" style="54" customWidth="1"/>
    <col min="97" max="97" width="8" style="54" customWidth="1"/>
    <col min="98" max="98" width="6.5703125" style="54" customWidth="1"/>
    <col min="99" max="99" width="6.42578125" style="54" customWidth="1"/>
    <col min="100" max="100" width="8" style="54" customWidth="1"/>
    <col min="101" max="101" width="7.85546875" style="54" customWidth="1"/>
    <col min="102" max="102" width="9.42578125" style="54" customWidth="1"/>
    <col min="103" max="103" width="8.28515625" style="54" customWidth="1"/>
    <col min="104" max="105" width="8.5703125" style="54" customWidth="1"/>
    <col min="106" max="106" width="9.28515625" style="54" customWidth="1"/>
    <col min="107" max="107" width="8.7109375" style="54" customWidth="1"/>
    <col min="108" max="108" width="2.7109375" style="54" customWidth="1"/>
    <col min="109" max="109" width="8" style="54" customWidth="1"/>
    <col min="110" max="110" width="6.5703125" style="54" customWidth="1"/>
    <col min="111" max="111" width="6.42578125" style="54" customWidth="1"/>
    <col min="112" max="112" width="8" style="54" customWidth="1"/>
    <col min="113" max="114" width="7.85546875" style="54" customWidth="1"/>
    <col min="115" max="115" width="8.28515625" style="54" customWidth="1"/>
    <col min="116" max="117" width="8.5703125" style="54" customWidth="1"/>
    <col min="118" max="118" width="9.28515625" style="54" customWidth="1"/>
    <col min="119" max="119" width="8.7109375" style="54" customWidth="1"/>
    <col min="120" max="120" width="2.7109375" style="54" customWidth="1"/>
    <col min="121" max="121" width="8" style="54" customWidth="1"/>
    <col min="122" max="122" width="6.5703125" style="54" customWidth="1"/>
    <col min="123" max="123" width="6.42578125" style="54" customWidth="1"/>
    <col min="124" max="124" width="8" style="54" customWidth="1"/>
    <col min="125" max="125" width="7.85546875" style="54" customWidth="1"/>
    <col min="126" max="126" width="9.42578125" style="54" customWidth="1"/>
    <col min="127" max="127" width="8.28515625" style="54" customWidth="1"/>
    <col min="128" max="129" width="8.5703125" style="54" customWidth="1"/>
    <col min="130" max="130" width="9.28515625" style="54" customWidth="1"/>
    <col min="131" max="131" width="8.7109375" style="54" customWidth="1"/>
    <col min="132" max="132" width="2.7109375" style="54" customWidth="1"/>
    <col min="133" max="133" width="8" style="54" customWidth="1"/>
    <col min="134" max="134" width="6.5703125" style="54" customWidth="1"/>
    <col min="135" max="135" width="6.42578125" style="54" customWidth="1"/>
    <col min="136" max="136" width="8" style="54" customWidth="1"/>
    <col min="137" max="138" width="7.85546875" style="54" customWidth="1"/>
    <col min="139" max="139" width="8.28515625" style="54" customWidth="1"/>
    <col min="140" max="141" width="8.5703125" style="54" customWidth="1"/>
    <col min="142" max="142" width="9.28515625" style="54" customWidth="1"/>
    <col min="143" max="143" width="8.7109375" style="54" customWidth="1"/>
    <col min="144" max="144" width="2.7109375" style="54" customWidth="1"/>
    <col min="145" max="145" width="8" style="54" customWidth="1"/>
    <col min="146" max="146" width="5.85546875" style="54" customWidth="1"/>
    <col min="147" max="147" width="6.140625" style="54" customWidth="1"/>
    <col min="148" max="148" width="7.140625" style="54" customWidth="1"/>
    <col min="149" max="149" width="7.85546875" style="54" customWidth="1"/>
    <col min="150" max="150" width="10.140625" style="54" customWidth="1"/>
    <col min="151" max="151" width="8.28515625" style="54" customWidth="1"/>
    <col min="152" max="153" width="8.5703125" style="54" customWidth="1"/>
    <col min="154" max="154" width="9.28515625" style="54" customWidth="1"/>
    <col min="155" max="155" width="8.7109375" style="54" customWidth="1"/>
    <col min="156" max="156" width="2.7109375" style="54" customWidth="1"/>
    <col min="157" max="16384" width="9.140625" style="54"/>
  </cols>
  <sheetData>
    <row r="1" spans="1:156" ht="15.95" customHeight="1" x14ac:dyDescent="0.2">
      <c r="L1" s="111"/>
      <c r="X1" s="111"/>
      <c r="AJ1" s="111"/>
      <c r="AV1" s="111"/>
      <c r="BH1" s="111"/>
      <c r="BT1" s="111"/>
      <c r="CF1" s="111"/>
      <c r="CR1" s="111"/>
      <c r="DD1" s="111"/>
      <c r="DP1" s="111"/>
      <c r="EB1" s="111"/>
      <c r="EN1" s="111"/>
      <c r="EZ1" s="60"/>
    </row>
    <row r="2" spans="1:156" ht="15.95" customHeight="1" thickBot="1" x14ac:dyDescent="0.25">
      <c r="A2" s="148" t="s">
        <v>31</v>
      </c>
      <c r="B2" s="148"/>
      <c r="C2" s="148"/>
      <c r="D2" s="62" t="s">
        <v>0</v>
      </c>
      <c r="E2" s="63">
        <v>1</v>
      </c>
      <c r="F2" s="62">
        <v>1447</v>
      </c>
      <c r="G2" s="162" t="s">
        <v>21</v>
      </c>
      <c r="H2" s="162"/>
      <c r="I2" s="162"/>
      <c r="J2" s="162"/>
      <c r="K2" s="162"/>
      <c r="L2" s="111"/>
      <c r="M2" s="148" t="s">
        <v>31</v>
      </c>
      <c r="N2" s="148"/>
      <c r="O2" s="148"/>
      <c r="P2" s="62" t="s">
        <v>0</v>
      </c>
      <c r="Q2" s="63">
        <v>2</v>
      </c>
      <c r="R2" s="62">
        <v>1447</v>
      </c>
      <c r="S2" s="162" t="s">
        <v>21</v>
      </c>
      <c r="T2" s="162"/>
      <c r="U2" s="162"/>
      <c r="V2" s="162"/>
      <c r="W2" s="162"/>
      <c r="X2" s="111"/>
      <c r="Y2" s="148" t="s">
        <v>31</v>
      </c>
      <c r="Z2" s="148"/>
      <c r="AA2" s="148"/>
      <c r="AB2" s="62" t="s">
        <v>0</v>
      </c>
      <c r="AC2" s="63">
        <v>3</v>
      </c>
      <c r="AD2" s="62">
        <v>1447</v>
      </c>
      <c r="AE2" s="162" t="s">
        <v>21</v>
      </c>
      <c r="AF2" s="162"/>
      <c r="AG2" s="162"/>
      <c r="AH2" s="162"/>
      <c r="AI2" s="162"/>
      <c r="AJ2" s="111"/>
      <c r="AK2" s="148" t="s">
        <v>31</v>
      </c>
      <c r="AL2" s="148"/>
      <c r="AM2" s="148"/>
      <c r="AN2" s="62" t="s">
        <v>0</v>
      </c>
      <c r="AO2" s="63">
        <v>4</v>
      </c>
      <c r="AP2" s="62">
        <v>1447</v>
      </c>
      <c r="AQ2" s="162" t="s">
        <v>21</v>
      </c>
      <c r="AR2" s="162"/>
      <c r="AS2" s="162"/>
      <c r="AT2" s="162"/>
      <c r="AU2" s="162"/>
      <c r="AV2" s="111"/>
      <c r="AW2" s="148" t="s">
        <v>31</v>
      </c>
      <c r="AX2" s="148"/>
      <c r="AY2" s="148"/>
      <c r="AZ2" s="62" t="s">
        <v>0</v>
      </c>
      <c r="BA2" s="63">
        <v>5</v>
      </c>
      <c r="BB2" s="62">
        <v>1447</v>
      </c>
      <c r="BC2" s="162" t="s">
        <v>21</v>
      </c>
      <c r="BD2" s="162"/>
      <c r="BE2" s="162"/>
      <c r="BF2" s="162"/>
      <c r="BG2" s="162"/>
      <c r="BH2" s="111"/>
      <c r="BI2" s="148" t="s">
        <v>31</v>
      </c>
      <c r="BJ2" s="148"/>
      <c r="BK2" s="148"/>
      <c r="BL2" s="62" t="s">
        <v>0</v>
      </c>
      <c r="BM2" s="63">
        <v>6</v>
      </c>
      <c r="BN2" s="62">
        <v>1447</v>
      </c>
      <c r="BO2" s="162" t="s">
        <v>21</v>
      </c>
      <c r="BP2" s="162"/>
      <c r="BQ2" s="162"/>
      <c r="BR2" s="162"/>
      <c r="BS2" s="162"/>
      <c r="BT2" s="111"/>
      <c r="BU2" s="148" t="s">
        <v>31</v>
      </c>
      <c r="BV2" s="148"/>
      <c r="BW2" s="148"/>
      <c r="BX2" s="62" t="s">
        <v>0</v>
      </c>
      <c r="BY2" s="63">
        <v>7</v>
      </c>
      <c r="BZ2" s="62">
        <v>1447</v>
      </c>
      <c r="CA2" s="162" t="s">
        <v>21</v>
      </c>
      <c r="CB2" s="162"/>
      <c r="CC2" s="162"/>
      <c r="CD2" s="162"/>
      <c r="CE2" s="162"/>
      <c r="CF2" s="111"/>
      <c r="CG2" s="148" t="s">
        <v>31</v>
      </c>
      <c r="CH2" s="148"/>
      <c r="CI2" s="148"/>
      <c r="CJ2" s="62" t="s">
        <v>0</v>
      </c>
      <c r="CK2" s="63">
        <v>8</v>
      </c>
      <c r="CL2" s="62">
        <v>1447</v>
      </c>
      <c r="CM2" s="162" t="s">
        <v>21</v>
      </c>
      <c r="CN2" s="162"/>
      <c r="CO2" s="162"/>
      <c r="CP2" s="162"/>
      <c r="CQ2" s="162"/>
      <c r="CR2" s="111"/>
      <c r="CS2" s="148" t="s">
        <v>31</v>
      </c>
      <c r="CT2" s="148"/>
      <c r="CU2" s="148"/>
      <c r="CV2" s="62" t="s">
        <v>0</v>
      </c>
      <c r="CW2" s="63">
        <v>9</v>
      </c>
      <c r="CX2" s="62">
        <v>1447</v>
      </c>
      <c r="CY2" s="162" t="s">
        <v>21</v>
      </c>
      <c r="CZ2" s="162"/>
      <c r="DA2" s="162"/>
      <c r="DB2" s="162"/>
      <c r="DC2" s="162"/>
      <c r="DD2" s="111"/>
      <c r="DE2" s="148" t="s">
        <v>31</v>
      </c>
      <c r="DF2" s="148"/>
      <c r="DG2" s="148"/>
      <c r="DH2" s="62" t="s">
        <v>0</v>
      </c>
      <c r="DI2" s="63">
        <v>10</v>
      </c>
      <c r="DJ2" s="62">
        <v>1447</v>
      </c>
      <c r="DK2" s="162" t="s">
        <v>21</v>
      </c>
      <c r="DL2" s="162"/>
      <c r="DM2" s="162"/>
      <c r="DN2" s="162"/>
      <c r="DO2" s="162"/>
      <c r="DP2" s="111"/>
      <c r="DQ2" s="148" t="s">
        <v>31</v>
      </c>
      <c r="DR2" s="148"/>
      <c r="DS2" s="148"/>
      <c r="DT2" s="62" t="s">
        <v>0</v>
      </c>
      <c r="DU2" s="63">
        <v>11</v>
      </c>
      <c r="DV2" s="62">
        <v>1447</v>
      </c>
      <c r="DW2" s="162" t="s">
        <v>21</v>
      </c>
      <c r="DX2" s="162"/>
      <c r="DY2" s="162"/>
      <c r="DZ2" s="162"/>
      <c r="EA2" s="162"/>
      <c r="EB2" s="111"/>
      <c r="EC2" s="148" t="s">
        <v>31</v>
      </c>
      <c r="ED2" s="148"/>
      <c r="EE2" s="148"/>
      <c r="EF2" s="62" t="s">
        <v>0</v>
      </c>
      <c r="EG2" s="63">
        <v>12</v>
      </c>
      <c r="EH2" s="62">
        <v>1447</v>
      </c>
      <c r="EI2" s="162" t="s">
        <v>21</v>
      </c>
      <c r="EJ2" s="162"/>
      <c r="EK2" s="162"/>
      <c r="EL2" s="162"/>
      <c r="EM2" s="162"/>
      <c r="EN2" s="111"/>
      <c r="EO2" s="61" t="s">
        <v>31</v>
      </c>
      <c r="EP2" s="61"/>
      <c r="EQ2" s="60"/>
      <c r="ER2" s="62"/>
      <c r="ES2" s="63" t="s">
        <v>20</v>
      </c>
      <c r="ET2" s="62">
        <f>SUM(EH2)</f>
        <v>1447</v>
      </c>
      <c r="EU2" s="60"/>
      <c r="EV2" s="64"/>
      <c r="EW2" s="60"/>
      <c r="EX2" s="60"/>
      <c r="EY2" s="65" t="s">
        <v>21</v>
      </c>
      <c r="EZ2" s="60"/>
    </row>
    <row r="3" spans="1:156" ht="15.75" customHeight="1" thickBot="1" x14ac:dyDescent="0.25">
      <c r="A3" s="154" t="s">
        <v>18</v>
      </c>
      <c r="B3" s="155"/>
      <c r="C3" s="156"/>
      <c r="D3" s="138" t="s">
        <v>2</v>
      </c>
      <c r="E3" s="139"/>
      <c r="F3" s="139"/>
      <c r="G3" s="139"/>
      <c r="H3" s="139"/>
      <c r="I3" s="140"/>
      <c r="J3" s="141" t="s">
        <v>11</v>
      </c>
      <c r="K3" s="141" t="s">
        <v>12</v>
      </c>
      <c r="L3" s="111"/>
      <c r="M3" s="154" t="s">
        <v>18</v>
      </c>
      <c r="N3" s="155"/>
      <c r="O3" s="156"/>
      <c r="P3" s="138" t="s">
        <v>2</v>
      </c>
      <c r="Q3" s="139"/>
      <c r="R3" s="139"/>
      <c r="S3" s="139"/>
      <c r="T3" s="139"/>
      <c r="U3" s="140"/>
      <c r="V3" s="141" t="s">
        <v>11</v>
      </c>
      <c r="W3" s="141" t="s">
        <v>12</v>
      </c>
      <c r="X3" s="111"/>
      <c r="Y3" s="154" t="s">
        <v>18</v>
      </c>
      <c r="Z3" s="155"/>
      <c r="AA3" s="156"/>
      <c r="AB3" s="138" t="s">
        <v>2</v>
      </c>
      <c r="AC3" s="139"/>
      <c r="AD3" s="139"/>
      <c r="AE3" s="139"/>
      <c r="AF3" s="139"/>
      <c r="AG3" s="140"/>
      <c r="AH3" s="141" t="s">
        <v>11</v>
      </c>
      <c r="AI3" s="141" t="s">
        <v>12</v>
      </c>
      <c r="AJ3" s="111"/>
      <c r="AK3" s="154" t="s">
        <v>18</v>
      </c>
      <c r="AL3" s="155"/>
      <c r="AM3" s="156"/>
      <c r="AN3" s="138" t="s">
        <v>2</v>
      </c>
      <c r="AO3" s="139"/>
      <c r="AP3" s="139"/>
      <c r="AQ3" s="139"/>
      <c r="AR3" s="139"/>
      <c r="AS3" s="140"/>
      <c r="AT3" s="141" t="s">
        <v>11</v>
      </c>
      <c r="AU3" s="141" t="s">
        <v>12</v>
      </c>
      <c r="AV3" s="111"/>
      <c r="AW3" s="154" t="s">
        <v>18</v>
      </c>
      <c r="AX3" s="155"/>
      <c r="AY3" s="156"/>
      <c r="AZ3" s="138" t="s">
        <v>2</v>
      </c>
      <c r="BA3" s="139"/>
      <c r="BB3" s="139"/>
      <c r="BC3" s="139"/>
      <c r="BD3" s="139"/>
      <c r="BE3" s="140"/>
      <c r="BF3" s="141" t="s">
        <v>11</v>
      </c>
      <c r="BG3" s="141" t="s">
        <v>12</v>
      </c>
      <c r="BH3" s="111"/>
      <c r="BI3" s="154" t="s">
        <v>18</v>
      </c>
      <c r="BJ3" s="155"/>
      <c r="BK3" s="156"/>
      <c r="BL3" s="138" t="s">
        <v>2</v>
      </c>
      <c r="BM3" s="139"/>
      <c r="BN3" s="139"/>
      <c r="BO3" s="139"/>
      <c r="BP3" s="139"/>
      <c r="BQ3" s="140"/>
      <c r="BR3" s="141" t="s">
        <v>11</v>
      </c>
      <c r="BS3" s="141" t="s">
        <v>12</v>
      </c>
      <c r="BT3" s="111"/>
      <c r="BU3" s="154" t="s">
        <v>18</v>
      </c>
      <c r="BV3" s="155"/>
      <c r="BW3" s="156"/>
      <c r="BX3" s="138" t="s">
        <v>2</v>
      </c>
      <c r="BY3" s="139"/>
      <c r="BZ3" s="139"/>
      <c r="CA3" s="139"/>
      <c r="CB3" s="139"/>
      <c r="CC3" s="140"/>
      <c r="CD3" s="141" t="s">
        <v>11</v>
      </c>
      <c r="CE3" s="141" t="s">
        <v>12</v>
      </c>
      <c r="CF3" s="111"/>
      <c r="CG3" s="154" t="s">
        <v>18</v>
      </c>
      <c r="CH3" s="155"/>
      <c r="CI3" s="156"/>
      <c r="CJ3" s="138" t="s">
        <v>2</v>
      </c>
      <c r="CK3" s="139"/>
      <c r="CL3" s="139"/>
      <c r="CM3" s="139"/>
      <c r="CN3" s="139"/>
      <c r="CO3" s="140"/>
      <c r="CP3" s="141" t="s">
        <v>11</v>
      </c>
      <c r="CQ3" s="141" t="s">
        <v>12</v>
      </c>
      <c r="CR3" s="111"/>
      <c r="CS3" s="154" t="s">
        <v>18</v>
      </c>
      <c r="CT3" s="155"/>
      <c r="CU3" s="156"/>
      <c r="CV3" s="138" t="s">
        <v>2</v>
      </c>
      <c r="CW3" s="139"/>
      <c r="CX3" s="139"/>
      <c r="CY3" s="139"/>
      <c r="CZ3" s="139"/>
      <c r="DA3" s="140"/>
      <c r="DB3" s="141" t="s">
        <v>11</v>
      </c>
      <c r="DC3" s="141" t="s">
        <v>12</v>
      </c>
      <c r="DD3" s="111"/>
      <c r="DE3" s="154" t="s">
        <v>18</v>
      </c>
      <c r="DF3" s="155"/>
      <c r="DG3" s="156"/>
      <c r="DH3" s="138" t="s">
        <v>2</v>
      </c>
      <c r="DI3" s="139"/>
      <c r="DJ3" s="139"/>
      <c r="DK3" s="139"/>
      <c r="DL3" s="139"/>
      <c r="DM3" s="140"/>
      <c r="DN3" s="141" t="s">
        <v>11</v>
      </c>
      <c r="DO3" s="141" t="s">
        <v>12</v>
      </c>
      <c r="DP3" s="111"/>
      <c r="DQ3" s="154" t="s">
        <v>18</v>
      </c>
      <c r="DR3" s="155"/>
      <c r="DS3" s="156"/>
      <c r="DT3" s="138" t="s">
        <v>2</v>
      </c>
      <c r="DU3" s="139"/>
      <c r="DV3" s="139"/>
      <c r="DW3" s="139"/>
      <c r="DX3" s="139"/>
      <c r="DY3" s="140"/>
      <c r="DZ3" s="141" t="s">
        <v>11</v>
      </c>
      <c r="EA3" s="141" t="s">
        <v>12</v>
      </c>
      <c r="EB3" s="111"/>
      <c r="EC3" s="154" t="s">
        <v>18</v>
      </c>
      <c r="ED3" s="155"/>
      <c r="EE3" s="156"/>
      <c r="EF3" s="138" t="s">
        <v>2</v>
      </c>
      <c r="EG3" s="139"/>
      <c r="EH3" s="139"/>
      <c r="EI3" s="139"/>
      <c r="EJ3" s="139"/>
      <c r="EK3" s="140"/>
      <c r="EL3" s="141" t="s">
        <v>11</v>
      </c>
      <c r="EM3" s="141" t="s">
        <v>12</v>
      </c>
      <c r="EN3" s="111"/>
      <c r="EO3" s="154" t="s">
        <v>18</v>
      </c>
      <c r="EP3" s="155"/>
      <c r="EQ3" s="156"/>
      <c r="ER3" s="138" t="s">
        <v>2</v>
      </c>
      <c r="ES3" s="139"/>
      <c r="ET3" s="139"/>
      <c r="EU3" s="139"/>
      <c r="EV3" s="139"/>
      <c r="EW3" s="140"/>
      <c r="EX3" s="141" t="s">
        <v>11</v>
      </c>
      <c r="EY3" s="141" t="s">
        <v>12</v>
      </c>
      <c r="EZ3" s="60"/>
    </row>
    <row r="4" spans="1:156" ht="15.95" customHeight="1" thickBot="1" x14ac:dyDescent="0.25">
      <c r="A4" s="157"/>
      <c r="B4" s="158"/>
      <c r="C4" s="159"/>
      <c r="D4" s="66" t="s">
        <v>5</v>
      </c>
      <c r="E4" s="67" t="s">
        <v>6</v>
      </c>
      <c r="F4" s="67" t="s">
        <v>7</v>
      </c>
      <c r="G4" s="67" t="s">
        <v>8</v>
      </c>
      <c r="H4" s="67" t="s">
        <v>9</v>
      </c>
      <c r="I4" s="68" t="s">
        <v>10</v>
      </c>
      <c r="J4" s="142"/>
      <c r="K4" s="142"/>
      <c r="L4" s="111"/>
      <c r="M4" s="157"/>
      <c r="N4" s="158"/>
      <c r="O4" s="159"/>
      <c r="P4" s="66" t="s">
        <v>5</v>
      </c>
      <c r="Q4" s="67" t="s">
        <v>6</v>
      </c>
      <c r="R4" s="67" t="s">
        <v>7</v>
      </c>
      <c r="S4" s="67" t="s">
        <v>8</v>
      </c>
      <c r="T4" s="67" t="s">
        <v>9</v>
      </c>
      <c r="U4" s="68" t="s">
        <v>10</v>
      </c>
      <c r="V4" s="142"/>
      <c r="W4" s="142"/>
      <c r="X4" s="111"/>
      <c r="Y4" s="157"/>
      <c r="Z4" s="158"/>
      <c r="AA4" s="159"/>
      <c r="AB4" s="66" t="s">
        <v>5</v>
      </c>
      <c r="AC4" s="67" t="s">
        <v>6</v>
      </c>
      <c r="AD4" s="67" t="s">
        <v>7</v>
      </c>
      <c r="AE4" s="67" t="s">
        <v>8</v>
      </c>
      <c r="AF4" s="67" t="s">
        <v>9</v>
      </c>
      <c r="AG4" s="68" t="s">
        <v>10</v>
      </c>
      <c r="AH4" s="142"/>
      <c r="AI4" s="142"/>
      <c r="AJ4" s="111"/>
      <c r="AK4" s="157"/>
      <c r="AL4" s="158"/>
      <c r="AM4" s="159"/>
      <c r="AN4" s="66" t="s">
        <v>5</v>
      </c>
      <c r="AO4" s="67" t="s">
        <v>6</v>
      </c>
      <c r="AP4" s="67" t="s">
        <v>7</v>
      </c>
      <c r="AQ4" s="67" t="s">
        <v>8</v>
      </c>
      <c r="AR4" s="67" t="s">
        <v>9</v>
      </c>
      <c r="AS4" s="68" t="s">
        <v>10</v>
      </c>
      <c r="AT4" s="142"/>
      <c r="AU4" s="142"/>
      <c r="AV4" s="111"/>
      <c r="AW4" s="157"/>
      <c r="AX4" s="158"/>
      <c r="AY4" s="159"/>
      <c r="AZ4" s="66" t="s">
        <v>5</v>
      </c>
      <c r="BA4" s="67" t="s">
        <v>6</v>
      </c>
      <c r="BB4" s="67" t="s">
        <v>7</v>
      </c>
      <c r="BC4" s="67" t="s">
        <v>8</v>
      </c>
      <c r="BD4" s="67" t="s">
        <v>9</v>
      </c>
      <c r="BE4" s="68" t="s">
        <v>10</v>
      </c>
      <c r="BF4" s="142"/>
      <c r="BG4" s="142"/>
      <c r="BH4" s="111"/>
      <c r="BI4" s="157"/>
      <c r="BJ4" s="158"/>
      <c r="BK4" s="159"/>
      <c r="BL4" s="66" t="s">
        <v>5</v>
      </c>
      <c r="BM4" s="67" t="s">
        <v>6</v>
      </c>
      <c r="BN4" s="67" t="s">
        <v>7</v>
      </c>
      <c r="BO4" s="67" t="s">
        <v>8</v>
      </c>
      <c r="BP4" s="67" t="s">
        <v>9</v>
      </c>
      <c r="BQ4" s="68" t="s">
        <v>10</v>
      </c>
      <c r="BR4" s="142"/>
      <c r="BS4" s="142"/>
      <c r="BT4" s="111"/>
      <c r="BU4" s="157"/>
      <c r="BV4" s="158"/>
      <c r="BW4" s="159"/>
      <c r="BX4" s="66" t="s">
        <v>5</v>
      </c>
      <c r="BY4" s="67" t="s">
        <v>6</v>
      </c>
      <c r="BZ4" s="67" t="s">
        <v>7</v>
      </c>
      <c r="CA4" s="67" t="s">
        <v>8</v>
      </c>
      <c r="CB4" s="67" t="s">
        <v>9</v>
      </c>
      <c r="CC4" s="68" t="s">
        <v>10</v>
      </c>
      <c r="CD4" s="142"/>
      <c r="CE4" s="142"/>
      <c r="CF4" s="111"/>
      <c r="CG4" s="157"/>
      <c r="CH4" s="158"/>
      <c r="CI4" s="159"/>
      <c r="CJ4" s="66" t="s">
        <v>5</v>
      </c>
      <c r="CK4" s="67" t="s">
        <v>6</v>
      </c>
      <c r="CL4" s="67" t="s">
        <v>7</v>
      </c>
      <c r="CM4" s="67" t="s">
        <v>8</v>
      </c>
      <c r="CN4" s="67" t="s">
        <v>9</v>
      </c>
      <c r="CO4" s="68" t="s">
        <v>10</v>
      </c>
      <c r="CP4" s="142"/>
      <c r="CQ4" s="142"/>
      <c r="CR4" s="111"/>
      <c r="CS4" s="157"/>
      <c r="CT4" s="158"/>
      <c r="CU4" s="159"/>
      <c r="CV4" s="66" t="s">
        <v>5</v>
      </c>
      <c r="CW4" s="67" t="s">
        <v>6</v>
      </c>
      <c r="CX4" s="67" t="s">
        <v>7</v>
      </c>
      <c r="CY4" s="67" t="s">
        <v>8</v>
      </c>
      <c r="CZ4" s="67" t="s">
        <v>9</v>
      </c>
      <c r="DA4" s="68" t="s">
        <v>10</v>
      </c>
      <c r="DB4" s="142"/>
      <c r="DC4" s="142"/>
      <c r="DD4" s="111"/>
      <c r="DE4" s="157"/>
      <c r="DF4" s="158"/>
      <c r="DG4" s="159"/>
      <c r="DH4" s="66" t="s">
        <v>5</v>
      </c>
      <c r="DI4" s="67" t="s">
        <v>6</v>
      </c>
      <c r="DJ4" s="67" t="s">
        <v>7</v>
      </c>
      <c r="DK4" s="67" t="s">
        <v>8</v>
      </c>
      <c r="DL4" s="67" t="s">
        <v>9</v>
      </c>
      <c r="DM4" s="68" t="s">
        <v>10</v>
      </c>
      <c r="DN4" s="142"/>
      <c r="DO4" s="142"/>
      <c r="DP4" s="111"/>
      <c r="DQ4" s="157"/>
      <c r="DR4" s="158"/>
      <c r="DS4" s="159"/>
      <c r="DT4" s="66" t="s">
        <v>5</v>
      </c>
      <c r="DU4" s="67" t="s">
        <v>6</v>
      </c>
      <c r="DV4" s="67" t="s">
        <v>7</v>
      </c>
      <c r="DW4" s="67" t="s">
        <v>8</v>
      </c>
      <c r="DX4" s="67" t="s">
        <v>9</v>
      </c>
      <c r="DY4" s="68" t="s">
        <v>10</v>
      </c>
      <c r="DZ4" s="142"/>
      <c r="EA4" s="142"/>
      <c r="EB4" s="111"/>
      <c r="EC4" s="157"/>
      <c r="ED4" s="158"/>
      <c r="EE4" s="159"/>
      <c r="EF4" s="66" t="s">
        <v>5</v>
      </c>
      <c r="EG4" s="67" t="s">
        <v>6</v>
      </c>
      <c r="EH4" s="67" t="s">
        <v>7</v>
      </c>
      <c r="EI4" s="67" t="s">
        <v>8</v>
      </c>
      <c r="EJ4" s="67" t="s">
        <v>9</v>
      </c>
      <c r="EK4" s="68" t="s">
        <v>10</v>
      </c>
      <c r="EL4" s="142"/>
      <c r="EM4" s="142"/>
      <c r="EN4" s="111"/>
      <c r="EO4" s="157"/>
      <c r="EP4" s="158"/>
      <c r="EQ4" s="159"/>
      <c r="ER4" s="66" t="s">
        <v>5</v>
      </c>
      <c r="ES4" s="69" t="s">
        <v>22</v>
      </c>
      <c r="ET4" s="67" t="s">
        <v>7</v>
      </c>
      <c r="EU4" s="67" t="s">
        <v>8</v>
      </c>
      <c r="EV4" s="67" t="s">
        <v>9</v>
      </c>
      <c r="EW4" s="68" t="s">
        <v>10</v>
      </c>
      <c r="EX4" s="142"/>
      <c r="EY4" s="142"/>
      <c r="EZ4" s="60"/>
    </row>
    <row r="5" spans="1:156" ht="15.95" customHeight="1" thickTop="1" thickBot="1" x14ac:dyDescent="0.25">
      <c r="A5" s="145" t="s">
        <v>29</v>
      </c>
      <c r="B5" s="152" t="s">
        <v>14</v>
      </c>
      <c r="C5" s="53" t="s">
        <v>13</v>
      </c>
      <c r="D5" s="113">
        <v>1422</v>
      </c>
      <c r="E5" s="114">
        <v>1866</v>
      </c>
      <c r="F5" s="114">
        <v>3398</v>
      </c>
      <c r="G5" s="114">
        <v>8608</v>
      </c>
      <c r="H5" s="114">
        <v>1709</v>
      </c>
      <c r="I5" s="115">
        <v>698</v>
      </c>
      <c r="J5" s="116">
        <f>SUM(D5:I5)</f>
        <v>17701</v>
      </c>
      <c r="K5" s="160">
        <v>5381</v>
      </c>
      <c r="L5" s="111"/>
      <c r="M5" s="145" t="s">
        <v>29</v>
      </c>
      <c r="N5" s="152" t="s">
        <v>14</v>
      </c>
      <c r="O5" s="53" t="s">
        <v>13</v>
      </c>
      <c r="P5" s="113">
        <v>1422</v>
      </c>
      <c r="Q5" s="114">
        <v>1866</v>
      </c>
      <c r="R5" s="114">
        <v>3398</v>
      </c>
      <c r="S5" s="114">
        <v>8608</v>
      </c>
      <c r="T5" s="114">
        <v>1709</v>
      </c>
      <c r="U5" s="115">
        <v>698</v>
      </c>
      <c r="V5" s="73">
        <f>SUM(P5:U5)</f>
        <v>17701</v>
      </c>
      <c r="W5" s="143">
        <v>5381</v>
      </c>
      <c r="X5" s="111"/>
      <c r="Y5" s="145" t="s">
        <v>29</v>
      </c>
      <c r="Z5" s="152" t="s">
        <v>14</v>
      </c>
      <c r="AA5" s="53" t="s">
        <v>13</v>
      </c>
      <c r="AB5" s="113">
        <v>1422</v>
      </c>
      <c r="AC5" s="114">
        <v>1866</v>
      </c>
      <c r="AD5" s="114">
        <v>3398</v>
      </c>
      <c r="AE5" s="114">
        <v>8608</v>
      </c>
      <c r="AF5" s="114">
        <v>1709</v>
      </c>
      <c r="AG5" s="115">
        <v>698</v>
      </c>
      <c r="AH5" s="73">
        <f>SUM(AB5:AG5)</f>
        <v>17701</v>
      </c>
      <c r="AI5" s="143">
        <v>5381</v>
      </c>
      <c r="AJ5" s="111"/>
      <c r="AK5" s="145" t="s">
        <v>29</v>
      </c>
      <c r="AL5" s="152" t="s">
        <v>14</v>
      </c>
      <c r="AM5" s="53" t="s">
        <v>13</v>
      </c>
      <c r="AN5" s="113">
        <v>1422</v>
      </c>
      <c r="AO5" s="114">
        <v>1866</v>
      </c>
      <c r="AP5" s="114">
        <v>3398</v>
      </c>
      <c r="AQ5" s="114">
        <v>8608</v>
      </c>
      <c r="AR5" s="114">
        <v>1709</v>
      </c>
      <c r="AS5" s="115">
        <v>698</v>
      </c>
      <c r="AT5" s="73">
        <f>SUM(AN5:AS5)</f>
        <v>17701</v>
      </c>
      <c r="AU5" s="143">
        <v>5381</v>
      </c>
      <c r="AV5" s="111"/>
      <c r="AW5" s="145" t="s">
        <v>29</v>
      </c>
      <c r="AX5" s="152" t="s">
        <v>14</v>
      </c>
      <c r="AY5" s="53" t="s">
        <v>13</v>
      </c>
      <c r="AZ5" s="113">
        <v>1422</v>
      </c>
      <c r="BA5" s="114">
        <v>1866</v>
      </c>
      <c r="BB5" s="114">
        <v>3398</v>
      </c>
      <c r="BC5" s="114">
        <v>8608</v>
      </c>
      <c r="BD5" s="114">
        <v>1709</v>
      </c>
      <c r="BE5" s="115">
        <v>698</v>
      </c>
      <c r="BF5" s="73">
        <f>SUM(AZ5:BE5)</f>
        <v>17701</v>
      </c>
      <c r="BG5" s="143">
        <v>5381</v>
      </c>
      <c r="BH5" s="111"/>
      <c r="BI5" s="145" t="s">
        <v>29</v>
      </c>
      <c r="BJ5" s="152" t="s">
        <v>14</v>
      </c>
      <c r="BK5" s="53" t="s">
        <v>13</v>
      </c>
      <c r="BL5" s="113">
        <v>1422</v>
      </c>
      <c r="BM5" s="114">
        <v>1866</v>
      </c>
      <c r="BN5" s="114">
        <v>3398</v>
      </c>
      <c r="BO5" s="114">
        <v>8608</v>
      </c>
      <c r="BP5" s="114">
        <v>1709</v>
      </c>
      <c r="BQ5" s="115">
        <v>698</v>
      </c>
      <c r="BR5" s="73">
        <f>SUM(BL5:BQ5)</f>
        <v>17701</v>
      </c>
      <c r="BS5" s="143">
        <v>5381</v>
      </c>
      <c r="BT5" s="111"/>
      <c r="BU5" s="145" t="s">
        <v>29</v>
      </c>
      <c r="BV5" s="152" t="s">
        <v>14</v>
      </c>
      <c r="BW5" s="53" t="s">
        <v>13</v>
      </c>
      <c r="BX5" s="113">
        <v>1422</v>
      </c>
      <c r="BY5" s="114">
        <v>1866</v>
      </c>
      <c r="BZ5" s="114">
        <v>3398</v>
      </c>
      <c r="CA5" s="114">
        <v>8608</v>
      </c>
      <c r="CB5" s="114">
        <v>1709</v>
      </c>
      <c r="CC5" s="115">
        <v>698</v>
      </c>
      <c r="CD5" s="73">
        <f>SUM(BX5:CC5)</f>
        <v>17701</v>
      </c>
      <c r="CE5" s="143">
        <v>5381</v>
      </c>
      <c r="CF5" s="111"/>
      <c r="CG5" s="145" t="s">
        <v>29</v>
      </c>
      <c r="CH5" s="152" t="s">
        <v>14</v>
      </c>
      <c r="CI5" s="53" t="s">
        <v>13</v>
      </c>
      <c r="CJ5" s="113">
        <v>1422</v>
      </c>
      <c r="CK5" s="114">
        <v>1866</v>
      </c>
      <c r="CL5" s="114">
        <v>3398</v>
      </c>
      <c r="CM5" s="114">
        <v>8608</v>
      </c>
      <c r="CN5" s="114">
        <v>1709</v>
      </c>
      <c r="CO5" s="115">
        <v>698</v>
      </c>
      <c r="CP5" s="73">
        <f>SUM(CJ5:CO5)</f>
        <v>17701</v>
      </c>
      <c r="CQ5" s="143">
        <v>5381</v>
      </c>
      <c r="CR5" s="111"/>
      <c r="CS5" s="145" t="s">
        <v>29</v>
      </c>
      <c r="CT5" s="152" t="s">
        <v>14</v>
      </c>
      <c r="CU5" s="53" t="s">
        <v>13</v>
      </c>
      <c r="CV5" s="113">
        <v>1422</v>
      </c>
      <c r="CW5" s="114">
        <v>1866</v>
      </c>
      <c r="CX5" s="114">
        <v>3398</v>
      </c>
      <c r="CY5" s="114">
        <v>8608</v>
      </c>
      <c r="CZ5" s="114">
        <v>1709</v>
      </c>
      <c r="DA5" s="115">
        <v>698</v>
      </c>
      <c r="DB5" s="73">
        <f>SUM(CV5:DA5)</f>
        <v>17701</v>
      </c>
      <c r="DC5" s="143">
        <v>5381</v>
      </c>
      <c r="DD5" s="111"/>
      <c r="DE5" s="145" t="s">
        <v>29</v>
      </c>
      <c r="DF5" s="152" t="s">
        <v>14</v>
      </c>
      <c r="DG5" s="53" t="s">
        <v>13</v>
      </c>
      <c r="DH5" s="70">
        <v>0</v>
      </c>
      <c r="DI5" s="71">
        <v>0</v>
      </c>
      <c r="DJ5" s="71">
        <v>0</v>
      </c>
      <c r="DK5" s="71">
        <v>0</v>
      </c>
      <c r="DL5" s="71">
        <v>0</v>
      </c>
      <c r="DM5" s="72">
        <v>0</v>
      </c>
      <c r="DN5" s="73">
        <f>SUM(DH5:DM5)</f>
        <v>0</v>
      </c>
      <c r="DO5" s="143">
        <v>0</v>
      </c>
      <c r="DP5" s="111"/>
      <c r="DQ5" s="145" t="s">
        <v>29</v>
      </c>
      <c r="DR5" s="152" t="s">
        <v>14</v>
      </c>
      <c r="DS5" s="53" t="s">
        <v>13</v>
      </c>
      <c r="DT5" s="70">
        <v>0</v>
      </c>
      <c r="DU5" s="71">
        <v>0</v>
      </c>
      <c r="DV5" s="71">
        <v>0</v>
      </c>
      <c r="DW5" s="71">
        <v>0</v>
      </c>
      <c r="DX5" s="71">
        <v>0</v>
      </c>
      <c r="DY5" s="72">
        <v>0</v>
      </c>
      <c r="DZ5" s="73">
        <f>SUM(DT5:DY5)</f>
        <v>0</v>
      </c>
      <c r="EA5" s="143">
        <v>0</v>
      </c>
      <c r="EB5" s="111"/>
      <c r="EC5" s="145" t="s">
        <v>29</v>
      </c>
      <c r="ED5" s="152" t="s">
        <v>14</v>
      </c>
      <c r="EE5" s="53" t="s">
        <v>13</v>
      </c>
      <c r="EF5" s="70">
        <v>0</v>
      </c>
      <c r="EG5" s="71">
        <v>0</v>
      </c>
      <c r="EH5" s="71">
        <v>0</v>
      </c>
      <c r="EI5" s="71">
        <v>0</v>
      </c>
      <c r="EJ5" s="71">
        <v>0</v>
      </c>
      <c r="EK5" s="72">
        <v>0</v>
      </c>
      <c r="EL5" s="73">
        <f>SUM(EF5:EK5)</f>
        <v>0</v>
      </c>
      <c r="EM5" s="143">
        <v>0</v>
      </c>
      <c r="EN5" s="111"/>
      <c r="EO5" s="145" t="str">
        <f>EC5</f>
        <v>الربيع والتوفيق</v>
      </c>
      <c r="EP5" s="105" t="s">
        <v>14</v>
      </c>
      <c r="EQ5" s="53" t="s">
        <v>13</v>
      </c>
      <c r="ER5" s="70">
        <f t="shared" ref="ER5:EW8" si="0">SUM(EF5)</f>
        <v>0</v>
      </c>
      <c r="ES5" s="71">
        <f t="shared" si="0"/>
        <v>0</v>
      </c>
      <c r="ET5" s="71">
        <f t="shared" si="0"/>
        <v>0</v>
      </c>
      <c r="EU5" s="71">
        <f t="shared" si="0"/>
        <v>0</v>
      </c>
      <c r="EV5" s="71">
        <f t="shared" si="0"/>
        <v>0</v>
      </c>
      <c r="EW5" s="72">
        <f t="shared" si="0"/>
        <v>0</v>
      </c>
      <c r="EX5" s="74">
        <f>SUM(ER5:EW5)</f>
        <v>0</v>
      </c>
      <c r="EY5" s="143">
        <f>SUM(EM5)</f>
        <v>0</v>
      </c>
      <c r="EZ5" s="60"/>
    </row>
    <row r="6" spans="1:156" ht="15.95" customHeight="1" thickBot="1" x14ac:dyDescent="0.25">
      <c r="A6" s="146"/>
      <c r="B6" s="153"/>
      <c r="C6" s="55" t="s">
        <v>15</v>
      </c>
      <c r="D6" s="117">
        <v>988</v>
      </c>
      <c r="E6" s="118">
        <v>11765</v>
      </c>
      <c r="F6" s="118">
        <v>3466</v>
      </c>
      <c r="G6" s="118">
        <v>8790</v>
      </c>
      <c r="H6" s="118">
        <v>1278</v>
      </c>
      <c r="I6" s="119">
        <v>576</v>
      </c>
      <c r="J6" s="120">
        <f>SUM(D6:I6)</f>
        <v>26863</v>
      </c>
      <c r="K6" s="161"/>
      <c r="L6" s="111"/>
      <c r="M6" s="146"/>
      <c r="N6" s="153"/>
      <c r="O6" s="55" t="s">
        <v>15</v>
      </c>
      <c r="P6" s="117">
        <v>988</v>
      </c>
      <c r="Q6" s="118">
        <v>11765</v>
      </c>
      <c r="R6" s="118">
        <v>3466</v>
      </c>
      <c r="S6" s="118">
        <v>8790</v>
      </c>
      <c r="T6" s="118">
        <v>1278</v>
      </c>
      <c r="U6" s="119">
        <v>576</v>
      </c>
      <c r="V6" s="78">
        <f>SUM(P6:U6)</f>
        <v>26863</v>
      </c>
      <c r="W6" s="144"/>
      <c r="X6" s="111"/>
      <c r="Y6" s="146"/>
      <c r="Z6" s="153"/>
      <c r="AA6" s="55" t="s">
        <v>15</v>
      </c>
      <c r="AB6" s="117">
        <v>988</v>
      </c>
      <c r="AC6" s="118">
        <v>11765</v>
      </c>
      <c r="AD6" s="118">
        <v>3466</v>
      </c>
      <c r="AE6" s="118">
        <v>8790</v>
      </c>
      <c r="AF6" s="118">
        <v>1278</v>
      </c>
      <c r="AG6" s="119">
        <v>576</v>
      </c>
      <c r="AH6" s="78">
        <f>SUM(AB6:AG6)</f>
        <v>26863</v>
      </c>
      <c r="AI6" s="144"/>
      <c r="AJ6" s="111"/>
      <c r="AK6" s="146"/>
      <c r="AL6" s="153"/>
      <c r="AM6" s="55" t="s">
        <v>15</v>
      </c>
      <c r="AN6" s="117">
        <v>988</v>
      </c>
      <c r="AO6" s="118">
        <v>11765</v>
      </c>
      <c r="AP6" s="118">
        <v>3466</v>
      </c>
      <c r="AQ6" s="118">
        <v>8790</v>
      </c>
      <c r="AR6" s="118">
        <v>1278</v>
      </c>
      <c r="AS6" s="119">
        <v>576</v>
      </c>
      <c r="AT6" s="78">
        <f>SUM(AN6:AS6)</f>
        <v>26863</v>
      </c>
      <c r="AU6" s="144"/>
      <c r="AV6" s="111"/>
      <c r="AW6" s="146"/>
      <c r="AX6" s="153"/>
      <c r="AY6" s="55" t="s">
        <v>15</v>
      </c>
      <c r="AZ6" s="117">
        <v>988</v>
      </c>
      <c r="BA6" s="118">
        <v>11765</v>
      </c>
      <c r="BB6" s="118">
        <v>3466</v>
      </c>
      <c r="BC6" s="118">
        <v>8790</v>
      </c>
      <c r="BD6" s="118">
        <v>1278</v>
      </c>
      <c r="BE6" s="119">
        <v>576</v>
      </c>
      <c r="BF6" s="78">
        <f>SUM(AZ6:BE6)</f>
        <v>26863</v>
      </c>
      <c r="BG6" s="144"/>
      <c r="BH6" s="111"/>
      <c r="BI6" s="146"/>
      <c r="BJ6" s="153"/>
      <c r="BK6" s="55" t="s">
        <v>15</v>
      </c>
      <c r="BL6" s="117">
        <v>988</v>
      </c>
      <c r="BM6" s="118">
        <v>11765</v>
      </c>
      <c r="BN6" s="118">
        <v>3466</v>
      </c>
      <c r="BO6" s="118">
        <v>8790</v>
      </c>
      <c r="BP6" s="118">
        <v>1278</v>
      </c>
      <c r="BQ6" s="119">
        <v>576</v>
      </c>
      <c r="BR6" s="78">
        <f>SUM(BL6:BQ6)</f>
        <v>26863</v>
      </c>
      <c r="BS6" s="144"/>
      <c r="BT6" s="111"/>
      <c r="BU6" s="146"/>
      <c r="BV6" s="153"/>
      <c r="BW6" s="55" t="s">
        <v>15</v>
      </c>
      <c r="BX6" s="117">
        <v>988</v>
      </c>
      <c r="BY6" s="118">
        <v>11765</v>
      </c>
      <c r="BZ6" s="118">
        <v>3466</v>
      </c>
      <c r="CA6" s="118">
        <v>8790</v>
      </c>
      <c r="CB6" s="118">
        <v>1278</v>
      </c>
      <c r="CC6" s="119">
        <v>576</v>
      </c>
      <c r="CD6" s="78">
        <f>SUM(BX6:CC6)</f>
        <v>26863</v>
      </c>
      <c r="CE6" s="144"/>
      <c r="CF6" s="111"/>
      <c r="CG6" s="146"/>
      <c r="CH6" s="153"/>
      <c r="CI6" s="55" t="s">
        <v>15</v>
      </c>
      <c r="CJ6" s="117">
        <v>988</v>
      </c>
      <c r="CK6" s="118">
        <v>11765</v>
      </c>
      <c r="CL6" s="118">
        <v>3466</v>
      </c>
      <c r="CM6" s="118">
        <v>8790</v>
      </c>
      <c r="CN6" s="118">
        <v>1278</v>
      </c>
      <c r="CO6" s="119">
        <v>576</v>
      </c>
      <c r="CP6" s="78">
        <f>SUM(CJ6:CO6)</f>
        <v>26863</v>
      </c>
      <c r="CQ6" s="144"/>
      <c r="CR6" s="111"/>
      <c r="CS6" s="146"/>
      <c r="CT6" s="153"/>
      <c r="CU6" s="55" t="s">
        <v>15</v>
      </c>
      <c r="CV6" s="117">
        <v>988</v>
      </c>
      <c r="CW6" s="118">
        <v>11765</v>
      </c>
      <c r="CX6" s="118">
        <v>3466</v>
      </c>
      <c r="CY6" s="118">
        <v>8790</v>
      </c>
      <c r="CZ6" s="118">
        <v>1278</v>
      </c>
      <c r="DA6" s="119">
        <v>576</v>
      </c>
      <c r="DB6" s="78">
        <f>SUM(CV6:DA6)</f>
        <v>26863</v>
      </c>
      <c r="DC6" s="144"/>
      <c r="DD6" s="111"/>
      <c r="DE6" s="146"/>
      <c r="DF6" s="153"/>
      <c r="DG6" s="55" t="s">
        <v>15</v>
      </c>
      <c r="DH6" s="75">
        <v>0</v>
      </c>
      <c r="DI6" s="76">
        <v>0</v>
      </c>
      <c r="DJ6" s="76">
        <v>0</v>
      </c>
      <c r="DK6" s="76">
        <v>0</v>
      </c>
      <c r="DL6" s="76">
        <v>0</v>
      </c>
      <c r="DM6" s="77">
        <v>0</v>
      </c>
      <c r="DN6" s="78">
        <f>SUM(DH6:DM6)</f>
        <v>0</v>
      </c>
      <c r="DO6" s="144"/>
      <c r="DP6" s="111"/>
      <c r="DQ6" s="146"/>
      <c r="DR6" s="153"/>
      <c r="DS6" s="55" t="s">
        <v>15</v>
      </c>
      <c r="DT6" s="75">
        <v>0</v>
      </c>
      <c r="DU6" s="76">
        <v>0</v>
      </c>
      <c r="DV6" s="76">
        <v>0</v>
      </c>
      <c r="DW6" s="76">
        <v>0</v>
      </c>
      <c r="DX6" s="76">
        <v>0</v>
      </c>
      <c r="DY6" s="77">
        <v>0</v>
      </c>
      <c r="DZ6" s="78">
        <f>SUM(DT6:DY6)</f>
        <v>0</v>
      </c>
      <c r="EA6" s="144"/>
      <c r="EB6" s="111"/>
      <c r="EC6" s="146"/>
      <c r="ED6" s="153"/>
      <c r="EE6" s="55" t="s">
        <v>15</v>
      </c>
      <c r="EF6" s="75">
        <v>0</v>
      </c>
      <c r="EG6" s="76">
        <v>0</v>
      </c>
      <c r="EH6" s="76">
        <v>0</v>
      </c>
      <c r="EI6" s="76">
        <v>0</v>
      </c>
      <c r="EJ6" s="76">
        <v>0</v>
      </c>
      <c r="EK6" s="77">
        <v>0</v>
      </c>
      <c r="EL6" s="78">
        <f>SUM(EF6:EK6)</f>
        <v>0</v>
      </c>
      <c r="EM6" s="144"/>
      <c r="EN6" s="111"/>
      <c r="EO6" s="146"/>
      <c r="EP6" s="106"/>
      <c r="EQ6" s="55" t="s">
        <v>15</v>
      </c>
      <c r="ER6" s="75">
        <f t="shared" si="0"/>
        <v>0</v>
      </c>
      <c r="ES6" s="76">
        <f t="shared" si="0"/>
        <v>0</v>
      </c>
      <c r="ET6" s="76">
        <f t="shared" si="0"/>
        <v>0</v>
      </c>
      <c r="EU6" s="76">
        <f t="shared" si="0"/>
        <v>0</v>
      </c>
      <c r="EV6" s="76">
        <f t="shared" si="0"/>
        <v>0</v>
      </c>
      <c r="EW6" s="77">
        <f t="shared" si="0"/>
        <v>0</v>
      </c>
      <c r="EX6" s="79">
        <f>SUM(ER6:EW6)</f>
        <v>0</v>
      </c>
      <c r="EY6" s="144"/>
      <c r="EZ6" s="60"/>
    </row>
    <row r="7" spans="1:156" ht="15.95" customHeight="1" thickBot="1" x14ac:dyDescent="0.25">
      <c r="A7" s="146"/>
      <c r="B7" s="56" t="s">
        <v>16</v>
      </c>
      <c r="C7" s="57" t="s">
        <v>13</v>
      </c>
      <c r="D7" s="121">
        <v>0</v>
      </c>
      <c r="E7" s="122">
        <v>357</v>
      </c>
      <c r="F7" s="122">
        <v>456</v>
      </c>
      <c r="G7" s="122">
        <v>90</v>
      </c>
      <c r="H7" s="122">
        <v>88</v>
      </c>
      <c r="I7" s="123">
        <v>16</v>
      </c>
      <c r="J7" s="116">
        <f>SUM(D7:I7)</f>
        <v>1007</v>
      </c>
      <c r="K7" s="143">
        <v>50</v>
      </c>
      <c r="L7" s="111"/>
      <c r="M7" s="146"/>
      <c r="N7" s="56" t="s">
        <v>16</v>
      </c>
      <c r="O7" s="57" t="s">
        <v>13</v>
      </c>
      <c r="P7" s="121">
        <v>0</v>
      </c>
      <c r="Q7" s="122">
        <v>357</v>
      </c>
      <c r="R7" s="122">
        <v>456</v>
      </c>
      <c r="S7" s="122">
        <v>90</v>
      </c>
      <c r="T7" s="122">
        <v>88</v>
      </c>
      <c r="U7" s="123">
        <v>16</v>
      </c>
      <c r="V7" s="73">
        <f>SUM(P7:U7)</f>
        <v>1007</v>
      </c>
      <c r="W7" s="143">
        <v>50</v>
      </c>
      <c r="X7" s="111"/>
      <c r="Y7" s="146"/>
      <c r="Z7" s="56" t="s">
        <v>16</v>
      </c>
      <c r="AA7" s="57" t="s">
        <v>13</v>
      </c>
      <c r="AB7" s="121">
        <v>0</v>
      </c>
      <c r="AC7" s="122">
        <v>357</v>
      </c>
      <c r="AD7" s="122">
        <v>456</v>
      </c>
      <c r="AE7" s="122">
        <v>90</v>
      </c>
      <c r="AF7" s="122">
        <v>88</v>
      </c>
      <c r="AG7" s="123">
        <v>16</v>
      </c>
      <c r="AH7" s="73">
        <f>SUM(AB7:AG7)</f>
        <v>1007</v>
      </c>
      <c r="AI7" s="143">
        <v>50</v>
      </c>
      <c r="AJ7" s="111"/>
      <c r="AK7" s="146"/>
      <c r="AL7" s="56" t="s">
        <v>16</v>
      </c>
      <c r="AM7" s="57" t="s">
        <v>13</v>
      </c>
      <c r="AN7" s="121">
        <v>0</v>
      </c>
      <c r="AO7" s="122">
        <v>357</v>
      </c>
      <c r="AP7" s="122">
        <v>456</v>
      </c>
      <c r="AQ7" s="122">
        <v>90</v>
      </c>
      <c r="AR7" s="122">
        <v>88</v>
      </c>
      <c r="AS7" s="123">
        <v>16</v>
      </c>
      <c r="AT7" s="73">
        <f>SUM(AN7:AS7)</f>
        <v>1007</v>
      </c>
      <c r="AU7" s="143">
        <v>50</v>
      </c>
      <c r="AV7" s="111"/>
      <c r="AW7" s="146"/>
      <c r="AX7" s="56" t="s">
        <v>16</v>
      </c>
      <c r="AY7" s="57" t="s">
        <v>13</v>
      </c>
      <c r="AZ7" s="121">
        <v>0</v>
      </c>
      <c r="BA7" s="122">
        <v>357</v>
      </c>
      <c r="BB7" s="122">
        <v>456</v>
      </c>
      <c r="BC7" s="122">
        <v>90</v>
      </c>
      <c r="BD7" s="122">
        <v>88</v>
      </c>
      <c r="BE7" s="123">
        <v>16</v>
      </c>
      <c r="BF7" s="73">
        <f>SUM(AZ7:BE7)</f>
        <v>1007</v>
      </c>
      <c r="BG7" s="143">
        <v>50</v>
      </c>
      <c r="BH7" s="111"/>
      <c r="BI7" s="146"/>
      <c r="BJ7" s="56" t="s">
        <v>16</v>
      </c>
      <c r="BK7" s="57" t="s">
        <v>13</v>
      </c>
      <c r="BL7" s="121">
        <v>0</v>
      </c>
      <c r="BM7" s="122">
        <v>357</v>
      </c>
      <c r="BN7" s="122">
        <v>456</v>
      </c>
      <c r="BO7" s="122">
        <v>90</v>
      </c>
      <c r="BP7" s="122">
        <v>88</v>
      </c>
      <c r="BQ7" s="123">
        <v>16</v>
      </c>
      <c r="BR7" s="73">
        <f>SUM(BL7:BQ7)</f>
        <v>1007</v>
      </c>
      <c r="BS7" s="143">
        <v>50</v>
      </c>
      <c r="BT7" s="111"/>
      <c r="BU7" s="146"/>
      <c r="BV7" s="56" t="s">
        <v>16</v>
      </c>
      <c r="BW7" s="57" t="s">
        <v>13</v>
      </c>
      <c r="BX7" s="121">
        <v>0</v>
      </c>
      <c r="BY7" s="122">
        <v>357</v>
      </c>
      <c r="BZ7" s="122">
        <v>456</v>
      </c>
      <c r="CA7" s="122">
        <v>90</v>
      </c>
      <c r="CB7" s="122">
        <v>88</v>
      </c>
      <c r="CC7" s="123">
        <v>16</v>
      </c>
      <c r="CD7" s="73">
        <f>SUM(BX7:CC7)</f>
        <v>1007</v>
      </c>
      <c r="CE7" s="143">
        <v>50</v>
      </c>
      <c r="CF7" s="111"/>
      <c r="CG7" s="146"/>
      <c r="CH7" s="56" t="s">
        <v>16</v>
      </c>
      <c r="CI7" s="57" t="s">
        <v>13</v>
      </c>
      <c r="CJ7" s="121">
        <v>0</v>
      </c>
      <c r="CK7" s="122">
        <v>357</v>
      </c>
      <c r="CL7" s="122">
        <v>456</v>
      </c>
      <c r="CM7" s="122">
        <v>90</v>
      </c>
      <c r="CN7" s="122">
        <v>88</v>
      </c>
      <c r="CO7" s="123">
        <v>16</v>
      </c>
      <c r="CP7" s="73">
        <f>SUM(CJ7:CO7)</f>
        <v>1007</v>
      </c>
      <c r="CQ7" s="143">
        <v>50</v>
      </c>
      <c r="CR7" s="111"/>
      <c r="CS7" s="146"/>
      <c r="CT7" s="56" t="s">
        <v>16</v>
      </c>
      <c r="CU7" s="57" t="s">
        <v>13</v>
      </c>
      <c r="CV7" s="121">
        <v>0</v>
      </c>
      <c r="CW7" s="122">
        <v>357</v>
      </c>
      <c r="CX7" s="122">
        <v>456</v>
      </c>
      <c r="CY7" s="122">
        <v>90</v>
      </c>
      <c r="CZ7" s="122">
        <v>88</v>
      </c>
      <c r="DA7" s="123">
        <v>16</v>
      </c>
      <c r="DB7" s="73">
        <f>SUM(CV7:DA7)</f>
        <v>1007</v>
      </c>
      <c r="DC7" s="143">
        <v>50</v>
      </c>
      <c r="DD7" s="111"/>
      <c r="DE7" s="146"/>
      <c r="DF7" s="56" t="s">
        <v>16</v>
      </c>
      <c r="DG7" s="57" t="s">
        <v>13</v>
      </c>
      <c r="DH7" s="70">
        <v>0</v>
      </c>
      <c r="DI7" s="71">
        <v>0</v>
      </c>
      <c r="DJ7" s="71">
        <v>0</v>
      </c>
      <c r="DK7" s="71">
        <v>0</v>
      </c>
      <c r="DL7" s="71">
        <v>0</v>
      </c>
      <c r="DM7" s="72">
        <v>0</v>
      </c>
      <c r="DN7" s="73">
        <f>SUM(DH7:DM7)</f>
        <v>0</v>
      </c>
      <c r="DO7" s="143">
        <v>0</v>
      </c>
      <c r="DP7" s="111"/>
      <c r="DQ7" s="146"/>
      <c r="DR7" s="56" t="s">
        <v>16</v>
      </c>
      <c r="DS7" s="57" t="s">
        <v>13</v>
      </c>
      <c r="DT7" s="70">
        <v>0</v>
      </c>
      <c r="DU7" s="71">
        <v>0</v>
      </c>
      <c r="DV7" s="71">
        <v>0</v>
      </c>
      <c r="DW7" s="71">
        <v>0</v>
      </c>
      <c r="DX7" s="71">
        <v>0</v>
      </c>
      <c r="DY7" s="72">
        <v>0</v>
      </c>
      <c r="DZ7" s="73">
        <f>SUM(DT7:DY7)</f>
        <v>0</v>
      </c>
      <c r="EA7" s="143">
        <v>0</v>
      </c>
      <c r="EB7" s="111"/>
      <c r="EC7" s="146"/>
      <c r="ED7" s="56" t="s">
        <v>16</v>
      </c>
      <c r="EE7" s="57" t="s">
        <v>13</v>
      </c>
      <c r="EF7" s="70">
        <v>0</v>
      </c>
      <c r="EG7" s="71">
        <v>0</v>
      </c>
      <c r="EH7" s="71">
        <v>0</v>
      </c>
      <c r="EI7" s="71">
        <v>0</v>
      </c>
      <c r="EJ7" s="71">
        <v>0</v>
      </c>
      <c r="EK7" s="72">
        <v>0</v>
      </c>
      <c r="EL7" s="73">
        <f>SUM(EF7:EK7)</f>
        <v>0</v>
      </c>
      <c r="EM7" s="143">
        <v>0</v>
      </c>
      <c r="EN7" s="111"/>
      <c r="EO7" s="146"/>
      <c r="EP7" s="56" t="s">
        <v>16</v>
      </c>
      <c r="EQ7" s="57" t="s">
        <v>13</v>
      </c>
      <c r="ER7" s="80">
        <f t="shared" si="0"/>
        <v>0</v>
      </c>
      <c r="ES7" s="81">
        <f t="shared" si="0"/>
        <v>0</v>
      </c>
      <c r="ET7" s="81">
        <f t="shared" si="0"/>
        <v>0</v>
      </c>
      <c r="EU7" s="81">
        <f t="shared" si="0"/>
        <v>0</v>
      </c>
      <c r="EV7" s="81">
        <f t="shared" si="0"/>
        <v>0</v>
      </c>
      <c r="EW7" s="82">
        <f t="shared" si="0"/>
        <v>0</v>
      </c>
      <c r="EX7" s="74">
        <f>SUM(ER7:EW7)</f>
        <v>0</v>
      </c>
      <c r="EY7" s="143">
        <f>SUM(EM7)</f>
        <v>0</v>
      </c>
      <c r="EZ7" s="60"/>
    </row>
    <row r="8" spans="1:156" ht="15.95" customHeight="1" thickBot="1" x14ac:dyDescent="0.25">
      <c r="A8" s="146"/>
      <c r="B8" s="58" t="s">
        <v>14</v>
      </c>
      <c r="C8" s="59" t="s">
        <v>15</v>
      </c>
      <c r="D8" s="117">
        <v>0</v>
      </c>
      <c r="E8" s="118">
        <v>324</v>
      </c>
      <c r="F8" s="118">
        <v>567</v>
      </c>
      <c r="G8" s="118">
        <v>130</v>
      </c>
      <c r="H8" s="118">
        <v>69</v>
      </c>
      <c r="I8" s="119">
        <v>12</v>
      </c>
      <c r="J8" s="120">
        <f>SUM(D8:I8)</f>
        <v>1102</v>
      </c>
      <c r="K8" s="144"/>
      <c r="L8" s="111"/>
      <c r="M8" s="146"/>
      <c r="N8" s="58" t="s">
        <v>14</v>
      </c>
      <c r="O8" s="59" t="s">
        <v>15</v>
      </c>
      <c r="P8" s="117">
        <v>0</v>
      </c>
      <c r="Q8" s="118">
        <v>324</v>
      </c>
      <c r="R8" s="118">
        <v>567</v>
      </c>
      <c r="S8" s="118">
        <v>130</v>
      </c>
      <c r="T8" s="118">
        <v>69</v>
      </c>
      <c r="U8" s="119">
        <v>12</v>
      </c>
      <c r="V8" s="78">
        <f>SUM(P8:U8)</f>
        <v>1102</v>
      </c>
      <c r="W8" s="144"/>
      <c r="X8" s="111"/>
      <c r="Y8" s="146"/>
      <c r="Z8" s="58" t="s">
        <v>14</v>
      </c>
      <c r="AA8" s="59" t="s">
        <v>15</v>
      </c>
      <c r="AB8" s="117">
        <v>0</v>
      </c>
      <c r="AC8" s="118">
        <v>324</v>
      </c>
      <c r="AD8" s="118">
        <v>567</v>
      </c>
      <c r="AE8" s="118">
        <v>130</v>
      </c>
      <c r="AF8" s="118">
        <v>69</v>
      </c>
      <c r="AG8" s="119">
        <v>12</v>
      </c>
      <c r="AH8" s="78">
        <f>SUM(AB8:AG8)</f>
        <v>1102</v>
      </c>
      <c r="AI8" s="144"/>
      <c r="AJ8" s="111"/>
      <c r="AK8" s="146"/>
      <c r="AL8" s="58" t="s">
        <v>14</v>
      </c>
      <c r="AM8" s="59" t="s">
        <v>15</v>
      </c>
      <c r="AN8" s="117">
        <v>0</v>
      </c>
      <c r="AO8" s="118">
        <v>324</v>
      </c>
      <c r="AP8" s="118">
        <v>567</v>
      </c>
      <c r="AQ8" s="118">
        <v>130</v>
      </c>
      <c r="AR8" s="118">
        <v>69</v>
      </c>
      <c r="AS8" s="119">
        <v>12</v>
      </c>
      <c r="AT8" s="78">
        <f>SUM(AN8:AS8)</f>
        <v>1102</v>
      </c>
      <c r="AU8" s="144"/>
      <c r="AV8" s="111"/>
      <c r="AW8" s="146"/>
      <c r="AX8" s="58" t="s">
        <v>14</v>
      </c>
      <c r="AY8" s="59" t="s">
        <v>15</v>
      </c>
      <c r="AZ8" s="117">
        <v>0</v>
      </c>
      <c r="BA8" s="118">
        <v>324</v>
      </c>
      <c r="BB8" s="118">
        <v>567</v>
      </c>
      <c r="BC8" s="118">
        <v>130</v>
      </c>
      <c r="BD8" s="118">
        <v>69</v>
      </c>
      <c r="BE8" s="119">
        <v>12</v>
      </c>
      <c r="BF8" s="78">
        <f>SUM(AZ8:BE8)</f>
        <v>1102</v>
      </c>
      <c r="BG8" s="144"/>
      <c r="BH8" s="111"/>
      <c r="BI8" s="146"/>
      <c r="BJ8" s="58" t="s">
        <v>14</v>
      </c>
      <c r="BK8" s="59" t="s">
        <v>15</v>
      </c>
      <c r="BL8" s="117">
        <v>0</v>
      </c>
      <c r="BM8" s="118">
        <v>324</v>
      </c>
      <c r="BN8" s="118">
        <v>567</v>
      </c>
      <c r="BO8" s="118">
        <v>130</v>
      </c>
      <c r="BP8" s="118">
        <v>69</v>
      </c>
      <c r="BQ8" s="119">
        <v>12</v>
      </c>
      <c r="BR8" s="78">
        <f>SUM(BL8:BQ8)</f>
        <v>1102</v>
      </c>
      <c r="BS8" s="144"/>
      <c r="BT8" s="111"/>
      <c r="BU8" s="146"/>
      <c r="BV8" s="58" t="s">
        <v>14</v>
      </c>
      <c r="BW8" s="59" t="s">
        <v>15</v>
      </c>
      <c r="BX8" s="117">
        <v>0</v>
      </c>
      <c r="BY8" s="118">
        <v>324</v>
      </c>
      <c r="BZ8" s="118">
        <v>567</v>
      </c>
      <c r="CA8" s="118">
        <v>130</v>
      </c>
      <c r="CB8" s="118">
        <v>69</v>
      </c>
      <c r="CC8" s="119">
        <v>12</v>
      </c>
      <c r="CD8" s="78">
        <f>SUM(BX8:CC8)</f>
        <v>1102</v>
      </c>
      <c r="CE8" s="144"/>
      <c r="CF8" s="111"/>
      <c r="CG8" s="146"/>
      <c r="CH8" s="58" t="s">
        <v>14</v>
      </c>
      <c r="CI8" s="59" t="s">
        <v>15</v>
      </c>
      <c r="CJ8" s="117">
        <v>0</v>
      </c>
      <c r="CK8" s="118">
        <v>324</v>
      </c>
      <c r="CL8" s="118">
        <v>567</v>
      </c>
      <c r="CM8" s="118">
        <v>130</v>
      </c>
      <c r="CN8" s="118">
        <v>69</v>
      </c>
      <c r="CO8" s="119">
        <v>12</v>
      </c>
      <c r="CP8" s="78">
        <f>SUM(CJ8:CO8)</f>
        <v>1102</v>
      </c>
      <c r="CQ8" s="144"/>
      <c r="CR8" s="111"/>
      <c r="CS8" s="146"/>
      <c r="CT8" s="58" t="s">
        <v>14</v>
      </c>
      <c r="CU8" s="59" t="s">
        <v>15</v>
      </c>
      <c r="CV8" s="117">
        <v>0</v>
      </c>
      <c r="CW8" s="118">
        <v>324</v>
      </c>
      <c r="CX8" s="118">
        <v>567</v>
      </c>
      <c r="CY8" s="118">
        <v>130</v>
      </c>
      <c r="CZ8" s="118">
        <v>69</v>
      </c>
      <c r="DA8" s="119">
        <v>12</v>
      </c>
      <c r="DB8" s="78">
        <f>SUM(CV8:DA8)</f>
        <v>1102</v>
      </c>
      <c r="DC8" s="144"/>
      <c r="DD8" s="111"/>
      <c r="DE8" s="146"/>
      <c r="DF8" s="58" t="s">
        <v>14</v>
      </c>
      <c r="DG8" s="59" t="s">
        <v>15</v>
      </c>
      <c r="DH8" s="75">
        <v>0</v>
      </c>
      <c r="DI8" s="76">
        <v>0</v>
      </c>
      <c r="DJ8" s="76">
        <v>0</v>
      </c>
      <c r="DK8" s="76">
        <v>0</v>
      </c>
      <c r="DL8" s="76">
        <v>0</v>
      </c>
      <c r="DM8" s="77">
        <v>0</v>
      </c>
      <c r="DN8" s="78">
        <f>SUM(DH8:DM8)</f>
        <v>0</v>
      </c>
      <c r="DO8" s="144"/>
      <c r="DP8" s="111"/>
      <c r="DQ8" s="146"/>
      <c r="DR8" s="58" t="s">
        <v>14</v>
      </c>
      <c r="DS8" s="59" t="s">
        <v>15</v>
      </c>
      <c r="DT8" s="75">
        <v>0</v>
      </c>
      <c r="DU8" s="76">
        <v>0</v>
      </c>
      <c r="DV8" s="76">
        <v>0</v>
      </c>
      <c r="DW8" s="76">
        <v>0</v>
      </c>
      <c r="DX8" s="76">
        <v>0</v>
      </c>
      <c r="DY8" s="77">
        <v>0</v>
      </c>
      <c r="DZ8" s="78">
        <f>SUM(DT8:DY8)</f>
        <v>0</v>
      </c>
      <c r="EA8" s="144"/>
      <c r="EB8" s="111"/>
      <c r="EC8" s="146"/>
      <c r="ED8" s="58" t="s">
        <v>14</v>
      </c>
      <c r="EE8" s="59" t="s">
        <v>15</v>
      </c>
      <c r="EF8" s="75">
        <v>0</v>
      </c>
      <c r="EG8" s="76">
        <v>0</v>
      </c>
      <c r="EH8" s="76">
        <v>0</v>
      </c>
      <c r="EI8" s="76">
        <v>0</v>
      </c>
      <c r="EJ8" s="76">
        <v>0</v>
      </c>
      <c r="EK8" s="77">
        <v>0</v>
      </c>
      <c r="EL8" s="78">
        <f>SUM(EF8:EK8)</f>
        <v>0</v>
      </c>
      <c r="EM8" s="144"/>
      <c r="EN8" s="111"/>
      <c r="EO8" s="146"/>
      <c r="EP8" s="58" t="s">
        <v>14</v>
      </c>
      <c r="EQ8" s="59" t="s">
        <v>15</v>
      </c>
      <c r="ER8" s="75">
        <f t="shared" si="0"/>
        <v>0</v>
      </c>
      <c r="ES8" s="76">
        <f t="shared" si="0"/>
        <v>0</v>
      </c>
      <c r="ET8" s="76">
        <f t="shared" si="0"/>
        <v>0</v>
      </c>
      <c r="EU8" s="76">
        <f t="shared" si="0"/>
        <v>0</v>
      </c>
      <c r="EV8" s="76">
        <f t="shared" si="0"/>
        <v>0</v>
      </c>
      <c r="EW8" s="77">
        <f t="shared" si="0"/>
        <v>0</v>
      </c>
      <c r="EX8" s="79">
        <f>SUM(ER8:EW8)</f>
        <v>0</v>
      </c>
      <c r="EY8" s="144"/>
      <c r="EZ8" s="60"/>
    </row>
    <row r="9" spans="1:156" ht="15.95" customHeight="1" thickBot="1" x14ac:dyDescent="0.25">
      <c r="A9" s="147"/>
      <c r="B9" s="150" t="s">
        <v>17</v>
      </c>
      <c r="C9" s="151"/>
      <c r="D9" s="124">
        <f t="shared" ref="D9:K9" si="1">SUM(D5:D8)</f>
        <v>2410</v>
      </c>
      <c r="E9" s="125">
        <f t="shared" si="1"/>
        <v>14312</v>
      </c>
      <c r="F9" s="125">
        <f t="shared" si="1"/>
        <v>7887</v>
      </c>
      <c r="G9" s="125">
        <f t="shared" si="1"/>
        <v>17618</v>
      </c>
      <c r="H9" s="125">
        <f t="shared" si="1"/>
        <v>3144</v>
      </c>
      <c r="I9" s="126">
        <f t="shared" si="1"/>
        <v>1302</v>
      </c>
      <c r="J9" s="127">
        <f t="shared" si="1"/>
        <v>46673</v>
      </c>
      <c r="K9" s="86">
        <f t="shared" si="1"/>
        <v>5431</v>
      </c>
      <c r="L9" s="111"/>
      <c r="M9" s="147"/>
      <c r="N9" s="150" t="s">
        <v>17</v>
      </c>
      <c r="O9" s="151"/>
      <c r="P9" s="83">
        <f t="shared" ref="P9:W9" si="2">SUM(P5:P8)</f>
        <v>2410</v>
      </c>
      <c r="Q9" s="84">
        <f t="shared" si="2"/>
        <v>14312</v>
      </c>
      <c r="R9" s="84">
        <f t="shared" si="2"/>
        <v>7887</v>
      </c>
      <c r="S9" s="84">
        <f t="shared" si="2"/>
        <v>17618</v>
      </c>
      <c r="T9" s="84">
        <f t="shared" si="2"/>
        <v>3144</v>
      </c>
      <c r="U9" s="85">
        <f t="shared" si="2"/>
        <v>1302</v>
      </c>
      <c r="V9" s="1">
        <f t="shared" si="2"/>
        <v>46673</v>
      </c>
      <c r="W9" s="86">
        <f t="shared" si="2"/>
        <v>5431</v>
      </c>
      <c r="X9" s="111"/>
      <c r="Y9" s="147"/>
      <c r="Z9" s="150" t="s">
        <v>17</v>
      </c>
      <c r="AA9" s="151"/>
      <c r="AB9" s="83">
        <f t="shared" ref="AB9:AI9" si="3">SUM(AB5:AB8)</f>
        <v>2410</v>
      </c>
      <c r="AC9" s="84">
        <f t="shared" si="3"/>
        <v>14312</v>
      </c>
      <c r="AD9" s="84">
        <f t="shared" si="3"/>
        <v>7887</v>
      </c>
      <c r="AE9" s="84">
        <f t="shared" si="3"/>
        <v>17618</v>
      </c>
      <c r="AF9" s="84">
        <f t="shared" si="3"/>
        <v>3144</v>
      </c>
      <c r="AG9" s="85">
        <f t="shared" si="3"/>
        <v>1302</v>
      </c>
      <c r="AH9" s="1">
        <f t="shared" si="3"/>
        <v>46673</v>
      </c>
      <c r="AI9" s="86">
        <f t="shared" si="3"/>
        <v>5431</v>
      </c>
      <c r="AJ9" s="111"/>
      <c r="AK9" s="147"/>
      <c r="AL9" s="150" t="s">
        <v>17</v>
      </c>
      <c r="AM9" s="151"/>
      <c r="AN9" s="83">
        <f t="shared" ref="AN9:AU9" si="4">SUM(AN5:AN8)</f>
        <v>2410</v>
      </c>
      <c r="AO9" s="84">
        <f t="shared" si="4"/>
        <v>14312</v>
      </c>
      <c r="AP9" s="84">
        <f t="shared" si="4"/>
        <v>7887</v>
      </c>
      <c r="AQ9" s="84">
        <f t="shared" si="4"/>
        <v>17618</v>
      </c>
      <c r="AR9" s="84">
        <f t="shared" si="4"/>
        <v>3144</v>
      </c>
      <c r="AS9" s="85">
        <f t="shared" si="4"/>
        <v>1302</v>
      </c>
      <c r="AT9" s="1">
        <f t="shared" si="4"/>
        <v>46673</v>
      </c>
      <c r="AU9" s="86">
        <f t="shared" si="4"/>
        <v>5431</v>
      </c>
      <c r="AV9" s="111"/>
      <c r="AW9" s="147"/>
      <c r="AX9" s="150" t="s">
        <v>17</v>
      </c>
      <c r="AY9" s="151"/>
      <c r="AZ9" s="83">
        <f t="shared" ref="AZ9:BE9" si="5">SUM(AZ5:AZ8)</f>
        <v>2410</v>
      </c>
      <c r="BA9" s="84">
        <f t="shared" si="5"/>
        <v>14312</v>
      </c>
      <c r="BB9" s="84">
        <f t="shared" si="5"/>
        <v>7887</v>
      </c>
      <c r="BC9" s="84">
        <f t="shared" si="5"/>
        <v>17618</v>
      </c>
      <c r="BD9" s="84">
        <f t="shared" si="5"/>
        <v>3144</v>
      </c>
      <c r="BE9" s="85">
        <f t="shared" si="5"/>
        <v>1302</v>
      </c>
      <c r="BF9" s="1">
        <f t="shared" ref="BF9:BG9" si="6">SUM(BF5:BF8)</f>
        <v>46673</v>
      </c>
      <c r="BG9" s="86">
        <f t="shared" si="6"/>
        <v>5431</v>
      </c>
      <c r="BH9" s="111"/>
      <c r="BI9" s="147"/>
      <c r="BJ9" s="150" t="s">
        <v>17</v>
      </c>
      <c r="BK9" s="151"/>
      <c r="BL9" s="83">
        <f t="shared" ref="BL9:BQ9" si="7">SUM(BL5:BL8)</f>
        <v>2410</v>
      </c>
      <c r="BM9" s="84">
        <f t="shared" si="7"/>
        <v>14312</v>
      </c>
      <c r="BN9" s="84">
        <f t="shared" si="7"/>
        <v>7887</v>
      </c>
      <c r="BO9" s="84">
        <f t="shared" si="7"/>
        <v>17618</v>
      </c>
      <c r="BP9" s="84">
        <f t="shared" si="7"/>
        <v>3144</v>
      </c>
      <c r="BQ9" s="85">
        <f t="shared" si="7"/>
        <v>1302</v>
      </c>
      <c r="BR9" s="1">
        <f t="shared" ref="BR9:BS9" si="8">SUM(BR5:BR8)</f>
        <v>46673</v>
      </c>
      <c r="BS9" s="86">
        <f t="shared" si="8"/>
        <v>5431</v>
      </c>
      <c r="BT9" s="111"/>
      <c r="BU9" s="147"/>
      <c r="BV9" s="150" t="s">
        <v>17</v>
      </c>
      <c r="BW9" s="151"/>
      <c r="BX9" s="83">
        <f t="shared" ref="BX9:CE9" si="9">SUM(BX5:BX8)</f>
        <v>2410</v>
      </c>
      <c r="BY9" s="84">
        <f t="shared" si="9"/>
        <v>14312</v>
      </c>
      <c r="BZ9" s="84">
        <f t="shared" si="9"/>
        <v>7887</v>
      </c>
      <c r="CA9" s="84">
        <f t="shared" si="9"/>
        <v>17618</v>
      </c>
      <c r="CB9" s="84">
        <f t="shared" si="9"/>
        <v>3144</v>
      </c>
      <c r="CC9" s="85">
        <f t="shared" si="9"/>
        <v>1302</v>
      </c>
      <c r="CD9" s="1">
        <f t="shared" si="9"/>
        <v>46673</v>
      </c>
      <c r="CE9" s="86">
        <f t="shared" si="9"/>
        <v>5431</v>
      </c>
      <c r="CF9" s="111"/>
      <c r="CG9" s="147"/>
      <c r="CH9" s="150" t="s">
        <v>17</v>
      </c>
      <c r="CI9" s="151"/>
      <c r="CJ9" s="83">
        <f t="shared" ref="CJ9:CQ9" si="10">SUM(CJ5:CJ8)</f>
        <v>2410</v>
      </c>
      <c r="CK9" s="84">
        <f t="shared" si="10"/>
        <v>14312</v>
      </c>
      <c r="CL9" s="84">
        <f t="shared" si="10"/>
        <v>7887</v>
      </c>
      <c r="CM9" s="84">
        <f t="shared" si="10"/>
        <v>17618</v>
      </c>
      <c r="CN9" s="84">
        <f t="shared" si="10"/>
        <v>3144</v>
      </c>
      <c r="CO9" s="85">
        <f t="shared" si="10"/>
        <v>1302</v>
      </c>
      <c r="CP9" s="1">
        <f t="shared" si="10"/>
        <v>46673</v>
      </c>
      <c r="CQ9" s="86">
        <f t="shared" si="10"/>
        <v>5431</v>
      </c>
      <c r="CR9" s="111"/>
      <c r="CS9" s="147"/>
      <c r="CT9" s="150" t="s">
        <v>17</v>
      </c>
      <c r="CU9" s="151"/>
      <c r="CV9" s="83">
        <f t="shared" ref="CV9:DC9" si="11">SUM(CV5:CV8)</f>
        <v>2410</v>
      </c>
      <c r="CW9" s="84">
        <f t="shared" si="11"/>
        <v>14312</v>
      </c>
      <c r="CX9" s="84">
        <f t="shared" si="11"/>
        <v>7887</v>
      </c>
      <c r="CY9" s="84">
        <f t="shared" si="11"/>
        <v>17618</v>
      </c>
      <c r="CZ9" s="84">
        <f t="shared" si="11"/>
        <v>3144</v>
      </c>
      <c r="DA9" s="85">
        <f t="shared" si="11"/>
        <v>1302</v>
      </c>
      <c r="DB9" s="1">
        <f t="shared" si="11"/>
        <v>46673</v>
      </c>
      <c r="DC9" s="86">
        <f t="shared" si="11"/>
        <v>5431</v>
      </c>
      <c r="DD9" s="111"/>
      <c r="DE9" s="147"/>
      <c r="DF9" s="150" t="s">
        <v>17</v>
      </c>
      <c r="DG9" s="151"/>
      <c r="DH9" s="83">
        <f t="shared" ref="DH9:DO9" si="12">SUM(DH5:DH8)</f>
        <v>0</v>
      </c>
      <c r="DI9" s="84">
        <f t="shared" si="12"/>
        <v>0</v>
      </c>
      <c r="DJ9" s="84">
        <f t="shared" si="12"/>
        <v>0</v>
      </c>
      <c r="DK9" s="84">
        <f t="shared" si="12"/>
        <v>0</v>
      </c>
      <c r="DL9" s="84">
        <f t="shared" si="12"/>
        <v>0</v>
      </c>
      <c r="DM9" s="85">
        <f t="shared" si="12"/>
        <v>0</v>
      </c>
      <c r="DN9" s="1">
        <f t="shared" si="12"/>
        <v>0</v>
      </c>
      <c r="DO9" s="86">
        <f t="shared" si="12"/>
        <v>0</v>
      </c>
      <c r="DP9" s="111"/>
      <c r="DQ9" s="147"/>
      <c r="DR9" s="150" t="s">
        <v>17</v>
      </c>
      <c r="DS9" s="151"/>
      <c r="DT9" s="83">
        <f t="shared" ref="DT9:EA9" si="13">SUM(DT5:DT8)</f>
        <v>0</v>
      </c>
      <c r="DU9" s="84">
        <f t="shared" si="13"/>
        <v>0</v>
      </c>
      <c r="DV9" s="84">
        <f t="shared" si="13"/>
        <v>0</v>
      </c>
      <c r="DW9" s="84">
        <f t="shared" si="13"/>
        <v>0</v>
      </c>
      <c r="DX9" s="84">
        <f t="shared" si="13"/>
        <v>0</v>
      </c>
      <c r="DY9" s="85">
        <f t="shared" si="13"/>
        <v>0</v>
      </c>
      <c r="DZ9" s="1">
        <f t="shared" si="13"/>
        <v>0</v>
      </c>
      <c r="EA9" s="86">
        <f t="shared" si="13"/>
        <v>0</v>
      </c>
      <c r="EB9" s="111"/>
      <c r="EC9" s="147"/>
      <c r="ED9" s="150" t="s">
        <v>17</v>
      </c>
      <c r="EE9" s="151"/>
      <c r="EF9" s="83">
        <f t="shared" ref="EF9:EM9" si="14">SUM(EF5:EF8)</f>
        <v>0</v>
      </c>
      <c r="EG9" s="84">
        <f t="shared" si="14"/>
        <v>0</v>
      </c>
      <c r="EH9" s="84">
        <f t="shared" si="14"/>
        <v>0</v>
      </c>
      <c r="EI9" s="84">
        <f t="shared" si="14"/>
        <v>0</v>
      </c>
      <c r="EJ9" s="84">
        <f t="shared" si="14"/>
        <v>0</v>
      </c>
      <c r="EK9" s="85">
        <f t="shared" si="14"/>
        <v>0</v>
      </c>
      <c r="EL9" s="1">
        <f t="shared" si="14"/>
        <v>0</v>
      </c>
      <c r="EM9" s="86">
        <f t="shared" si="14"/>
        <v>0</v>
      </c>
      <c r="EN9" s="111"/>
      <c r="EO9" s="147"/>
      <c r="EP9" s="107" t="s">
        <v>17</v>
      </c>
      <c r="EQ9" s="108"/>
      <c r="ER9" s="83">
        <f t="shared" ref="ER9:EY9" si="15">SUM(ER5:ER8)</f>
        <v>0</v>
      </c>
      <c r="ES9" s="84">
        <f t="shared" si="15"/>
        <v>0</v>
      </c>
      <c r="ET9" s="84">
        <f t="shared" si="15"/>
        <v>0</v>
      </c>
      <c r="EU9" s="84">
        <f t="shared" si="15"/>
        <v>0</v>
      </c>
      <c r="EV9" s="84">
        <f t="shared" si="15"/>
        <v>0</v>
      </c>
      <c r="EW9" s="85">
        <f t="shared" si="15"/>
        <v>0</v>
      </c>
      <c r="EX9" s="1">
        <f t="shared" si="15"/>
        <v>0</v>
      </c>
      <c r="EY9" s="86">
        <f t="shared" si="15"/>
        <v>0</v>
      </c>
      <c r="EZ9" s="60"/>
    </row>
    <row r="10" spans="1:156" ht="15.95" customHeight="1" thickTop="1" thickBot="1" x14ac:dyDescent="0.25">
      <c r="A10" s="145" t="s">
        <v>24</v>
      </c>
      <c r="B10" s="152" t="s">
        <v>14</v>
      </c>
      <c r="C10" s="53" t="s">
        <v>13</v>
      </c>
      <c r="D10" s="113">
        <v>57</v>
      </c>
      <c r="E10" s="114">
        <v>756</v>
      </c>
      <c r="F10" s="114">
        <v>3886</v>
      </c>
      <c r="G10" s="114">
        <v>10832</v>
      </c>
      <c r="H10" s="114">
        <v>1884</v>
      </c>
      <c r="I10" s="115">
        <v>1267</v>
      </c>
      <c r="J10" s="116">
        <f>SUM(D10:I10)</f>
        <v>18682</v>
      </c>
      <c r="K10" s="143">
        <v>4366</v>
      </c>
      <c r="L10" s="111"/>
      <c r="M10" s="145" t="s">
        <v>24</v>
      </c>
      <c r="N10" s="152" t="s">
        <v>14</v>
      </c>
      <c r="O10" s="53" t="s">
        <v>13</v>
      </c>
      <c r="P10" s="113">
        <v>57</v>
      </c>
      <c r="Q10" s="114">
        <v>756</v>
      </c>
      <c r="R10" s="114">
        <v>3886</v>
      </c>
      <c r="S10" s="114">
        <v>10832</v>
      </c>
      <c r="T10" s="114">
        <v>1884</v>
      </c>
      <c r="U10" s="115">
        <v>1267</v>
      </c>
      <c r="V10" s="73">
        <f>SUM(P10:U10)</f>
        <v>18682</v>
      </c>
      <c r="W10" s="143">
        <v>4366</v>
      </c>
      <c r="X10" s="111"/>
      <c r="Y10" s="145" t="s">
        <v>24</v>
      </c>
      <c r="Z10" s="152" t="s">
        <v>14</v>
      </c>
      <c r="AA10" s="53" t="s">
        <v>13</v>
      </c>
      <c r="AB10" s="113">
        <v>57</v>
      </c>
      <c r="AC10" s="114">
        <v>756</v>
      </c>
      <c r="AD10" s="114">
        <v>3886</v>
      </c>
      <c r="AE10" s="114">
        <v>10832</v>
      </c>
      <c r="AF10" s="114">
        <v>1884</v>
      </c>
      <c r="AG10" s="115">
        <v>1267</v>
      </c>
      <c r="AH10" s="73">
        <f>SUM(AB10:AG10)</f>
        <v>18682</v>
      </c>
      <c r="AI10" s="143">
        <v>4366</v>
      </c>
      <c r="AJ10" s="111"/>
      <c r="AK10" s="145" t="s">
        <v>24</v>
      </c>
      <c r="AL10" s="152" t="s">
        <v>14</v>
      </c>
      <c r="AM10" s="53" t="s">
        <v>13</v>
      </c>
      <c r="AN10" s="113">
        <v>57</v>
      </c>
      <c r="AO10" s="114">
        <v>756</v>
      </c>
      <c r="AP10" s="114">
        <v>3886</v>
      </c>
      <c r="AQ10" s="114">
        <v>10832</v>
      </c>
      <c r="AR10" s="114">
        <v>1884</v>
      </c>
      <c r="AS10" s="115">
        <v>1267</v>
      </c>
      <c r="AT10" s="73">
        <f>SUM(AN10:AS10)</f>
        <v>18682</v>
      </c>
      <c r="AU10" s="143">
        <v>4366</v>
      </c>
      <c r="AV10" s="111"/>
      <c r="AW10" s="145" t="s">
        <v>24</v>
      </c>
      <c r="AX10" s="152" t="s">
        <v>14</v>
      </c>
      <c r="AY10" s="53" t="s">
        <v>13</v>
      </c>
      <c r="AZ10" s="113">
        <v>57</v>
      </c>
      <c r="BA10" s="114">
        <v>756</v>
      </c>
      <c r="BB10" s="114">
        <v>3886</v>
      </c>
      <c r="BC10" s="114">
        <v>10832</v>
      </c>
      <c r="BD10" s="114">
        <v>1884</v>
      </c>
      <c r="BE10" s="115">
        <v>1267</v>
      </c>
      <c r="BF10" s="73">
        <f>SUM(AZ10:BE10)</f>
        <v>18682</v>
      </c>
      <c r="BG10" s="143">
        <v>4366</v>
      </c>
      <c r="BH10" s="111"/>
      <c r="BI10" s="145" t="s">
        <v>24</v>
      </c>
      <c r="BJ10" s="152" t="s">
        <v>14</v>
      </c>
      <c r="BK10" s="53" t="s">
        <v>13</v>
      </c>
      <c r="BL10" s="113">
        <v>57</v>
      </c>
      <c r="BM10" s="114">
        <v>756</v>
      </c>
      <c r="BN10" s="114">
        <v>3886</v>
      </c>
      <c r="BO10" s="114">
        <v>10832</v>
      </c>
      <c r="BP10" s="114">
        <v>1884</v>
      </c>
      <c r="BQ10" s="115">
        <v>1267</v>
      </c>
      <c r="BR10" s="73">
        <f>SUM(BL10:BQ10)</f>
        <v>18682</v>
      </c>
      <c r="BS10" s="143">
        <v>4366</v>
      </c>
      <c r="BT10" s="111"/>
      <c r="BU10" s="145" t="s">
        <v>24</v>
      </c>
      <c r="BV10" s="152" t="s">
        <v>14</v>
      </c>
      <c r="BW10" s="53" t="s">
        <v>13</v>
      </c>
      <c r="BX10" s="113">
        <v>57</v>
      </c>
      <c r="BY10" s="114">
        <v>756</v>
      </c>
      <c r="BZ10" s="114">
        <v>3886</v>
      </c>
      <c r="CA10" s="114">
        <v>10832</v>
      </c>
      <c r="CB10" s="114">
        <v>1884</v>
      </c>
      <c r="CC10" s="115">
        <v>1267</v>
      </c>
      <c r="CD10" s="73">
        <f>SUM(BX10:CC10)</f>
        <v>18682</v>
      </c>
      <c r="CE10" s="143">
        <v>4366</v>
      </c>
      <c r="CF10" s="111"/>
      <c r="CG10" s="145" t="s">
        <v>24</v>
      </c>
      <c r="CH10" s="152" t="s">
        <v>14</v>
      </c>
      <c r="CI10" s="53" t="s">
        <v>13</v>
      </c>
      <c r="CJ10" s="113">
        <v>57</v>
      </c>
      <c r="CK10" s="114">
        <v>756</v>
      </c>
      <c r="CL10" s="114">
        <v>3886</v>
      </c>
      <c r="CM10" s="114">
        <v>10832</v>
      </c>
      <c r="CN10" s="114">
        <v>1884</v>
      </c>
      <c r="CO10" s="115">
        <v>1267</v>
      </c>
      <c r="CP10" s="73">
        <f>SUM(CJ10:CO10)</f>
        <v>18682</v>
      </c>
      <c r="CQ10" s="143">
        <v>4366</v>
      </c>
      <c r="CR10" s="111"/>
      <c r="CS10" s="145" t="s">
        <v>24</v>
      </c>
      <c r="CT10" s="152" t="s">
        <v>14</v>
      </c>
      <c r="CU10" s="53" t="s">
        <v>13</v>
      </c>
      <c r="CV10" s="113">
        <v>57</v>
      </c>
      <c r="CW10" s="114">
        <v>756</v>
      </c>
      <c r="CX10" s="114">
        <v>3886</v>
      </c>
      <c r="CY10" s="114">
        <v>10832</v>
      </c>
      <c r="CZ10" s="114">
        <v>1884</v>
      </c>
      <c r="DA10" s="115">
        <v>1267</v>
      </c>
      <c r="DB10" s="73">
        <f>SUM(CV10:DA10)</f>
        <v>18682</v>
      </c>
      <c r="DC10" s="143">
        <v>4366</v>
      </c>
      <c r="DD10" s="111"/>
      <c r="DE10" s="145" t="s">
        <v>24</v>
      </c>
      <c r="DF10" s="152" t="s">
        <v>14</v>
      </c>
      <c r="DG10" s="53" t="s">
        <v>13</v>
      </c>
      <c r="DH10" s="70">
        <v>0</v>
      </c>
      <c r="DI10" s="71">
        <v>0</v>
      </c>
      <c r="DJ10" s="71">
        <v>0</v>
      </c>
      <c r="DK10" s="71">
        <v>0</v>
      </c>
      <c r="DL10" s="71">
        <v>0</v>
      </c>
      <c r="DM10" s="72">
        <v>0</v>
      </c>
      <c r="DN10" s="73">
        <f>SUM(DH10:DM10)</f>
        <v>0</v>
      </c>
      <c r="DO10" s="143">
        <v>0</v>
      </c>
      <c r="DP10" s="111"/>
      <c r="DQ10" s="145" t="s">
        <v>24</v>
      </c>
      <c r="DR10" s="152" t="s">
        <v>14</v>
      </c>
      <c r="DS10" s="53" t="s">
        <v>13</v>
      </c>
      <c r="DT10" s="70">
        <v>0</v>
      </c>
      <c r="DU10" s="71">
        <v>0</v>
      </c>
      <c r="DV10" s="71">
        <v>0</v>
      </c>
      <c r="DW10" s="71">
        <v>0</v>
      </c>
      <c r="DX10" s="71">
        <v>0</v>
      </c>
      <c r="DY10" s="72">
        <v>0</v>
      </c>
      <c r="DZ10" s="73">
        <f>SUM(DT10:DY10)</f>
        <v>0</v>
      </c>
      <c r="EA10" s="143">
        <v>0</v>
      </c>
      <c r="EB10" s="111"/>
      <c r="EC10" s="145" t="s">
        <v>24</v>
      </c>
      <c r="ED10" s="152" t="s">
        <v>14</v>
      </c>
      <c r="EE10" s="53" t="s">
        <v>13</v>
      </c>
      <c r="EF10" s="70">
        <v>0</v>
      </c>
      <c r="EG10" s="71">
        <v>0</v>
      </c>
      <c r="EH10" s="71">
        <v>0</v>
      </c>
      <c r="EI10" s="71">
        <v>0</v>
      </c>
      <c r="EJ10" s="71">
        <v>0</v>
      </c>
      <c r="EK10" s="72">
        <v>0</v>
      </c>
      <c r="EL10" s="73">
        <f>SUM(EF10:EK10)</f>
        <v>0</v>
      </c>
      <c r="EM10" s="143">
        <v>0</v>
      </c>
      <c r="EN10" s="111"/>
      <c r="EO10" s="145" t="str">
        <f t="shared" ref="EO10" si="16">EC10</f>
        <v>الجامعة</v>
      </c>
      <c r="EP10" s="105" t="s">
        <v>14</v>
      </c>
      <c r="EQ10" s="53" t="s">
        <v>13</v>
      </c>
      <c r="ER10" s="70">
        <f t="shared" ref="ER10:EW13" si="17">SUM(EF10)</f>
        <v>0</v>
      </c>
      <c r="ES10" s="71">
        <f t="shared" si="17"/>
        <v>0</v>
      </c>
      <c r="ET10" s="71">
        <f t="shared" si="17"/>
        <v>0</v>
      </c>
      <c r="EU10" s="71">
        <f t="shared" si="17"/>
        <v>0</v>
      </c>
      <c r="EV10" s="71">
        <f t="shared" si="17"/>
        <v>0</v>
      </c>
      <c r="EW10" s="72">
        <f t="shared" si="17"/>
        <v>0</v>
      </c>
      <c r="EX10" s="74">
        <f>SUM(ER10:EW10)</f>
        <v>0</v>
      </c>
      <c r="EY10" s="143">
        <f>SUM(EM10)</f>
        <v>0</v>
      </c>
      <c r="EZ10" s="60"/>
    </row>
    <row r="11" spans="1:156" ht="15.95" customHeight="1" thickBot="1" x14ac:dyDescent="0.25">
      <c r="A11" s="146"/>
      <c r="B11" s="153"/>
      <c r="C11" s="55" t="s">
        <v>15</v>
      </c>
      <c r="D11" s="117">
        <v>54</v>
      </c>
      <c r="E11" s="118">
        <v>598</v>
      </c>
      <c r="F11" s="118">
        <v>3948</v>
      </c>
      <c r="G11" s="118">
        <v>12090</v>
      </c>
      <c r="H11" s="118">
        <v>2299</v>
      </c>
      <c r="I11" s="119">
        <v>989</v>
      </c>
      <c r="J11" s="120">
        <f>SUM(D11:I11)</f>
        <v>19978</v>
      </c>
      <c r="K11" s="144"/>
      <c r="L11" s="111"/>
      <c r="M11" s="146"/>
      <c r="N11" s="153"/>
      <c r="O11" s="55" t="s">
        <v>15</v>
      </c>
      <c r="P11" s="117">
        <v>54</v>
      </c>
      <c r="Q11" s="118">
        <v>598</v>
      </c>
      <c r="R11" s="118">
        <v>3948</v>
      </c>
      <c r="S11" s="118">
        <v>12090</v>
      </c>
      <c r="T11" s="118">
        <v>2299</v>
      </c>
      <c r="U11" s="119">
        <v>989</v>
      </c>
      <c r="V11" s="78">
        <f>SUM(P11:U11)</f>
        <v>19978</v>
      </c>
      <c r="W11" s="144"/>
      <c r="X11" s="111"/>
      <c r="Y11" s="146"/>
      <c r="Z11" s="153"/>
      <c r="AA11" s="55" t="s">
        <v>15</v>
      </c>
      <c r="AB11" s="117">
        <v>54</v>
      </c>
      <c r="AC11" s="118">
        <v>598</v>
      </c>
      <c r="AD11" s="118">
        <v>3948</v>
      </c>
      <c r="AE11" s="118">
        <v>12090</v>
      </c>
      <c r="AF11" s="118">
        <v>2299</v>
      </c>
      <c r="AG11" s="119">
        <v>989</v>
      </c>
      <c r="AH11" s="78">
        <f>SUM(AB11:AG11)</f>
        <v>19978</v>
      </c>
      <c r="AI11" s="144"/>
      <c r="AJ11" s="111"/>
      <c r="AK11" s="146"/>
      <c r="AL11" s="153"/>
      <c r="AM11" s="55" t="s">
        <v>15</v>
      </c>
      <c r="AN11" s="117">
        <v>54</v>
      </c>
      <c r="AO11" s="118">
        <v>598</v>
      </c>
      <c r="AP11" s="118">
        <v>3948</v>
      </c>
      <c r="AQ11" s="118">
        <v>12090</v>
      </c>
      <c r="AR11" s="118">
        <v>2299</v>
      </c>
      <c r="AS11" s="119">
        <v>989</v>
      </c>
      <c r="AT11" s="78">
        <f>SUM(AN11:AS11)</f>
        <v>19978</v>
      </c>
      <c r="AU11" s="144"/>
      <c r="AV11" s="111"/>
      <c r="AW11" s="146"/>
      <c r="AX11" s="153"/>
      <c r="AY11" s="55" t="s">
        <v>15</v>
      </c>
      <c r="AZ11" s="117">
        <v>54</v>
      </c>
      <c r="BA11" s="118">
        <v>598</v>
      </c>
      <c r="BB11" s="118">
        <v>3948</v>
      </c>
      <c r="BC11" s="118">
        <v>12090</v>
      </c>
      <c r="BD11" s="118">
        <v>2299</v>
      </c>
      <c r="BE11" s="119">
        <v>989</v>
      </c>
      <c r="BF11" s="78">
        <f>SUM(AZ11:BE11)</f>
        <v>19978</v>
      </c>
      <c r="BG11" s="144"/>
      <c r="BH11" s="111"/>
      <c r="BI11" s="146"/>
      <c r="BJ11" s="153"/>
      <c r="BK11" s="55" t="s">
        <v>15</v>
      </c>
      <c r="BL11" s="117">
        <v>54</v>
      </c>
      <c r="BM11" s="118">
        <v>598</v>
      </c>
      <c r="BN11" s="118">
        <v>3948</v>
      </c>
      <c r="BO11" s="118">
        <v>12090</v>
      </c>
      <c r="BP11" s="118">
        <v>2299</v>
      </c>
      <c r="BQ11" s="119">
        <v>989</v>
      </c>
      <c r="BR11" s="78">
        <f>SUM(BL11:BQ11)</f>
        <v>19978</v>
      </c>
      <c r="BS11" s="144"/>
      <c r="BT11" s="111"/>
      <c r="BU11" s="146"/>
      <c r="BV11" s="153"/>
      <c r="BW11" s="55" t="s">
        <v>15</v>
      </c>
      <c r="BX11" s="117">
        <v>54</v>
      </c>
      <c r="BY11" s="118">
        <v>598</v>
      </c>
      <c r="BZ11" s="118">
        <v>3948</v>
      </c>
      <c r="CA11" s="118">
        <v>12090</v>
      </c>
      <c r="CB11" s="118">
        <v>2299</v>
      </c>
      <c r="CC11" s="119">
        <v>989</v>
      </c>
      <c r="CD11" s="78">
        <f>SUM(BX11:CC11)</f>
        <v>19978</v>
      </c>
      <c r="CE11" s="144"/>
      <c r="CF11" s="111"/>
      <c r="CG11" s="146"/>
      <c r="CH11" s="153"/>
      <c r="CI11" s="55" t="s">
        <v>15</v>
      </c>
      <c r="CJ11" s="117">
        <v>54</v>
      </c>
      <c r="CK11" s="118">
        <v>598</v>
      </c>
      <c r="CL11" s="118">
        <v>3948</v>
      </c>
      <c r="CM11" s="118">
        <v>12090</v>
      </c>
      <c r="CN11" s="118">
        <v>2299</v>
      </c>
      <c r="CO11" s="119">
        <v>989</v>
      </c>
      <c r="CP11" s="78">
        <f>SUM(CJ11:CO11)</f>
        <v>19978</v>
      </c>
      <c r="CQ11" s="144"/>
      <c r="CR11" s="111"/>
      <c r="CS11" s="146"/>
      <c r="CT11" s="153"/>
      <c r="CU11" s="55" t="s">
        <v>15</v>
      </c>
      <c r="CV11" s="117">
        <v>54</v>
      </c>
      <c r="CW11" s="118">
        <v>598</v>
      </c>
      <c r="CX11" s="118">
        <v>3948</v>
      </c>
      <c r="CY11" s="118">
        <v>12090</v>
      </c>
      <c r="CZ11" s="118">
        <v>2299</v>
      </c>
      <c r="DA11" s="119">
        <v>989</v>
      </c>
      <c r="DB11" s="78">
        <f>SUM(CV11:DA11)</f>
        <v>19978</v>
      </c>
      <c r="DC11" s="144"/>
      <c r="DD11" s="111"/>
      <c r="DE11" s="146"/>
      <c r="DF11" s="153"/>
      <c r="DG11" s="55" t="s">
        <v>15</v>
      </c>
      <c r="DH11" s="75">
        <v>0</v>
      </c>
      <c r="DI11" s="76">
        <v>0</v>
      </c>
      <c r="DJ11" s="76">
        <v>0</v>
      </c>
      <c r="DK11" s="76">
        <v>0</v>
      </c>
      <c r="DL11" s="76">
        <v>0</v>
      </c>
      <c r="DM11" s="77">
        <v>0</v>
      </c>
      <c r="DN11" s="78">
        <f>SUM(DH11:DM11)</f>
        <v>0</v>
      </c>
      <c r="DO11" s="144"/>
      <c r="DP11" s="111"/>
      <c r="DQ11" s="146"/>
      <c r="DR11" s="153"/>
      <c r="DS11" s="55" t="s">
        <v>15</v>
      </c>
      <c r="DT11" s="75">
        <v>0</v>
      </c>
      <c r="DU11" s="76">
        <v>0</v>
      </c>
      <c r="DV11" s="76">
        <v>0</v>
      </c>
      <c r="DW11" s="76">
        <v>0</v>
      </c>
      <c r="DX11" s="76">
        <v>0</v>
      </c>
      <c r="DY11" s="77">
        <v>0</v>
      </c>
      <c r="DZ11" s="78">
        <f>SUM(DT11:DY11)</f>
        <v>0</v>
      </c>
      <c r="EA11" s="144"/>
      <c r="EB11" s="111"/>
      <c r="EC11" s="146"/>
      <c r="ED11" s="153"/>
      <c r="EE11" s="55" t="s">
        <v>15</v>
      </c>
      <c r="EF11" s="75">
        <v>0</v>
      </c>
      <c r="EG11" s="76">
        <v>0</v>
      </c>
      <c r="EH11" s="76">
        <v>0</v>
      </c>
      <c r="EI11" s="76">
        <v>0</v>
      </c>
      <c r="EJ11" s="76">
        <v>0</v>
      </c>
      <c r="EK11" s="77">
        <v>0</v>
      </c>
      <c r="EL11" s="78">
        <f>SUM(EF11:EK11)</f>
        <v>0</v>
      </c>
      <c r="EM11" s="144"/>
      <c r="EN11" s="111"/>
      <c r="EO11" s="146"/>
      <c r="EP11" s="106"/>
      <c r="EQ11" s="55" t="s">
        <v>15</v>
      </c>
      <c r="ER11" s="75">
        <f t="shared" si="17"/>
        <v>0</v>
      </c>
      <c r="ES11" s="76">
        <f t="shared" si="17"/>
        <v>0</v>
      </c>
      <c r="ET11" s="76">
        <f t="shared" si="17"/>
        <v>0</v>
      </c>
      <c r="EU11" s="76">
        <f t="shared" si="17"/>
        <v>0</v>
      </c>
      <c r="EV11" s="76">
        <f t="shared" si="17"/>
        <v>0</v>
      </c>
      <c r="EW11" s="77">
        <f t="shared" si="17"/>
        <v>0</v>
      </c>
      <c r="EX11" s="79">
        <f>SUM(ER11:EW11)</f>
        <v>0</v>
      </c>
      <c r="EY11" s="144"/>
      <c r="EZ11" s="60"/>
    </row>
    <row r="12" spans="1:156" ht="15.95" customHeight="1" thickBot="1" x14ac:dyDescent="0.25">
      <c r="A12" s="146"/>
      <c r="B12" s="56" t="s">
        <v>16</v>
      </c>
      <c r="C12" s="57" t="s">
        <v>13</v>
      </c>
      <c r="D12" s="121">
        <v>24</v>
      </c>
      <c r="E12" s="122">
        <v>40</v>
      </c>
      <c r="F12" s="122">
        <v>180</v>
      </c>
      <c r="G12" s="122">
        <v>511</v>
      </c>
      <c r="H12" s="122">
        <v>242</v>
      </c>
      <c r="I12" s="123">
        <v>59</v>
      </c>
      <c r="J12" s="116">
        <f>SUM(D12:I12)</f>
        <v>1056</v>
      </c>
      <c r="K12" s="143">
        <v>2031</v>
      </c>
      <c r="L12" s="111"/>
      <c r="M12" s="146"/>
      <c r="N12" s="56" t="s">
        <v>16</v>
      </c>
      <c r="O12" s="57" t="s">
        <v>13</v>
      </c>
      <c r="P12" s="121">
        <v>24</v>
      </c>
      <c r="Q12" s="122">
        <v>40</v>
      </c>
      <c r="R12" s="122">
        <v>180</v>
      </c>
      <c r="S12" s="122">
        <v>511</v>
      </c>
      <c r="T12" s="122">
        <v>242</v>
      </c>
      <c r="U12" s="123">
        <v>59</v>
      </c>
      <c r="V12" s="73">
        <f>SUM(P12:U12)</f>
        <v>1056</v>
      </c>
      <c r="W12" s="143">
        <v>2031</v>
      </c>
      <c r="X12" s="111"/>
      <c r="Y12" s="146"/>
      <c r="Z12" s="56" t="s">
        <v>16</v>
      </c>
      <c r="AA12" s="57" t="s">
        <v>13</v>
      </c>
      <c r="AB12" s="121">
        <v>24</v>
      </c>
      <c r="AC12" s="122">
        <v>40</v>
      </c>
      <c r="AD12" s="122">
        <v>180</v>
      </c>
      <c r="AE12" s="122">
        <v>511</v>
      </c>
      <c r="AF12" s="122">
        <v>242</v>
      </c>
      <c r="AG12" s="123">
        <v>59</v>
      </c>
      <c r="AH12" s="73">
        <f>SUM(AB12:AG12)</f>
        <v>1056</v>
      </c>
      <c r="AI12" s="143">
        <v>2031</v>
      </c>
      <c r="AJ12" s="111"/>
      <c r="AK12" s="146"/>
      <c r="AL12" s="56" t="s">
        <v>16</v>
      </c>
      <c r="AM12" s="57" t="s">
        <v>13</v>
      </c>
      <c r="AN12" s="121">
        <v>24</v>
      </c>
      <c r="AO12" s="122">
        <v>40</v>
      </c>
      <c r="AP12" s="122">
        <v>180</v>
      </c>
      <c r="AQ12" s="122">
        <v>511</v>
      </c>
      <c r="AR12" s="122">
        <v>242</v>
      </c>
      <c r="AS12" s="123">
        <v>59</v>
      </c>
      <c r="AT12" s="73">
        <f>SUM(AN12:AS12)</f>
        <v>1056</v>
      </c>
      <c r="AU12" s="143">
        <v>2031</v>
      </c>
      <c r="AV12" s="111"/>
      <c r="AW12" s="146"/>
      <c r="AX12" s="56" t="s">
        <v>16</v>
      </c>
      <c r="AY12" s="57" t="s">
        <v>13</v>
      </c>
      <c r="AZ12" s="121">
        <v>24</v>
      </c>
      <c r="BA12" s="122">
        <v>40</v>
      </c>
      <c r="BB12" s="122">
        <v>180</v>
      </c>
      <c r="BC12" s="122">
        <v>511</v>
      </c>
      <c r="BD12" s="122">
        <v>242</v>
      </c>
      <c r="BE12" s="123">
        <v>59</v>
      </c>
      <c r="BF12" s="73">
        <f>SUM(AZ12:BE12)</f>
        <v>1056</v>
      </c>
      <c r="BG12" s="143">
        <v>2031</v>
      </c>
      <c r="BH12" s="111"/>
      <c r="BI12" s="146"/>
      <c r="BJ12" s="56" t="s">
        <v>16</v>
      </c>
      <c r="BK12" s="57" t="s">
        <v>13</v>
      </c>
      <c r="BL12" s="121">
        <v>24</v>
      </c>
      <c r="BM12" s="122">
        <v>40</v>
      </c>
      <c r="BN12" s="122">
        <v>180</v>
      </c>
      <c r="BO12" s="122">
        <v>511</v>
      </c>
      <c r="BP12" s="122">
        <v>242</v>
      </c>
      <c r="BQ12" s="123">
        <v>59</v>
      </c>
      <c r="BR12" s="73">
        <f>SUM(BL12:BQ12)</f>
        <v>1056</v>
      </c>
      <c r="BS12" s="143">
        <v>2031</v>
      </c>
      <c r="BT12" s="111"/>
      <c r="BU12" s="146"/>
      <c r="BV12" s="56" t="s">
        <v>16</v>
      </c>
      <c r="BW12" s="57" t="s">
        <v>13</v>
      </c>
      <c r="BX12" s="121">
        <v>24</v>
      </c>
      <c r="BY12" s="122">
        <v>40</v>
      </c>
      <c r="BZ12" s="122">
        <v>180</v>
      </c>
      <c r="CA12" s="122">
        <v>511</v>
      </c>
      <c r="CB12" s="122">
        <v>242</v>
      </c>
      <c r="CC12" s="123">
        <v>59</v>
      </c>
      <c r="CD12" s="73">
        <f>SUM(BX12:CC12)</f>
        <v>1056</v>
      </c>
      <c r="CE12" s="143">
        <v>2031</v>
      </c>
      <c r="CF12" s="111"/>
      <c r="CG12" s="146"/>
      <c r="CH12" s="56" t="s">
        <v>16</v>
      </c>
      <c r="CI12" s="57" t="s">
        <v>13</v>
      </c>
      <c r="CJ12" s="121">
        <v>24</v>
      </c>
      <c r="CK12" s="122">
        <v>40</v>
      </c>
      <c r="CL12" s="122">
        <v>180</v>
      </c>
      <c r="CM12" s="122">
        <v>511</v>
      </c>
      <c r="CN12" s="122">
        <v>242</v>
      </c>
      <c r="CO12" s="123">
        <v>59</v>
      </c>
      <c r="CP12" s="73">
        <f>SUM(CJ12:CO12)</f>
        <v>1056</v>
      </c>
      <c r="CQ12" s="143">
        <v>2031</v>
      </c>
      <c r="CR12" s="111"/>
      <c r="CS12" s="146"/>
      <c r="CT12" s="56" t="s">
        <v>16</v>
      </c>
      <c r="CU12" s="57" t="s">
        <v>13</v>
      </c>
      <c r="CV12" s="121">
        <v>24</v>
      </c>
      <c r="CW12" s="122">
        <v>40</v>
      </c>
      <c r="CX12" s="122">
        <v>180</v>
      </c>
      <c r="CY12" s="122">
        <v>511</v>
      </c>
      <c r="CZ12" s="122">
        <v>242</v>
      </c>
      <c r="DA12" s="123">
        <v>59</v>
      </c>
      <c r="DB12" s="73">
        <f>SUM(CV12:DA12)</f>
        <v>1056</v>
      </c>
      <c r="DC12" s="143">
        <v>2031</v>
      </c>
      <c r="DD12" s="111"/>
      <c r="DE12" s="146"/>
      <c r="DF12" s="56" t="s">
        <v>16</v>
      </c>
      <c r="DG12" s="57" t="s">
        <v>13</v>
      </c>
      <c r="DH12" s="70">
        <v>0</v>
      </c>
      <c r="DI12" s="71">
        <v>0</v>
      </c>
      <c r="DJ12" s="71">
        <v>0</v>
      </c>
      <c r="DK12" s="71">
        <v>0</v>
      </c>
      <c r="DL12" s="71">
        <v>0</v>
      </c>
      <c r="DM12" s="72">
        <v>0</v>
      </c>
      <c r="DN12" s="73">
        <f>SUM(DH12:DM12)</f>
        <v>0</v>
      </c>
      <c r="DO12" s="143">
        <v>0</v>
      </c>
      <c r="DP12" s="111"/>
      <c r="DQ12" s="146"/>
      <c r="DR12" s="56" t="s">
        <v>16</v>
      </c>
      <c r="DS12" s="57" t="s">
        <v>13</v>
      </c>
      <c r="DT12" s="70">
        <v>0</v>
      </c>
      <c r="DU12" s="71">
        <v>0</v>
      </c>
      <c r="DV12" s="71">
        <v>0</v>
      </c>
      <c r="DW12" s="71">
        <v>0</v>
      </c>
      <c r="DX12" s="71">
        <v>0</v>
      </c>
      <c r="DY12" s="72">
        <v>0</v>
      </c>
      <c r="DZ12" s="73">
        <f>SUM(DT12:DY12)</f>
        <v>0</v>
      </c>
      <c r="EA12" s="143">
        <v>0</v>
      </c>
      <c r="EB12" s="111"/>
      <c r="EC12" s="146"/>
      <c r="ED12" s="56" t="s">
        <v>16</v>
      </c>
      <c r="EE12" s="57" t="s">
        <v>13</v>
      </c>
      <c r="EF12" s="70">
        <v>0</v>
      </c>
      <c r="EG12" s="71">
        <v>0</v>
      </c>
      <c r="EH12" s="71">
        <v>0</v>
      </c>
      <c r="EI12" s="71">
        <v>0</v>
      </c>
      <c r="EJ12" s="71">
        <v>0</v>
      </c>
      <c r="EK12" s="72">
        <v>0</v>
      </c>
      <c r="EL12" s="73">
        <f>SUM(EF12:EK12)</f>
        <v>0</v>
      </c>
      <c r="EM12" s="143">
        <v>0</v>
      </c>
      <c r="EN12" s="111"/>
      <c r="EO12" s="146"/>
      <c r="EP12" s="56" t="s">
        <v>16</v>
      </c>
      <c r="EQ12" s="57" t="s">
        <v>13</v>
      </c>
      <c r="ER12" s="80">
        <f t="shared" si="17"/>
        <v>0</v>
      </c>
      <c r="ES12" s="81">
        <f t="shared" si="17"/>
        <v>0</v>
      </c>
      <c r="ET12" s="81">
        <f t="shared" si="17"/>
        <v>0</v>
      </c>
      <c r="EU12" s="81">
        <f t="shared" si="17"/>
        <v>0</v>
      </c>
      <c r="EV12" s="81">
        <f t="shared" si="17"/>
        <v>0</v>
      </c>
      <c r="EW12" s="82">
        <f t="shared" si="17"/>
        <v>0</v>
      </c>
      <c r="EX12" s="74">
        <f>SUM(ER12:EW12)</f>
        <v>0</v>
      </c>
      <c r="EY12" s="143">
        <f>SUM(EM12)</f>
        <v>0</v>
      </c>
      <c r="EZ12" s="60"/>
    </row>
    <row r="13" spans="1:156" ht="15.95" customHeight="1" thickBot="1" x14ac:dyDescent="0.25">
      <c r="A13" s="146"/>
      <c r="B13" s="58" t="s">
        <v>14</v>
      </c>
      <c r="C13" s="59" t="s">
        <v>15</v>
      </c>
      <c r="D13" s="117">
        <v>44</v>
      </c>
      <c r="E13" s="118">
        <v>64</v>
      </c>
      <c r="F13" s="118">
        <v>188</v>
      </c>
      <c r="G13" s="118">
        <v>710</v>
      </c>
      <c r="H13" s="118">
        <v>280</v>
      </c>
      <c r="I13" s="119">
        <v>50</v>
      </c>
      <c r="J13" s="120">
        <f>SUM(D13:I13)</f>
        <v>1336</v>
      </c>
      <c r="K13" s="144"/>
      <c r="L13" s="111"/>
      <c r="M13" s="146"/>
      <c r="N13" s="58" t="s">
        <v>14</v>
      </c>
      <c r="O13" s="59" t="s">
        <v>15</v>
      </c>
      <c r="P13" s="117">
        <v>44</v>
      </c>
      <c r="Q13" s="118">
        <v>64</v>
      </c>
      <c r="R13" s="118">
        <v>188</v>
      </c>
      <c r="S13" s="118">
        <v>710</v>
      </c>
      <c r="T13" s="118">
        <v>280</v>
      </c>
      <c r="U13" s="119">
        <v>50</v>
      </c>
      <c r="V13" s="78">
        <f>SUM(P13:U13)</f>
        <v>1336</v>
      </c>
      <c r="W13" s="144"/>
      <c r="X13" s="111"/>
      <c r="Y13" s="146"/>
      <c r="Z13" s="58" t="s">
        <v>14</v>
      </c>
      <c r="AA13" s="59" t="s">
        <v>15</v>
      </c>
      <c r="AB13" s="117">
        <v>44</v>
      </c>
      <c r="AC13" s="118">
        <v>64</v>
      </c>
      <c r="AD13" s="118">
        <v>188</v>
      </c>
      <c r="AE13" s="118">
        <v>710</v>
      </c>
      <c r="AF13" s="118">
        <v>280</v>
      </c>
      <c r="AG13" s="119">
        <v>50</v>
      </c>
      <c r="AH13" s="78">
        <f>SUM(AB13:AG13)</f>
        <v>1336</v>
      </c>
      <c r="AI13" s="144"/>
      <c r="AJ13" s="111"/>
      <c r="AK13" s="146"/>
      <c r="AL13" s="58" t="s">
        <v>14</v>
      </c>
      <c r="AM13" s="59" t="s">
        <v>15</v>
      </c>
      <c r="AN13" s="117">
        <v>44</v>
      </c>
      <c r="AO13" s="118">
        <v>64</v>
      </c>
      <c r="AP13" s="118">
        <v>188</v>
      </c>
      <c r="AQ13" s="118">
        <v>710</v>
      </c>
      <c r="AR13" s="118">
        <v>280</v>
      </c>
      <c r="AS13" s="119">
        <v>50</v>
      </c>
      <c r="AT13" s="78">
        <f>SUM(AN13:AS13)</f>
        <v>1336</v>
      </c>
      <c r="AU13" s="144"/>
      <c r="AV13" s="111"/>
      <c r="AW13" s="146"/>
      <c r="AX13" s="58" t="s">
        <v>14</v>
      </c>
      <c r="AY13" s="59" t="s">
        <v>15</v>
      </c>
      <c r="AZ13" s="117">
        <v>44</v>
      </c>
      <c r="BA13" s="118">
        <v>64</v>
      </c>
      <c r="BB13" s="118">
        <v>188</v>
      </c>
      <c r="BC13" s="118">
        <v>710</v>
      </c>
      <c r="BD13" s="118">
        <v>280</v>
      </c>
      <c r="BE13" s="119">
        <v>50</v>
      </c>
      <c r="BF13" s="78">
        <f>SUM(AZ13:BE13)</f>
        <v>1336</v>
      </c>
      <c r="BG13" s="144"/>
      <c r="BH13" s="111"/>
      <c r="BI13" s="146"/>
      <c r="BJ13" s="58" t="s">
        <v>14</v>
      </c>
      <c r="BK13" s="59" t="s">
        <v>15</v>
      </c>
      <c r="BL13" s="117">
        <v>44</v>
      </c>
      <c r="BM13" s="118">
        <v>64</v>
      </c>
      <c r="BN13" s="118">
        <v>188</v>
      </c>
      <c r="BO13" s="118">
        <v>710</v>
      </c>
      <c r="BP13" s="118">
        <v>280</v>
      </c>
      <c r="BQ13" s="119">
        <v>50</v>
      </c>
      <c r="BR13" s="78">
        <f>SUM(BL13:BQ13)</f>
        <v>1336</v>
      </c>
      <c r="BS13" s="144"/>
      <c r="BT13" s="111"/>
      <c r="BU13" s="146"/>
      <c r="BV13" s="58" t="s">
        <v>14</v>
      </c>
      <c r="BW13" s="59" t="s">
        <v>15</v>
      </c>
      <c r="BX13" s="117">
        <v>44</v>
      </c>
      <c r="BY13" s="118">
        <v>64</v>
      </c>
      <c r="BZ13" s="118">
        <v>188</v>
      </c>
      <c r="CA13" s="118">
        <v>710</v>
      </c>
      <c r="CB13" s="118">
        <v>280</v>
      </c>
      <c r="CC13" s="119">
        <v>50</v>
      </c>
      <c r="CD13" s="78">
        <f>SUM(BX13:CC13)</f>
        <v>1336</v>
      </c>
      <c r="CE13" s="144"/>
      <c r="CF13" s="111"/>
      <c r="CG13" s="146"/>
      <c r="CH13" s="58" t="s">
        <v>14</v>
      </c>
      <c r="CI13" s="59" t="s">
        <v>15</v>
      </c>
      <c r="CJ13" s="117">
        <v>44</v>
      </c>
      <c r="CK13" s="118">
        <v>64</v>
      </c>
      <c r="CL13" s="118">
        <v>188</v>
      </c>
      <c r="CM13" s="118">
        <v>710</v>
      </c>
      <c r="CN13" s="118">
        <v>280</v>
      </c>
      <c r="CO13" s="119">
        <v>50</v>
      </c>
      <c r="CP13" s="78">
        <f>SUM(CJ13:CO13)</f>
        <v>1336</v>
      </c>
      <c r="CQ13" s="144"/>
      <c r="CR13" s="111"/>
      <c r="CS13" s="146"/>
      <c r="CT13" s="58" t="s">
        <v>14</v>
      </c>
      <c r="CU13" s="59" t="s">
        <v>15</v>
      </c>
      <c r="CV13" s="117">
        <v>44</v>
      </c>
      <c r="CW13" s="118">
        <v>64</v>
      </c>
      <c r="CX13" s="118">
        <v>188</v>
      </c>
      <c r="CY13" s="118">
        <v>710</v>
      </c>
      <c r="CZ13" s="118">
        <v>280</v>
      </c>
      <c r="DA13" s="119">
        <v>50</v>
      </c>
      <c r="DB13" s="78">
        <f>SUM(CV13:DA13)</f>
        <v>1336</v>
      </c>
      <c r="DC13" s="144"/>
      <c r="DD13" s="111"/>
      <c r="DE13" s="146"/>
      <c r="DF13" s="58" t="s">
        <v>14</v>
      </c>
      <c r="DG13" s="59" t="s">
        <v>15</v>
      </c>
      <c r="DH13" s="75">
        <v>0</v>
      </c>
      <c r="DI13" s="76">
        <v>0</v>
      </c>
      <c r="DJ13" s="76">
        <v>0</v>
      </c>
      <c r="DK13" s="76">
        <v>0</v>
      </c>
      <c r="DL13" s="76">
        <v>0</v>
      </c>
      <c r="DM13" s="77">
        <v>0</v>
      </c>
      <c r="DN13" s="78">
        <f>SUM(DH13:DM13)</f>
        <v>0</v>
      </c>
      <c r="DO13" s="144"/>
      <c r="DP13" s="111"/>
      <c r="DQ13" s="146"/>
      <c r="DR13" s="58" t="s">
        <v>14</v>
      </c>
      <c r="DS13" s="59" t="s">
        <v>15</v>
      </c>
      <c r="DT13" s="75">
        <v>0</v>
      </c>
      <c r="DU13" s="76">
        <v>0</v>
      </c>
      <c r="DV13" s="76">
        <v>0</v>
      </c>
      <c r="DW13" s="76">
        <v>0</v>
      </c>
      <c r="DX13" s="76">
        <v>0</v>
      </c>
      <c r="DY13" s="77">
        <v>0</v>
      </c>
      <c r="DZ13" s="78">
        <f>SUM(DT13:DY13)</f>
        <v>0</v>
      </c>
      <c r="EA13" s="144"/>
      <c r="EB13" s="111"/>
      <c r="EC13" s="146"/>
      <c r="ED13" s="58" t="s">
        <v>14</v>
      </c>
      <c r="EE13" s="59" t="s">
        <v>15</v>
      </c>
      <c r="EF13" s="75">
        <v>0</v>
      </c>
      <c r="EG13" s="76">
        <v>0</v>
      </c>
      <c r="EH13" s="76">
        <v>0</v>
      </c>
      <c r="EI13" s="76">
        <v>0</v>
      </c>
      <c r="EJ13" s="76">
        <v>0</v>
      </c>
      <c r="EK13" s="77">
        <v>0</v>
      </c>
      <c r="EL13" s="78">
        <f>SUM(EF13:EK13)</f>
        <v>0</v>
      </c>
      <c r="EM13" s="144"/>
      <c r="EN13" s="111"/>
      <c r="EO13" s="146"/>
      <c r="EP13" s="58" t="s">
        <v>14</v>
      </c>
      <c r="EQ13" s="59" t="s">
        <v>15</v>
      </c>
      <c r="ER13" s="75">
        <f t="shared" si="17"/>
        <v>0</v>
      </c>
      <c r="ES13" s="76">
        <f t="shared" si="17"/>
        <v>0</v>
      </c>
      <c r="ET13" s="76">
        <f t="shared" si="17"/>
        <v>0</v>
      </c>
      <c r="EU13" s="76">
        <f t="shared" si="17"/>
        <v>0</v>
      </c>
      <c r="EV13" s="76">
        <f t="shared" si="17"/>
        <v>0</v>
      </c>
      <c r="EW13" s="77">
        <f t="shared" si="17"/>
        <v>0</v>
      </c>
      <c r="EX13" s="79">
        <f>SUM(ER13:EW13)</f>
        <v>0</v>
      </c>
      <c r="EY13" s="144"/>
      <c r="EZ13" s="60"/>
    </row>
    <row r="14" spans="1:156" ht="15.95" customHeight="1" thickBot="1" x14ac:dyDescent="0.25">
      <c r="A14" s="147"/>
      <c r="B14" s="150" t="s">
        <v>17</v>
      </c>
      <c r="C14" s="151"/>
      <c r="D14" s="124">
        <f t="shared" ref="D14:K14" si="18">SUM(D10:D13)</f>
        <v>179</v>
      </c>
      <c r="E14" s="125">
        <f t="shared" si="18"/>
        <v>1458</v>
      </c>
      <c r="F14" s="125">
        <f t="shared" si="18"/>
        <v>8202</v>
      </c>
      <c r="G14" s="125">
        <f t="shared" si="18"/>
        <v>24143</v>
      </c>
      <c r="H14" s="125">
        <f t="shared" si="18"/>
        <v>4705</v>
      </c>
      <c r="I14" s="126">
        <f t="shared" si="18"/>
        <v>2365</v>
      </c>
      <c r="J14" s="127">
        <f t="shared" si="18"/>
        <v>41052</v>
      </c>
      <c r="K14" s="86">
        <f t="shared" si="18"/>
        <v>6397</v>
      </c>
      <c r="L14" s="111"/>
      <c r="M14" s="147"/>
      <c r="N14" s="150" t="s">
        <v>17</v>
      </c>
      <c r="O14" s="151"/>
      <c r="P14" s="83">
        <f t="shared" ref="P14:W14" si="19">SUM(P10:P13)</f>
        <v>179</v>
      </c>
      <c r="Q14" s="84">
        <f t="shared" si="19"/>
        <v>1458</v>
      </c>
      <c r="R14" s="84">
        <f t="shared" si="19"/>
        <v>8202</v>
      </c>
      <c r="S14" s="84">
        <f t="shared" si="19"/>
        <v>24143</v>
      </c>
      <c r="T14" s="84">
        <f t="shared" si="19"/>
        <v>4705</v>
      </c>
      <c r="U14" s="85">
        <f t="shared" si="19"/>
        <v>2365</v>
      </c>
      <c r="V14" s="1">
        <f t="shared" si="19"/>
        <v>41052</v>
      </c>
      <c r="W14" s="86">
        <f t="shared" si="19"/>
        <v>6397</v>
      </c>
      <c r="X14" s="111"/>
      <c r="Y14" s="147"/>
      <c r="Z14" s="150" t="s">
        <v>17</v>
      </c>
      <c r="AA14" s="151"/>
      <c r="AB14" s="83">
        <f t="shared" ref="AB14:AI14" si="20">SUM(AB10:AB13)</f>
        <v>179</v>
      </c>
      <c r="AC14" s="84">
        <f t="shared" si="20"/>
        <v>1458</v>
      </c>
      <c r="AD14" s="84">
        <f t="shared" si="20"/>
        <v>8202</v>
      </c>
      <c r="AE14" s="84">
        <f t="shared" si="20"/>
        <v>24143</v>
      </c>
      <c r="AF14" s="84">
        <f t="shared" si="20"/>
        <v>4705</v>
      </c>
      <c r="AG14" s="85">
        <f t="shared" si="20"/>
        <v>2365</v>
      </c>
      <c r="AH14" s="1">
        <f t="shared" si="20"/>
        <v>41052</v>
      </c>
      <c r="AI14" s="86">
        <f t="shared" si="20"/>
        <v>6397</v>
      </c>
      <c r="AJ14" s="111"/>
      <c r="AK14" s="147"/>
      <c r="AL14" s="150" t="s">
        <v>17</v>
      </c>
      <c r="AM14" s="151"/>
      <c r="AN14" s="83">
        <f t="shared" ref="AN14:AU14" si="21">SUM(AN10:AN13)</f>
        <v>179</v>
      </c>
      <c r="AO14" s="84">
        <f t="shared" si="21"/>
        <v>1458</v>
      </c>
      <c r="AP14" s="84">
        <f t="shared" si="21"/>
        <v>8202</v>
      </c>
      <c r="AQ14" s="84">
        <f t="shared" si="21"/>
        <v>24143</v>
      </c>
      <c r="AR14" s="84">
        <f t="shared" si="21"/>
        <v>4705</v>
      </c>
      <c r="AS14" s="85">
        <f t="shared" si="21"/>
        <v>2365</v>
      </c>
      <c r="AT14" s="1">
        <f t="shared" si="21"/>
        <v>41052</v>
      </c>
      <c r="AU14" s="86">
        <f t="shared" si="21"/>
        <v>6397</v>
      </c>
      <c r="AV14" s="111"/>
      <c r="AW14" s="147"/>
      <c r="AX14" s="150" t="s">
        <v>17</v>
      </c>
      <c r="AY14" s="151"/>
      <c r="AZ14" s="83">
        <f t="shared" ref="AZ14:BE14" si="22">SUM(AZ10:AZ13)</f>
        <v>179</v>
      </c>
      <c r="BA14" s="84">
        <f t="shared" si="22"/>
        <v>1458</v>
      </c>
      <c r="BB14" s="84">
        <f t="shared" si="22"/>
        <v>8202</v>
      </c>
      <c r="BC14" s="84">
        <f t="shared" si="22"/>
        <v>24143</v>
      </c>
      <c r="BD14" s="84">
        <f t="shared" si="22"/>
        <v>4705</v>
      </c>
      <c r="BE14" s="85">
        <f t="shared" si="22"/>
        <v>2365</v>
      </c>
      <c r="BF14" s="1">
        <f t="shared" ref="BF14:BG14" si="23">SUM(BF10:BF13)</f>
        <v>41052</v>
      </c>
      <c r="BG14" s="86">
        <f t="shared" si="23"/>
        <v>6397</v>
      </c>
      <c r="BH14" s="111"/>
      <c r="BI14" s="147"/>
      <c r="BJ14" s="150" t="s">
        <v>17</v>
      </c>
      <c r="BK14" s="151"/>
      <c r="BL14" s="83">
        <f t="shared" ref="BL14:BQ14" si="24">SUM(BL10:BL13)</f>
        <v>179</v>
      </c>
      <c r="BM14" s="84">
        <f t="shared" si="24"/>
        <v>1458</v>
      </c>
      <c r="BN14" s="84">
        <f t="shared" si="24"/>
        <v>8202</v>
      </c>
      <c r="BO14" s="84">
        <f t="shared" si="24"/>
        <v>24143</v>
      </c>
      <c r="BP14" s="84">
        <f t="shared" si="24"/>
        <v>4705</v>
      </c>
      <c r="BQ14" s="85">
        <f t="shared" si="24"/>
        <v>2365</v>
      </c>
      <c r="BR14" s="1">
        <f t="shared" ref="BR14:BS14" si="25">SUM(BR10:BR13)</f>
        <v>41052</v>
      </c>
      <c r="BS14" s="86">
        <f t="shared" si="25"/>
        <v>6397</v>
      </c>
      <c r="BT14" s="111"/>
      <c r="BU14" s="147"/>
      <c r="BV14" s="150" t="s">
        <v>17</v>
      </c>
      <c r="BW14" s="151"/>
      <c r="BX14" s="83">
        <f t="shared" ref="BX14:CE14" si="26">SUM(BX10:BX13)</f>
        <v>179</v>
      </c>
      <c r="BY14" s="84">
        <f t="shared" si="26"/>
        <v>1458</v>
      </c>
      <c r="BZ14" s="84">
        <f t="shared" si="26"/>
        <v>8202</v>
      </c>
      <c r="CA14" s="84">
        <f t="shared" si="26"/>
        <v>24143</v>
      </c>
      <c r="CB14" s="84">
        <f t="shared" si="26"/>
        <v>4705</v>
      </c>
      <c r="CC14" s="85">
        <f t="shared" si="26"/>
        <v>2365</v>
      </c>
      <c r="CD14" s="1">
        <f t="shared" si="26"/>
        <v>41052</v>
      </c>
      <c r="CE14" s="86">
        <f t="shared" si="26"/>
        <v>6397</v>
      </c>
      <c r="CF14" s="111"/>
      <c r="CG14" s="147"/>
      <c r="CH14" s="150" t="s">
        <v>17</v>
      </c>
      <c r="CI14" s="151"/>
      <c r="CJ14" s="83">
        <f t="shared" ref="CJ14:CQ14" si="27">SUM(CJ10:CJ13)</f>
        <v>179</v>
      </c>
      <c r="CK14" s="84">
        <f t="shared" si="27"/>
        <v>1458</v>
      </c>
      <c r="CL14" s="84">
        <f t="shared" si="27"/>
        <v>8202</v>
      </c>
      <c r="CM14" s="84">
        <f t="shared" si="27"/>
        <v>24143</v>
      </c>
      <c r="CN14" s="84">
        <f t="shared" si="27"/>
        <v>4705</v>
      </c>
      <c r="CO14" s="85">
        <f t="shared" si="27"/>
        <v>2365</v>
      </c>
      <c r="CP14" s="1">
        <f t="shared" si="27"/>
        <v>41052</v>
      </c>
      <c r="CQ14" s="86">
        <f t="shared" si="27"/>
        <v>6397</v>
      </c>
      <c r="CR14" s="111"/>
      <c r="CS14" s="147"/>
      <c r="CT14" s="150" t="s">
        <v>17</v>
      </c>
      <c r="CU14" s="151"/>
      <c r="CV14" s="83">
        <f t="shared" ref="CV14:DC14" si="28">SUM(CV10:CV13)</f>
        <v>179</v>
      </c>
      <c r="CW14" s="84">
        <f t="shared" si="28"/>
        <v>1458</v>
      </c>
      <c r="CX14" s="84">
        <f t="shared" si="28"/>
        <v>8202</v>
      </c>
      <c r="CY14" s="84">
        <f t="shared" si="28"/>
        <v>24143</v>
      </c>
      <c r="CZ14" s="84">
        <f t="shared" si="28"/>
        <v>4705</v>
      </c>
      <c r="DA14" s="85">
        <f t="shared" si="28"/>
        <v>2365</v>
      </c>
      <c r="DB14" s="1">
        <f t="shared" si="28"/>
        <v>41052</v>
      </c>
      <c r="DC14" s="86">
        <f t="shared" si="28"/>
        <v>6397</v>
      </c>
      <c r="DD14" s="111"/>
      <c r="DE14" s="147"/>
      <c r="DF14" s="150" t="s">
        <v>17</v>
      </c>
      <c r="DG14" s="151"/>
      <c r="DH14" s="83">
        <f t="shared" ref="DH14:DO14" si="29">SUM(DH10:DH13)</f>
        <v>0</v>
      </c>
      <c r="DI14" s="84">
        <f t="shared" si="29"/>
        <v>0</v>
      </c>
      <c r="DJ14" s="84">
        <f t="shared" si="29"/>
        <v>0</v>
      </c>
      <c r="DK14" s="84">
        <f t="shared" si="29"/>
        <v>0</v>
      </c>
      <c r="DL14" s="84">
        <f t="shared" si="29"/>
        <v>0</v>
      </c>
      <c r="DM14" s="85">
        <f t="shared" si="29"/>
        <v>0</v>
      </c>
      <c r="DN14" s="1">
        <f t="shared" si="29"/>
        <v>0</v>
      </c>
      <c r="DO14" s="86">
        <f t="shared" si="29"/>
        <v>0</v>
      </c>
      <c r="DP14" s="111"/>
      <c r="DQ14" s="147"/>
      <c r="DR14" s="150" t="s">
        <v>17</v>
      </c>
      <c r="DS14" s="151"/>
      <c r="DT14" s="83">
        <f t="shared" ref="DT14:EA14" si="30">SUM(DT10:DT13)</f>
        <v>0</v>
      </c>
      <c r="DU14" s="84">
        <f t="shared" si="30"/>
        <v>0</v>
      </c>
      <c r="DV14" s="84">
        <f t="shared" si="30"/>
        <v>0</v>
      </c>
      <c r="DW14" s="84">
        <f t="shared" si="30"/>
        <v>0</v>
      </c>
      <c r="DX14" s="84">
        <f t="shared" si="30"/>
        <v>0</v>
      </c>
      <c r="DY14" s="85">
        <f t="shared" si="30"/>
        <v>0</v>
      </c>
      <c r="DZ14" s="1">
        <f t="shared" si="30"/>
        <v>0</v>
      </c>
      <c r="EA14" s="86">
        <f t="shared" si="30"/>
        <v>0</v>
      </c>
      <c r="EB14" s="111"/>
      <c r="EC14" s="147"/>
      <c r="ED14" s="150" t="s">
        <v>17</v>
      </c>
      <c r="EE14" s="151"/>
      <c r="EF14" s="83">
        <f t="shared" ref="EF14:EM14" si="31">SUM(EF10:EF13)</f>
        <v>0</v>
      </c>
      <c r="EG14" s="84">
        <f t="shared" si="31"/>
        <v>0</v>
      </c>
      <c r="EH14" s="84">
        <f t="shared" si="31"/>
        <v>0</v>
      </c>
      <c r="EI14" s="84">
        <f t="shared" si="31"/>
        <v>0</v>
      </c>
      <c r="EJ14" s="84">
        <f t="shared" si="31"/>
        <v>0</v>
      </c>
      <c r="EK14" s="85">
        <f t="shared" si="31"/>
        <v>0</v>
      </c>
      <c r="EL14" s="1">
        <f t="shared" si="31"/>
        <v>0</v>
      </c>
      <c r="EM14" s="86">
        <f t="shared" si="31"/>
        <v>0</v>
      </c>
      <c r="EN14" s="111"/>
      <c r="EO14" s="147"/>
      <c r="EP14" s="107" t="s">
        <v>17</v>
      </c>
      <c r="EQ14" s="108"/>
      <c r="ER14" s="83">
        <f t="shared" ref="ER14:EY14" si="32">SUM(ER10:ER13)</f>
        <v>0</v>
      </c>
      <c r="ES14" s="84">
        <f t="shared" si="32"/>
        <v>0</v>
      </c>
      <c r="ET14" s="84">
        <f t="shared" si="32"/>
        <v>0</v>
      </c>
      <c r="EU14" s="84">
        <f t="shared" si="32"/>
        <v>0</v>
      </c>
      <c r="EV14" s="84">
        <f t="shared" si="32"/>
        <v>0</v>
      </c>
      <c r="EW14" s="85">
        <f t="shared" si="32"/>
        <v>0</v>
      </c>
      <c r="EX14" s="1">
        <f t="shared" si="32"/>
        <v>0</v>
      </c>
      <c r="EY14" s="86">
        <f t="shared" si="32"/>
        <v>0</v>
      </c>
      <c r="EZ14" s="60"/>
    </row>
    <row r="15" spans="1:156" ht="15.95" customHeight="1" thickTop="1" thickBot="1" x14ac:dyDescent="0.25">
      <c r="A15" s="145" t="s">
        <v>25</v>
      </c>
      <c r="B15" s="152" t="s">
        <v>14</v>
      </c>
      <c r="C15" s="53" t="s">
        <v>13</v>
      </c>
      <c r="D15" s="128">
        <v>2100</v>
      </c>
      <c r="E15" s="114">
        <v>285</v>
      </c>
      <c r="F15" s="114">
        <v>3445</v>
      </c>
      <c r="G15" s="114">
        <v>3175</v>
      </c>
      <c r="H15" s="115">
        <v>2572</v>
      </c>
      <c r="I15" s="115">
        <v>522</v>
      </c>
      <c r="J15" s="116">
        <f>SUM(D15:I15)</f>
        <v>12099</v>
      </c>
      <c r="K15" s="143">
        <v>7560</v>
      </c>
      <c r="L15" s="111"/>
      <c r="M15" s="145" t="s">
        <v>25</v>
      </c>
      <c r="N15" s="152" t="s">
        <v>14</v>
      </c>
      <c r="O15" s="53" t="s">
        <v>13</v>
      </c>
      <c r="P15" s="128" t="s">
        <v>36</v>
      </c>
      <c r="Q15" s="114">
        <v>285</v>
      </c>
      <c r="R15" s="114">
        <v>3445</v>
      </c>
      <c r="S15" s="114">
        <v>3175</v>
      </c>
      <c r="T15" s="115">
        <v>2572</v>
      </c>
      <c r="U15" s="115">
        <v>522</v>
      </c>
      <c r="V15" s="73">
        <f>SUM(P15:U15)</f>
        <v>9999</v>
      </c>
      <c r="W15" s="143">
        <v>7560</v>
      </c>
      <c r="X15" s="111"/>
      <c r="Y15" s="145" t="s">
        <v>25</v>
      </c>
      <c r="Z15" s="152" t="s">
        <v>14</v>
      </c>
      <c r="AA15" s="53" t="s">
        <v>13</v>
      </c>
      <c r="AB15" s="128" t="s">
        <v>36</v>
      </c>
      <c r="AC15" s="114">
        <v>285</v>
      </c>
      <c r="AD15" s="114">
        <v>3445</v>
      </c>
      <c r="AE15" s="114">
        <v>3175</v>
      </c>
      <c r="AF15" s="115">
        <v>2572</v>
      </c>
      <c r="AG15" s="115">
        <v>522</v>
      </c>
      <c r="AH15" s="73">
        <f>SUM(AB15:AG15)</f>
        <v>9999</v>
      </c>
      <c r="AI15" s="143">
        <v>7560</v>
      </c>
      <c r="AJ15" s="111"/>
      <c r="AK15" s="145" t="s">
        <v>25</v>
      </c>
      <c r="AL15" s="152" t="s">
        <v>14</v>
      </c>
      <c r="AM15" s="53" t="s">
        <v>13</v>
      </c>
      <c r="AN15" s="128" t="s">
        <v>36</v>
      </c>
      <c r="AO15" s="114">
        <v>285</v>
      </c>
      <c r="AP15" s="114">
        <v>3445</v>
      </c>
      <c r="AQ15" s="114">
        <v>3175</v>
      </c>
      <c r="AR15" s="115">
        <v>2572</v>
      </c>
      <c r="AS15" s="115">
        <v>522</v>
      </c>
      <c r="AT15" s="73">
        <f>SUM(AN15:AS15)</f>
        <v>9999</v>
      </c>
      <c r="AU15" s="143">
        <v>7560</v>
      </c>
      <c r="AV15" s="111"/>
      <c r="AW15" s="145" t="s">
        <v>25</v>
      </c>
      <c r="AX15" s="152" t="s">
        <v>14</v>
      </c>
      <c r="AY15" s="53" t="s">
        <v>13</v>
      </c>
      <c r="AZ15" s="128" t="s">
        <v>36</v>
      </c>
      <c r="BA15" s="114">
        <v>285</v>
      </c>
      <c r="BB15" s="114">
        <v>3445</v>
      </c>
      <c r="BC15" s="114">
        <v>3175</v>
      </c>
      <c r="BD15" s="115">
        <v>2572</v>
      </c>
      <c r="BE15" s="115">
        <v>522</v>
      </c>
      <c r="BF15" s="73">
        <f>SUM(AZ15:BE15)</f>
        <v>9999</v>
      </c>
      <c r="BG15" s="143">
        <v>7560</v>
      </c>
      <c r="BH15" s="111"/>
      <c r="BI15" s="145" t="s">
        <v>25</v>
      </c>
      <c r="BJ15" s="152" t="s">
        <v>14</v>
      </c>
      <c r="BK15" s="53" t="s">
        <v>13</v>
      </c>
      <c r="BL15" s="128" t="s">
        <v>36</v>
      </c>
      <c r="BM15" s="114">
        <v>285</v>
      </c>
      <c r="BN15" s="114">
        <v>3445</v>
      </c>
      <c r="BO15" s="114">
        <v>3175</v>
      </c>
      <c r="BP15" s="115">
        <v>2572</v>
      </c>
      <c r="BQ15" s="115">
        <v>522</v>
      </c>
      <c r="BR15" s="73">
        <f>SUM(BL15:BQ15)</f>
        <v>9999</v>
      </c>
      <c r="BS15" s="143">
        <v>7560</v>
      </c>
      <c r="BT15" s="111"/>
      <c r="BU15" s="145" t="s">
        <v>25</v>
      </c>
      <c r="BV15" s="152" t="s">
        <v>14</v>
      </c>
      <c r="BW15" s="53" t="s">
        <v>13</v>
      </c>
      <c r="BX15" s="128" t="s">
        <v>36</v>
      </c>
      <c r="BY15" s="114">
        <v>285</v>
      </c>
      <c r="BZ15" s="114">
        <v>3445</v>
      </c>
      <c r="CA15" s="114">
        <v>3175</v>
      </c>
      <c r="CB15" s="115">
        <v>2572</v>
      </c>
      <c r="CC15" s="115">
        <v>522</v>
      </c>
      <c r="CD15" s="73">
        <f>SUM(BX15:CC15)</f>
        <v>9999</v>
      </c>
      <c r="CE15" s="143">
        <v>7560</v>
      </c>
      <c r="CF15" s="111"/>
      <c r="CG15" s="145" t="s">
        <v>25</v>
      </c>
      <c r="CH15" s="152" t="s">
        <v>14</v>
      </c>
      <c r="CI15" s="53" t="s">
        <v>13</v>
      </c>
      <c r="CJ15" s="128" t="s">
        <v>36</v>
      </c>
      <c r="CK15" s="114">
        <v>285</v>
      </c>
      <c r="CL15" s="114">
        <v>3445</v>
      </c>
      <c r="CM15" s="114">
        <v>3175</v>
      </c>
      <c r="CN15" s="115">
        <v>2572</v>
      </c>
      <c r="CO15" s="115">
        <v>522</v>
      </c>
      <c r="CP15" s="73">
        <f>SUM(CJ15:CO15)</f>
        <v>9999</v>
      </c>
      <c r="CQ15" s="143">
        <v>7560</v>
      </c>
      <c r="CR15" s="111"/>
      <c r="CS15" s="145" t="s">
        <v>25</v>
      </c>
      <c r="CT15" s="152" t="s">
        <v>14</v>
      </c>
      <c r="CU15" s="53" t="s">
        <v>13</v>
      </c>
      <c r="CV15" s="128" t="s">
        <v>36</v>
      </c>
      <c r="CW15" s="114">
        <v>285</v>
      </c>
      <c r="CX15" s="114">
        <v>3445</v>
      </c>
      <c r="CY15" s="114">
        <v>3175</v>
      </c>
      <c r="CZ15" s="115">
        <v>2572</v>
      </c>
      <c r="DA15" s="115">
        <v>522</v>
      </c>
      <c r="DB15" s="73">
        <f>SUM(CV15:DA15)</f>
        <v>9999</v>
      </c>
      <c r="DC15" s="143">
        <v>7560</v>
      </c>
      <c r="DD15" s="111"/>
      <c r="DE15" s="145" t="s">
        <v>25</v>
      </c>
      <c r="DF15" s="152" t="s">
        <v>14</v>
      </c>
      <c r="DG15" s="53" t="s">
        <v>13</v>
      </c>
      <c r="DH15" s="70">
        <v>0</v>
      </c>
      <c r="DI15" s="71">
        <v>0</v>
      </c>
      <c r="DJ15" s="71">
        <v>0</v>
      </c>
      <c r="DK15" s="71">
        <v>0</v>
      </c>
      <c r="DL15" s="71">
        <v>0</v>
      </c>
      <c r="DM15" s="72">
        <v>0</v>
      </c>
      <c r="DN15" s="73">
        <f>SUM(DH15:DM15)</f>
        <v>0</v>
      </c>
      <c r="DO15" s="143">
        <v>0</v>
      </c>
      <c r="DP15" s="111"/>
      <c r="DQ15" s="145" t="s">
        <v>25</v>
      </c>
      <c r="DR15" s="152" t="s">
        <v>14</v>
      </c>
      <c r="DS15" s="53" t="s">
        <v>13</v>
      </c>
      <c r="DT15" s="70">
        <v>0</v>
      </c>
      <c r="DU15" s="71">
        <v>0</v>
      </c>
      <c r="DV15" s="71">
        <v>0</v>
      </c>
      <c r="DW15" s="71">
        <v>0</v>
      </c>
      <c r="DX15" s="71">
        <v>0</v>
      </c>
      <c r="DY15" s="72">
        <v>0</v>
      </c>
      <c r="DZ15" s="73">
        <f>SUM(DT15:DY15)</f>
        <v>0</v>
      </c>
      <c r="EA15" s="143">
        <v>0</v>
      </c>
      <c r="EB15" s="111"/>
      <c r="EC15" s="145" t="s">
        <v>25</v>
      </c>
      <c r="ED15" s="152" t="s">
        <v>14</v>
      </c>
      <c r="EE15" s="53" t="s">
        <v>13</v>
      </c>
      <c r="EF15" s="70">
        <v>0</v>
      </c>
      <c r="EG15" s="71">
        <v>0</v>
      </c>
      <c r="EH15" s="71">
        <v>0</v>
      </c>
      <c r="EI15" s="71">
        <v>0</v>
      </c>
      <c r="EJ15" s="71">
        <v>0</v>
      </c>
      <c r="EK15" s="72">
        <v>0</v>
      </c>
      <c r="EL15" s="73">
        <f>SUM(EF15:EK15)</f>
        <v>0</v>
      </c>
      <c r="EM15" s="143">
        <v>0</v>
      </c>
      <c r="EN15" s="111"/>
      <c r="EO15" s="145" t="str">
        <f t="shared" ref="EO15" si="33">EC15</f>
        <v>السليمانية</v>
      </c>
      <c r="EP15" s="105" t="s">
        <v>14</v>
      </c>
      <c r="EQ15" s="53" t="s">
        <v>13</v>
      </c>
      <c r="ER15" s="70">
        <f t="shared" ref="ER15:EW18" si="34">SUM(EF15)</f>
        <v>0</v>
      </c>
      <c r="ES15" s="71">
        <f t="shared" si="34"/>
        <v>0</v>
      </c>
      <c r="ET15" s="71">
        <f t="shared" si="34"/>
        <v>0</v>
      </c>
      <c r="EU15" s="71">
        <f t="shared" si="34"/>
        <v>0</v>
      </c>
      <c r="EV15" s="71">
        <f t="shared" si="34"/>
        <v>0</v>
      </c>
      <c r="EW15" s="72">
        <f t="shared" si="34"/>
        <v>0</v>
      </c>
      <c r="EX15" s="74">
        <f>SUM(ER15:EW15)</f>
        <v>0</v>
      </c>
      <c r="EY15" s="143">
        <f>SUM(EM15)</f>
        <v>0</v>
      </c>
      <c r="EZ15" s="60"/>
    </row>
    <row r="16" spans="1:156" ht="15.95" customHeight="1" thickBot="1" x14ac:dyDescent="0.25">
      <c r="A16" s="146"/>
      <c r="B16" s="153"/>
      <c r="C16" s="55" t="s">
        <v>15</v>
      </c>
      <c r="D16" s="129">
        <v>2251</v>
      </c>
      <c r="E16" s="118">
        <v>255</v>
      </c>
      <c r="F16" s="118">
        <v>3325</v>
      </c>
      <c r="G16" s="118">
        <v>3663</v>
      </c>
      <c r="H16" s="119">
        <v>211</v>
      </c>
      <c r="I16" s="119">
        <v>402</v>
      </c>
      <c r="J16" s="120">
        <f>SUM(D16:I16)</f>
        <v>10107</v>
      </c>
      <c r="K16" s="144"/>
      <c r="L16" s="111"/>
      <c r="M16" s="146"/>
      <c r="N16" s="153"/>
      <c r="O16" s="55" t="s">
        <v>15</v>
      </c>
      <c r="P16" s="129">
        <v>2251</v>
      </c>
      <c r="Q16" s="118">
        <v>255</v>
      </c>
      <c r="R16" s="118">
        <v>3325</v>
      </c>
      <c r="S16" s="118">
        <v>3663</v>
      </c>
      <c r="T16" s="119">
        <v>211</v>
      </c>
      <c r="U16" s="119">
        <v>402</v>
      </c>
      <c r="V16" s="78">
        <f>SUM(P16:U16)</f>
        <v>10107</v>
      </c>
      <c r="W16" s="144"/>
      <c r="X16" s="111"/>
      <c r="Y16" s="146"/>
      <c r="Z16" s="153"/>
      <c r="AA16" s="55" t="s">
        <v>15</v>
      </c>
      <c r="AB16" s="129">
        <v>2251</v>
      </c>
      <c r="AC16" s="118">
        <v>255</v>
      </c>
      <c r="AD16" s="118">
        <v>3325</v>
      </c>
      <c r="AE16" s="118">
        <v>3663</v>
      </c>
      <c r="AF16" s="119">
        <v>211</v>
      </c>
      <c r="AG16" s="119">
        <v>402</v>
      </c>
      <c r="AH16" s="78">
        <f>SUM(AB16:AG16)</f>
        <v>10107</v>
      </c>
      <c r="AI16" s="144"/>
      <c r="AJ16" s="111"/>
      <c r="AK16" s="146"/>
      <c r="AL16" s="153"/>
      <c r="AM16" s="55" t="s">
        <v>15</v>
      </c>
      <c r="AN16" s="129">
        <v>2251</v>
      </c>
      <c r="AO16" s="118">
        <v>255</v>
      </c>
      <c r="AP16" s="118">
        <v>3325</v>
      </c>
      <c r="AQ16" s="118">
        <v>3663</v>
      </c>
      <c r="AR16" s="119">
        <v>211</v>
      </c>
      <c r="AS16" s="119">
        <v>402</v>
      </c>
      <c r="AT16" s="78">
        <f>SUM(AN16:AS16)</f>
        <v>10107</v>
      </c>
      <c r="AU16" s="144"/>
      <c r="AV16" s="111"/>
      <c r="AW16" s="146"/>
      <c r="AX16" s="153"/>
      <c r="AY16" s="55" t="s">
        <v>15</v>
      </c>
      <c r="AZ16" s="129">
        <v>2251</v>
      </c>
      <c r="BA16" s="118">
        <v>255</v>
      </c>
      <c r="BB16" s="118">
        <v>3325</v>
      </c>
      <c r="BC16" s="118">
        <v>3663</v>
      </c>
      <c r="BD16" s="119">
        <v>211</v>
      </c>
      <c r="BE16" s="119">
        <v>402</v>
      </c>
      <c r="BF16" s="78">
        <f>SUM(AZ16:BE16)</f>
        <v>10107</v>
      </c>
      <c r="BG16" s="144"/>
      <c r="BH16" s="111"/>
      <c r="BI16" s="146"/>
      <c r="BJ16" s="153"/>
      <c r="BK16" s="55" t="s">
        <v>15</v>
      </c>
      <c r="BL16" s="129">
        <v>2251</v>
      </c>
      <c r="BM16" s="118">
        <v>255</v>
      </c>
      <c r="BN16" s="118">
        <v>3325</v>
      </c>
      <c r="BO16" s="118">
        <v>3663</v>
      </c>
      <c r="BP16" s="119">
        <v>211</v>
      </c>
      <c r="BQ16" s="119">
        <v>402</v>
      </c>
      <c r="BR16" s="78">
        <f>SUM(BL16:BQ16)</f>
        <v>10107</v>
      </c>
      <c r="BS16" s="144"/>
      <c r="BT16" s="111"/>
      <c r="BU16" s="146"/>
      <c r="BV16" s="153"/>
      <c r="BW16" s="55" t="s">
        <v>15</v>
      </c>
      <c r="BX16" s="129">
        <v>2251</v>
      </c>
      <c r="BY16" s="118">
        <v>255</v>
      </c>
      <c r="BZ16" s="118">
        <v>3325</v>
      </c>
      <c r="CA16" s="118">
        <v>3663</v>
      </c>
      <c r="CB16" s="119">
        <v>211</v>
      </c>
      <c r="CC16" s="119">
        <v>402</v>
      </c>
      <c r="CD16" s="78">
        <f>SUM(BX16:CC16)</f>
        <v>10107</v>
      </c>
      <c r="CE16" s="144"/>
      <c r="CF16" s="111"/>
      <c r="CG16" s="146"/>
      <c r="CH16" s="153"/>
      <c r="CI16" s="55" t="s">
        <v>15</v>
      </c>
      <c r="CJ16" s="129">
        <v>2251</v>
      </c>
      <c r="CK16" s="118">
        <v>255</v>
      </c>
      <c r="CL16" s="118">
        <v>3325</v>
      </c>
      <c r="CM16" s="118">
        <v>3663</v>
      </c>
      <c r="CN16" s="119">
        <v>211</v>
      </c>
      <c r="CO16" s="119">
        <v>402</v>
      </c>
      <c r="CP16" s="78">
        <f>SUM(CJ16:CO16)</f>
        <v>10107</v>
      </c>
      <c r="CQ16" s="144"/>
      <c r="CR16" s="111"/>
      <c r="CS16" s="146"/>
      <c r="CT16" s="153"/>
      <c r="CU16" s="55" t="s">
        <v>15</v>
      </c>
      <c r="CV16" s="129">
        <v>2251</v>
      </c>
      <c r="CW16" s="118">
        <v>255</v>
      </c>
      <c r="CX16" s="118">
        <v>3325</v>
      </c>
      <c r="CY16" s="118">
        <v>3663</v>
      </c>
      <c r="CZ16" s="119">
        <v>211</v>
      </c>
      <c r="DA16" s="119">
        <v>402</v>
      </c>
      <c r="DB16" s="78">
        <f>SUM(CV16:DA16)</f>
        <v>10107</v>
      </c>
      <c r="DC16" s="144"/>
      <c r="DD16" s="111"/>
      <c r="DE16" s="146"/>
      <c r="DF16" s="153"/>
      <c r="DG16" s="55" t="s">
        <v>15</v>
      </c>
      <c r="DH16" s="75">
        <v>0</v>
      </c>
      <c r="DI16" s="76">
        <v>0</v>
      </c>
      <c r="DJ16" s="76">
        <v>0</v>
      </c>
      <c r="DK16" s="76">
        <v>0</v>
      </c>
      <c r="DL16" s="76">
        <v>0</v>
      </c>
      <c r="DM16" s="77">
        <v>0</v>
      </c>
      <c r="DN16" s="78">
        <f>SUM(DH16:DM16)</f>
        <v>0</v>
      </c>
      <c r="DO16" s="144"/>
      <c r="DP16" s="111"/>
      <c r="DQ16" s="146"/>
      <c r="DR16" s="153"/>
      <c r="DS16" s="55" t="s">
        <v>15</v>
      </c>
      <c r="DT16" s="75">
        <v>0</v>
      </c>
      <c r="DU16" s="76">
        <v>0</v>
      </c>
      <c r="DV16" s="76">
        <v>0</v>
      </c>
      <c r="DW16" s="76">
        <v>0</v>
      </c>
      <c r="DX16" s="76">
        <v>0</v>
      </c>
      <c r="DY16" s="77">
        <v>0</v>
      </c>
      <c r="DZ16" s="78">
        <f>SUM(DT16:DY16)</f>
        <v>0</v>
      </c>
      <c r="EA16" s="144"/>
      <c r="EB16" s="111"/>
      <c r="EC16" s="146"/>
      <c r="ED16" s="153"/>
      <c r="EE16" s="55" t="s">
        <v>15</v>
      </c>
      <c r="EF16" s="75">
        <v>0</v>
      </c>
      <c r="EG16" s="76">
        <v>0</v>
      </c>
      <c r="EH16" s="76">
        <v>0</v>
      </c>
      <c r="EI16" s="76">
        <v>0</v>
      </c>
      <c r="EJ16" s="76">
        <v>0</v>
      </c>
      <c r="EK16" s="77">
        <v>0</v>
      </c>
      <c r="EL16" s="78">
        <f>SUM(EF16:EK16)</f>
        <v>0</v>
      </c>
      <c r="EM16" s="144"/>
      <c r="EN16" s="111"/>
      <c r="EO16" s="146"/>
      <c r="EP16" s="106"/>
      <c r="EQ16" s="55" t="s">
        <v>15</v>
      </c>
      <c r="ER16" s="75">
        <f t="shared" si="34"/>
        <v>0</v>
      </c>
      <c r="ES16" s="76">
        <f t="shared" si="34"/>
        <v>0</v>
      </c>
      <c r="ET16" s="76">
        <f t="shared" si="34"/>
        <v>0</v>
      </c>
      <c r="EU16" s="76">
        <f t="shared" si="34"/>
        <v>0</v>
      </c>
      <c r="EV16" s="76">
        <f t="shared" si="34"/>
        <v>0</v>
      </c>
      <c r="EW16" s="77">
        <f t="shared" si="34"/>
        <v>0</v>
      </c>
      <c r="EX16" s="79">
        <f>SUM(ER16:EW16)</f>
        <v>0</v>
      </c>
      <c r="EY16" s="144"/>
      <c r="EZ16" s="60"/>
    </row>
    <row r="17" spans="1:156" ht="15.95" customHeight="1" thickBot="1" x14ac:dyDescent="0.25">
      <c r="A17" s="146"/>
      <c r="B17" s="56" t="s">
        <v>16</v>
      </c>
      <c r="C17" s="57" t="s">
        <v>13</v>
      </c>
      <c r="D17" s="130">
        <v>1247</v>
      </c>
      <c r="E17" s="122">
        <v>580</v>
      </c>
      <c r="F17" s="122">
        <v>241</v>
      </c>
      <c r="G17" s="122">
        <v>248</v>
      </c>
      <c r="H17" s="123">
        <v>411</v>
      </c>
      <c r="I17" s="123">
        <v>59</v>
      </c>
      <c r="J17" s="116">
        <f>SUM(D17:I17)</f>
        <v>2786</v>
      </c>
      <c r="K17" s="143">
        <v>2980</v>
      </c>
      <c r="L17" s="111"/>
      <c r="M17" s="146"/>
      <c r="N17" s="56" t="s">
        <v>16</v>
      </c>
      <c r="O17" s="57" t="s">
        <v>13</v>
      </c>
      <c r="P17" s="130">
        <v>1247</v>
      </c>
      <c r="Q17" s="122">
        <v>580</v>
      </c>
      <c r="R17" s="122">
        <v>241</v>
      </c>
      <c r="S17" s="122">
        <v>248</v>
      </c>
      <c r="T17" s="123">
        <v>411</v>
      </c>
      <c r="U17" s="123">
        <v>59</v>
      </c>
      <c r="V17" s="73">
        <f>SUM(P17:U17)</f>
        <v>2786</v>
      </c>
      <c r="W17" s="143">
        <v>2980</v>
      </c>
      <c r="X17" s="111"/>
      <c r="Y17" s="146"/>
      <c r="Z17" s="56" t="s">
        <v>16</v>
      </c>
      <c r="AA17" s="57" t="s">
        <v>13</v>
      </c>
      <c r="AB17" s="130">
        <v>1247</v>
      </c>
      <c r="AC17" s="122">
        <v>580</v>
      </c>
      <c r="AD17" s="122">
        <v>241</v>
      </c>
      <c r="AE17" s="122">
        <v>248</v>
      </c>
      <c r="AF17" s="123">
        <v>411</v>
      </c>
      <c r="AG17" s="123">
        <v>59</v>
      </c>
      <c r="AH17" s="73">
        <f>SUM(AB17:AG17)</f>
        <v>2786</v>
      </c>
      <c r="AI17" s="143">
        <v>2980</v>
      </c>
      <c r="AJ17" s="111"/>
      <c r="AK17" s="146"/>
      <c r="AL17" s="56" t="s">
        <v>16</v>
      </c>
      <c r="AM17" s="57" t="s">
        <v>13</v>
      </c>
      <c r="AN17" s="130">
        <v>1247</v>
      </c>
      <c r="AO17" s="122">
        <v>580</v>
      </c>
      <c r="AP17" s="122">
        <v>241</v>
      </c>
      <c r="AQ17" s="122">
        <v>248</v>
      </c>
      <c r="AR17" s="123">
        <v>411</v>
      </c>
      <c r="AS17" s="123">
        <v>59</v>
      </c>
      <c r="AT17" s="73">
        <f>SUM(AN17:AS17)</f>
        <v>2786</v>
      </c>
      <c r="AU17" s="143">
        <v>2980</v>
      </c>
      <c r="AV17" s="111"/>
      <c r="AW17" s="146"/>
      <c r="AX17" s="56" t="s">
        <v>16</v>
      </c>
      <c r="AY17" s="57" t="s">
        <v>13</v>
      </c>
      <c r="AZ17" s="130">
        <v>1247</v>
      </c>
      <c r="BA17" s="122">
        <v>580</v>
      </c>
      <c r="BB17" s="122">
        <v>241</v>
      </c>
      <c r="BC17" s="122">
        <v>248</v>
      </c>
      <c r="BD17" s="123">
        <v>411</v>
      </c>
      <c r="BE17" s="123">
        <v>59</v>
      </c>
      <c r="BF17" s="73">
        <f>SUM(AZ17:BE17)</f>
        <v>2786</v>
      </c>
      <c r="BG17" s="143">
        <v>2980</v>
      </c>
      <c r="BH17" s="111"/>
      <c r="BI17" s="146"/>
      <c r="BJ17" s="56" t="s">
        <v>16</v>
      </c>
      <c r="BK17" s="57" t="s">
        <v>13</v>
      </c>
      <c r="BL17" s="130">
        <v>1247</v>
      </c>
      <c r="BM17" s="122">
        <v>580</v>
      </c>
      <c r="BN17" s="122">
        <v>241</v>
      </c>
      <c r="BO17" s="122">
        <v>248</v>
      </c>
      <c r="BP17" s="123">
        <v>411</v>
      </c>
      <c r="BQ17" s="123">
        <v>59</v>
      </c>
      <c r="BR17" s="73">
        <f>SUM(BL17:BQ17)</f>
        <v>2786</v>
      </c>
      <c r="BS17" s="143">
        <v>2980</v>
      </c>
      <c r="BT17" s="111"/>
      <c r="BU17" s="146"/>
      <c r="BV17" s="56" t="s">
        <v>16</v>
      </c>
      <c r="BW17" s="57" t="s">
        <v>13</v>
      </c>
      <c r="BX17" s="130">
        <v>1247</v>
      </c>
      <c r="BY17" s="122">
        <v>580</v>
      </c>
      <c r="BZ17" s="122">
        <v>241</v>
      </c>
      <c r="CA17" s="122">
        <v>248</v>
      </c>
      <c r="CB17" s="123">
        <v>411</v>
      </c>
      <c r="CC17" s="123">
        <v>59</v>
      </c>
      <c r="CD17" s="73">
        <f>SUM(BX17:CC17)</f>
        <v>2786</v>
      </c>
      <c r="CE17" s="143">
        <v>2980</v>
      </c>
      <c r="CF17" s="111"/>
      <c r="CG17" s="146"/>
      <c r="CH17" s="56" t="s">
        <v>16</v>
      </c>
      <c r="CI17" s="57" t="s">
        <v>13</v>
      </c>
      <c r="CJ17" s="130">
        <v>1247</v>
      </c>
      <c r="CK17" s="122">
        <v>580</v>
      </c>
      <c r="CL17" s="122">
        <v>241</v>
      </c>
      <c r="CM17" s="122">
        <v>248</v>
      </c>
      <c r="CN17" s="123">
        <v>411</v>
      </c>
      <c r="CO17" s="123">
        <v>59</v>
      </c>
      <c r="CP17" s="73">
        <f>SUM(CJ17:CO17)</f>
        <v>2786</v>
      </c>
      <c r="CQ17" s="143">
        <v>2980</v>
      </c>
      <c r="CR17" s="111"/>
      <c r="CS17" s="146"/>
      <c r="CT17" s="56" t="s">
        <v>16</v>
      </c>
      <c r="CU17" s="57" t="s">
        <v>13</v>
      </c>
      <c r="CV17" s="130">
        <v>1247</v>
      </c>
      <c r="CW17" s="122">
        <v>580</v>
      </c>
      <c r="CX17" s="122">
        <v>241</v>
      </c>
      <c r="CY17" s="122">
        <v>248</v>
      </c>
      <c r="CZ17" s="123">
        <v>411</v>
      </c>
      <c r="DA17" s="123">
        <v>59</v>
      </c>
      <c r="DB17" s="73">
        <f>SUM(CV17:DA17)</f>
        <v>2786</v>
      </c>
      <c r="DC17" s="143">
        <v>2980</v>
      </c>
      <c r="DD17" s="111"/>
      <c r="DE17" s="146"/>
      <c r="DF17" s="56" t="s">
        <v>16</v>
      </c>
      <c r="DG17" s="57" t="s">
        <v>13</v>
      </c>
      <c r="DH17" s="70">
        <v>0</v>
      </c>
      <c r="DI17" s="71">
        <v>0</v>
      </c>
      <c r="DJ17" s="71">
        <v>0</v>
      </c>
      <c r="DK17" s="71">
        <v>0</v>
      </c>
      <c r="DL17" s="71">
        <v>0</v>
      </c>
      <c r="DM17" s="72">
        <v>0</v>
      </c>
      <c r="DN17" s="73">
        <f>SUM(DH17:DM17)</f>
        <v>0</v>
      </c>
      <c r="DO17" s="143">
        <v>0</v>
      </c>
      <c r="DP17" s="111"/>
      <c r="DQ17" s="146"/>
      <c r="DR17" s="56" t="s">
        <v>16</v>
      </c>
      <c r="DS17" s="57" t="s">
        <v>13</v>
      </c>
      <c r="DT17" s="70">
        <v>0</v>
      </c>
      <c r="DU17" s="71">
        <v>0</v>
      </c>
      <c r="DV17" s="71">
        <v>0</v>
      </c>
      <c r="DW17" s="71">
        <v>0</v>
      </c>
      <c r="DX17" s="71">
        <v>0</v>
      </c>
      <c r="DY17" s="72">
        <v>0</v>
      </c>
      <c r="DZ17" s="73">
        <f>SUM(DT17:DY17)</f>
        <v>0</v>
      </c>
      <c r="EA17" s="143">
        <v>0</v>
      </c>
      <c r="EB17" s="111"/>
      <c r="EC17" s="146"/>
      <c r="ED17" s="56" t="s">
        <v>16</v>
      </c>
      <c r="EE17" s="57" t="s">
        <v>13</v>
      </c>
      <c r="EF17" s="70">
        <v>0</v>
      </c>
      <c r="EG17" s="71">
        <v>0</v>
      </c>
      <c r="EH17" s="71">
        <v>0</v>
      </c>
      <c r="EI17" s="71">
        <v>0</v>
      </c>
      <c r="EJ17" s="71">
        <v>0</v>
      </c>
      <c r="EK17" s="72">
        <v>0</v>
      </c>
      <c r="EL17" s="73">
        <f>SUM(EF17:EK17)</f>
        <v>0</v>
      </c>
      <c r="EM17" s="143">
        <v>0</v>
      </c>
      <c r="EN17" s="111"/>
      <c r="EO17" s="146"/>
      <c r="EP17" s="56" t="s">
        <v>16</v>
      </c>
      <c r="EQ17" s="57" t="s">
        <v>13</v>
      </c>
      <c r="ER17" s="80">
        <f t="shared" si="34"/>
        <v>0</v>
      </c>
      <c r="ES17" s="81">
        <f t="shared" si="34"/>
        <v>0</v>
      </c>
      <c r="ET17" s="81">
        <f t="shared" si="34"/>
        <v>0</v>
      </c>
      <c r="EU17" s="81">
        <f t="shared" si="34"/>
        <v>0</v>
      </c>
      <c r="EV17" s="81">
        <f t="shared" si="34"/>
        <v>0</v>
      </c>
      <c r="EW17" s="82">
        <f t="shared" si="34"/>
        <v>0</v>
      </c>
      <c r="EX17" s="74">
        <f>SUM(ER17:EW17)</f>
        <v>0</v>
      </c>
      <c r="EY17" s="143">
        <f>SUM(EM17)</f>
        <v>0</v>
      </c>
      <c r="EZ17" s="60"/>
    </row>
    <row r="18" spans="1:156" ht="15.95" customHeight="1" thickBot="1" x14ac:dyDescent="0.25">
      <c r="A18" s="146"/>
      <c r="B18" s="58" t="s">
        <v>14</v>
      </c>
      <c r="C18" s="59" t="s">
        <v>15</v>
      </c>
      <c r="D18" s="129">
        <v>975</v>
      </c>
      <c r="E18" s="118">
        <v>457</v>
      </c>
      <c r="F18" s="118">
        <v>288</v>
      </c>
      <c r="G18" s="118">
        <v>254</v>
      </c>
      <c r="H18" s="119">
        <v>254</v>
      </c>
      <c r="I18" s="119">
        <v>50</v>
      </c>
      <c r="J18" s="120">
        <f>SUM(D18:I18)</f>
        <v>2278</v>
      </c>
      <c r="K18" s="144"/>
      <c r="L18" s="111"/>
      <c r="M18" s="146"/>
      <c r="N18" s="58" t="s">
        <v>14</v>
      </c>
      <c r="O18" s="59" t="s">
        <v>15</v>
      </c>
      <c r="P18" s="129">
        <v>975</v>
      </c>
      <c r="Q18" s="118">
        <v>457</v>
      </c>
      <c r="R18" s="118">
        <v>288</v>
      </c>
      <c r="S18" s="118">
        <v>254</v>
      </c>
      <c r="T18" s="119">
        <v>254</v>
      </c>
      <c r="U18" s="119">
        <v>50</v>
      </c>
      <c r="V18" s="78">
        <f>SUM(P18:U18)</f>
        <v>2278</v>
      </c>
      <c r="W18" s="144"/>
      <c r="X18" s="111"/>
      <c r="Y18" s="146"/>
      <c r="Z18" s="58" t="s">
        <v>14</v>
      </c>
      <c r="AA18" s="59" t="s">
        <v>15</v>
      </c>
      <c r="AB18" s="129">
        <v>975</v>
      </c>
      <c r="AC18" s="118">
        <v>457</v>
      </c>
      <c r="AD18" s="118">
        <v>288</v>
      </c>
      <c r="AE18" s="118">
        <v>254</v>
      </c>
      <c r="AF18" s="119">
        <v>254</v>
      </c>
      <c r="AG18" s="119">
        <v>50</v>
      </c>
      <c r="AH18" s="78">
        <f>SUM(AB18:AG18)</f>
        <v>2278</v>
      </c>
      <c r="AI18" s="144"/>
      <c r="AJ18" s="111"/>
      <c r="AK18" s="146"/>
      <c r="AL18" s="58" t="s">
        <v>14</v>
      </c>
      <c r="AM18" s="59" t="s">
        <v>15</v>
      </c>
      <c r="AN18" s="129">
        <v>975</v>
      </c>
      <c r="AO18" s="118">
        <v>457</v>
      </c>
      <c r="AP18" s="118">
        <v>288</v>
      </c>
      <c r="AQ18" s="118">
        <v>254</v>
      </c>
      <c r="AR18" s="119">
        <v>254</v>
      </c>
      <c r="AS18" s="119">
        <v>50</v>
      </c>
      <c r="AT18" s="78">
        <f>SUM(AN18:AS18)</f>
        <v>2278</v>
      </c>
      <c r="AU18" s="144"/>
      <c r="AV18" s="111"/>
      <c r="AW18" s="146"/>
      <c r="AX18" s="58" t="s">
        <v>14</v>
      </c>
      <c r="AY18" s="59" t="s">
        <v>15</v>
      </c>
      <c r="AZ18" s="129">
        <v>975</v>
      </c>
      <c r="BA18" s="118">
        <v>457</v>
      </c>
      <c r="BB18" s="118">
        <v>288</v>
      </c>
      <c r="BC18" s="118">
        <v>254</v>
      </c>
      <c r="BD18" s="119">
        <v>254</v>
      </c>
      <c r="BE18" s="119">
        <v>50</v>
      </c>
      <c r="BF18" s="78">
        <f>SUM(AZ18:BE18)</f>
        <v>2278</v>
      </c>
      <c r="BG18" s="144"/>
      <c r="BH18" s="111"/>
      <c r="BI18" s="146"/>
      <c r="BJ18" s="58" t="s">
        <v>14</v>
      </c>
      <c r="BK18" s="59" t="s">
        <v>15</v>
      </c>
      <c r="BL18" s="129">
        <v>975</v>
      </c>
      <c r="BM18" s="118">
        <v>457</v>
      </c>
      <c r="BN18" s="118">
        <v>288</v>
      </c>
      <c r="BO18" s="118">
        <v>254</v>
      </c>
      <c r="BP18" s="119">
        <v>254</v>
      </c>
      <c r="BQ18" s="119">
        <v>50</v>
      </c>
      <c r="BR18" s="78">
        <f>SUM(BL18:BQ18)</f>
        <v>2278</v>
      </c>
      <c r="BS18" s="144"/>
      <c r="BT18" s="111"/>
      <c r="BU18" s="146"/>
      <c r="BV18" s="58" t="s">
        <v>14</v>
      </c>
      <c r="BW18" s="59" t="s">
        <v>15</v>
      </c>
      <c r="BX18" s="129">
        <v>975</v>
      </c>
      <c r="BY18" s="118">
        <v>457</v>
      </c>
      <c r="BZ18" s="118">
        <v>288</v>
      </c>
      <c r="CA18" s="118">
        <v>254</v>
      </c>
      <c r="CB18" s="119">
        <v>254</v>
      </c>
      <c r="CC18" s="119">
        <v>50</v>
      </c>
      <c r="CD18" s="78">
        <f>SUM(BX18:CC18)</f>
        <v>2278</v>
      </c>
      <c r="CE18" s="144"/>
      <c r="CF18" s="111"/>
      <c r="CG18" s="146"/>
      <c r="CH18" s="58" t="s">
        <v>14</v>
      </c>
      <c r="CI18" s="59" t="s">
        <v>15</v>
      </c>
      <c r="CJ18" s="129">
        <v>975</v>
      </c>
      <c r="CK18" s="118">
        <v>457</v>
      </c>
      <c r="CL18" s="118">
        <v>288</v>
      </c>
      <c r="CM18" s="118">
        <v>254</v>
      </c>
      <c r="CN18" s="119">
        <v>254</v>
      </c>
      <c r="CO18" s="119">
        <v>50</v>
      </c>
      <c r="CP18" s="78">
        <f>SUM(CJ18:CO18)</f>
        <v>2278</v>
      </c>
      <c r="CQ18" s="144"/>
      <c r="CR18" s="111"/>
      <c r="CS18" s="146"/>
      <c r="CT18" s="58" t="s">
        <v>14</v>
      </c>
      <c r="CU18" s="59" t="s">
        <v>15</v>
      </c>
      <c r="CV18" s="129">
        <v>975</v>
      </c>
      <c r="CW18" s="118">
        <v>457</v>
      </c>
      <c r="CX18" s="118">
        <v>288</v>
      </c>
      <c r="CY18" s="118">
        <v>254</v>
      </c>
      <c r="CZ18" s="119">
        <v>254</v>
      </c>
      <c r="DA18" s="119">
        <v>50</v>
      </c>
      <c r="DB18" s="78">
        <f>SUM(CV18:DA18)</f>
        <v>2278</v>
      </c>
      <c r="DC18" s="144"/>
      <c r="DD18" s="111"/>
      <c r="DE18" s="146"/>
      <c r="DF18" s="58" t="s">
        <v>14</v>
      </c>
      <c r="DG18" s="59" t="s">
        <v>15</v>
      </c>
      <c r="DH18" s="75">
        <v>0</v>
      </c>
      <c r="DI18" s="76">
        <v>0</v>
      </c>
      <c r="DJ18" s="76">
        <v>0</v>
      </c>
      <c r="DK18" s="76">
        <v>0</v>
      </c>
      <c r="DL18" s="76">
        <v>0</v>
      </c>
      <c r="DM18" s="77">
        <v>0</v>
      </c>
      <c r="DN18" s="78">
        <f>SUM(DH18:DM18)</f>
        <v>0</v>
      </c>
      <c r="DO18" s="144"/>
      <c r="DP18" s="111"/>
      <c r="DQ18" s="146"/>
      <c r="DR18" s="58" t="s">
        <v>14</v>
      </c>
      <c r="DS18" s="59" t="s">
        <v>15</v>
      </c>
      <c r="DT18" s="75">
        <v>0</v>
      </c>
      <c r="DU18" s="76">
        <v>0</v>
      </c>
      <c r="DV18" s="76">
        <v>0</v>
      </c>
      <c r="DW18" s="76">
        <v>0</v>
      </c>
      <c r="DX18" s="76">
        <v>0</v>
      </c>
      <c r="DY18" s="77">
        <v>0</v>
      </c>
      <c r="DZ18" s="78">
        <f>SUM(DT18:DY18)</f>
        <v>0</v>
      </c>
      <c r="EA18" s="144"/>
      <c r="EB18" s="111"/>
      <c r="EC18" s="146"/>
      <c r="ED18" s="58" t="s">
        <v>14</v>
      </c>
      <c r="EE18" s="59" t="s">
        <v>15</v>
      </c>
      <c r="EF18" s="75">
        <v>0</v>
      </c>
      <c r="EG18" s="76">
        <v>0</v>
      </c>
      <c r="EH18" s="76">
        <v>0</v>
      </c>
      <c r="EI18" s="76">
        <v>0</v>
      </c>
      <c r="EJ18" s="76">
        <v>0</v>
      </c>
      <c r="EK18" s="77">
        <v>0</v>
      </c>
      <c r="EL18" s="78">
        <f>SUM(EF18:EK18)</f>
        <v>0</v>
      </c>
      <c r="EM18" s="144"/>
      <c r="EN18" s="111"/>
      <c r="EO18" s="146"/>
      <c r="EP18" s="58" t="s">
        <v>14</v>
      </c>
      <c r="EQ18" s="59" t="s">
        <v>15</v>
      </c>
      <c r="ER18" s="75">
        <f t="shared" si="34"/>
        <v>0</v>
      </c>
      <c r="ES18" s="76">
        <f t="shared" si="34"/>
        <v>0</v>
      </c>
      <c r="ET18" s="76">
        <f t="shared" si="34"/>
        <v>0</v>
      </c>
      <c r="EU18" s="76">
        <f t="shared" si="34"/>
        <v>0</v>
      </c>
      <c r="EV18" s="76">
        <f t="shared" si="34"/>
        <v>0</v>
      </c>
      <c r="EW18" s="77">
        <f t="shared" si="34"/>
        <v>0</v>
      </c>
      <c r="EX18" s="79">
        <f>SUM(ER18:EW18)</f>
        <v>0</v>
      </c>
      <c r="EY18" s="144"/>
      <c r="EZ18" s="60"/>
    </row>
    <row r="19" spans="1:156" ht="15.95" customHeight="1" thickBot="1" x14ac:dyDescent="0.25">
      <c r="A19" s="147"/>
      <c r="B19" s="150" t="s">
        <v>17</v>
      </c>
      <c r="C19" s="151"/>
      <c r="D19" s="124">
        <f t="shared" ref="D19:K19" si="35">SUM(D15:D18)</f>
        <v>6573</v>
      </c>
      <c r="E19" s="125">
        <f t="shared" si="35"/>
        <v>1577</v>
      </c>
      <c r="F19" s="125">
        <f t="shared" si="35"/>
        <v>7299</v>
      </c>
      <c r="G19" s="125">
        <f t="shared" si="35"/>
        <v>7340</v>
      </c>
      <c r="H19" s="125">
        <f t="shared" si="35"/>
        <v>3448</v>
      </c>
      <c r="I19" s="126">
        <f t="shared" si="35"/>
        <v>1033</v>
      </c>
      <c r="J19" s="127">
        <f t="shared" si="35"/>
        <v>27270</v>
      </c>
      <c r="K19" s="86">
        <f t="shared" si="35"/>
        <v>10540</v>
      </c>
      <c r="L19" s="111"/>
      <c r="M19" s="147"/>
      <c r="N19" s="150" t="s">
        <v>17</v>
      </c>
      <c r="O19" s="151"/>
      <c r="P19" s="83">
        <f t="shared" ref="P19:W19" si="36">SUM(P15:P18)</f>
        <v>4473</v>
      </c>
      <c r="Q19" s="84">
        <f t="shared" si="36"/>
        <v>1577</v>
      </c>
      <c r="R19" s="84">
        <f t="shared" si="36"/>
        <v>7299</v>
      </c>
      <c r="S19" s="84">
        <f t="shared" si="36"/>
        <v>7340</v>
      </c>
      <c r="T19" s="84">
        <f t="shared" si="36"/>
        <v>3448</v>
      </c>
      <c r="U19" s="85">
        <f t="shared" si="36"/>
        <v>1033</v>
      </c>
      <c r="V19" s="1">
        <f t="shared" si="36"/>
        <v>25170</v>
      </c>
      <c r="W19" s="86">
        <f t="shared" si="36"/>
        <v>10540</v>
      </c>
      <c r="X19" s="111"/>
      <c r="Y19" s="147"/>
      <c r="Z19" s="150" t="s">
        <v>17</v>
      </c>
      <c r="AA19" s="151"/>
      <c r="AB19" s="83">
        <f t="shared" ref="AB19:AG19" si="37">SUM(AB15:AB18)</f>
        <v>4473</v>
      </c>
      <c r="AC19" s="84">
        <f t="shared" si="37"/>
        <v>1577</v>
      </c>
      <c r="AD19" s="84">
        <f t="shared" si="37"/>
        <v>7299</v>
      </c>
      <c r="AE19" s="84">
        <f t="shared" si="37"/>
        <v>7340</v>
      </c>
      <c r="AF19" s="84">
        <f t="shared" si="37"/>
        <v>3448</v>
      </c>
      <c r="AG19" s="85">
        <f t="shared" si="37"/>
        <v>1033</v>
      </c>
      <c r="AH19" s="1">
        <f t="shared" ref="AH19:AI19" si="38">SUM(AH15:AH18)</f>
        <v>25170</v>
      </c>
      <c r="AI19" s="86">
        <f t="shared" si="38"/>
        <v>10540</v>
      </c>
      <c r="AJ19" s="111"/>
      <c r="AK19" s="147"/>
      <c r="AL19" s="150" t="s">
        <v>17</v>
      </c>
      <c r="AM19" s="151"/>
      <c r="AN19" s="83">
        <f t="shared" ref="AN19:AU19" si="39">SUM(AN15:AN18)</f>
        <v>4473</v>
      </c>
      <c r="AO19" s="84">
        <f t="shared" si="39"/>
        <v>1577</v>
      </c>
      <c r="AP19" s="84">
        <f t="shared" si="39"/>
        <v>7299</v>
      </c>
      <c r="AQ19" s="84">
        <f t="shared" si="39"/>
        <v>7340</v>
      </c>
      <c r="AR19" s="84">
        <f t="shared" si="39"/>
        <v>3448</v>
      </c>
      <c r="AS19" s="85">
        <f t="shared" si="39"/>
        <v>1033</v>
      </c>
      <c r="AT19" s="1">
        <f t="shared" si="39"/>
        <v>25170</v>
      </c>
      <c r="AU19" s="86">
        <f t="shared" si="39"/>
        <v>10540</v>
      </c>
      <c r="AV19" s="111"/>
      <c r="AW19" s="147"/>
      <c r="AX19" s="150" t="s">
        <v>17</v>
      </c>
      <c r="AY19" s="151"/>
      <c r="AZ19" s="83">
        <f t="shared" ref="AZ19:BE19" si="40">SUM(AZ15:AZ18)</f>
        <v>4473</v>
      </c>
      <c r="BA19" s="84">
        <f t="shared" si="40"/>
        <v>1577</v>
      </c>
      <c r="BB19" s="84">
        <f t="shared" si="40"/>
        <v>7299</v>
      </c>
      <c r="BC19" s="84">
        <f t="shared" si="40"/>
        <v>7340</v>
      </c>
      <c r="BD19" s="84">
        <f t="shared" si="40"/>
        <v>3448</v>
      </c>
      <c r="BE19" s="85">
        <f t="shared" si="40"/>
        <v>1033</v>
      </c>
      <c r="BF19" s="1">
        <f t="shared" ref="BF19:BG19" si="41">SUM(BF15:BF18)</f>
        <v>25170</v>
      </c>
      <c r="BG19" s="86">
        <f t="shared" si="41"/>
        <v>10540</v>
      </c>
      <c r="BH19" s="111"/>
      <c r="BI19" s="147"/>
      <c r="BJ19" s="150" t="s">
        <v>17</v>
      </c>
      <c r="BK19" s="151"/>
      <c r="BL19" s="83">
        <f t="shared" ref="BL19:BQ19" si="42">SUM(BL15:BL18)</f>
        <v>4473</v>
      </c>
      <c r="BM19" s="84">
        <f t="shared" si="42"/>
        <v>1577</v>
      </c>
      <c r="BN19" s="84">
        <f t="shared" si="42"/>
        <v>7299</v>
      </c>
      <c r="BO19" s="84">
        <f t="shared" si="42"/>
        <v>7340</v>
      </c>
      <c r="BP19" s="84">
        <f t="shared" si="42"/>
        <v>3448</v>
      </c>
      <c r="BQ19" s="85">
        <f t="shared" si="42"/>
        <v>1033</v>
      </c>
      <c r="BR19" s="1">
        <f t="shared" ref="BR19:BS19" si="43">SUM(BR15:BR18)</f>
        <v>25170</v>
      </c>
      <c r="BS19" s="86">
        <f t="shared" si="43"/>
        <v>10540</v>
      </c>
      <c r="BT19" s="111"/>
      <c r="BU19" s="147"/>
      <c r="BV19" s="150" t="s">
        <v>17</v>
      </c>
      <c r="BW19" s="151"/>
      <c r="BX19" s="83">
        <f t="shared" ref="BX19:CE19" si="44">SUM(BX15:BX18)</f>
        <v>4473</v>
      </c>
      <c r="BY19" s="84">
        <f t="shared" si="44"/>
        <v>1577</v>
      </c>
      <c r="BZ19" s="84">
        <f t="shared" si="44"/>
        <v>7299</v>
      </c>
      <c r="CA19" s="84">
        <f t="shared" si="44"/>
        <v>7340</v>
      </c>
      <c r="CB19" s="84">
        <f t="shared" si="44"/>
        <v>3448</v>
      </c>
      <c r="CC19" s="85">
        <f t="shared" si="44"/>
        <v>1033</v>
      </c>
      <c r="CD19" s="1">
        <f t="shared" si="44"/>
        <v>25170</v>
      </c>
      <c r="CE19" s="86">
        <f t="shared" si="44"/>
        <v>10540</v>
      </c>
      <c r="CF19" s="111"/>
      <c r="CG19" s="147"/>
      <c r="CH19" s="150" t="s">
        <v>17</v>
      </c>
      <c r="CI19" s="151"/>
      <c r="CJ19" s="83">
        <f t="shared" ref="CJ19:CQ19" si="45">SUM(CJ15:CJ18)</f>
        <v>4473</v>
      </c>
      <c r="CK19" s="84">
        <f t="shared" si="45"/>
        <v>1577</v>
      </c>
      <c r="CL19" s="84">
        <f t="shared" si="45"/>
        <v>7299</v>
      </c>
      <c r="CM19" s="84">
        <f t="shared" si="45"/>
        <v>7340</v>
      </c>
      <c r="CN19" s="84">
        <f t="shared" si="45"/>
        <v>3448</v>
      </c>
      <c r="CO19" s="85">
        <f t="shared" si="45"/>
        <v>1033</v>
      </c>
      <c r="CP19" s="1">
        <f t="shared" si="45"/>
        <v>25170</v>
      </c>
      <c r="CQ19" s="86">
        <f t="shared" si="45"/>
        <v>10540</v>
      </c>
      <c r="CR19" s="111"/>
      <c r="CS19" s="147"/>
      <c r="CT19" s="150" t="s">
        <v>17</v>
      </c>
      <c r="CU19" s="151"/>
      <c r="CV19" s="83">
        <f t="shared" ref="CV19:DC19" si="46">SUM(CV15:CV18)</f>
        <v>4473</v>
      </c>
      <c r="CW19" s="84">
        <f t="shared" si="46"/>
        <v>1577</v>
      </c>
      <c r="CX19" s="84">
        <f t="shared" si="46"/>
        <v>7299</v>
      </c>
      <c r="CY19" s="84">
        <f t="shared" si="46"/>
        <v>7340</v>
      </c>
      <c r="CZ19" s="84">
        <f t="shared" si="46"/>
        <v>3448</v>
      </c>
      <c r="DA19" s="85">
        <f t="shared" si="46"/>
        <v>1033</v>
      </c>
      <c r="DB19" s="1">
        <f t="shared" si="46"/>
        <v>25170</v>
      </c>
      <c r="DC19" s="86">
        <f t="shared" si="46"/>
        <v>10540</v>
      </c>
      <c r="DD19" s="111"/>
      <c r="DE19" s="147"/>
      <c r="DF19" s="150" t="s">
        <v>17</v>
      </c>
      <c r="DG19" s="151"/>
      <c r="DH19" s="83">
        <f t="shared" ref="DH19:DO19" si="47">SUM(DH15:DH18)</f>
        <v>0</v>
      </c>
      <c r="DI19" s="84">
        <f t="shared" si="47"/>
        <v>0</v>
      </c>
      <c r="DJ19" s="84">
        <f t="shared" si="47"/>
        <v>0</v>
      </c>
      <c r="DK19" s="84">
        <f t="shared" si="47"/>
        <v>0</v>
      </c>
      <c r="DL19" s="84">
        <f t="shared" si="47"/>
        <v>0</v>
      </c>
      <c r="DM19" s="85">
        <f t="shared" si="47"/>
        <v>0</v>
      </c>
      <c r="DN19" s="1">
        <f t="shared" si="47"/>
        <v>0</v>
      </c>
      <c r="DO19" s="86">
        <f t="shared" si="47"/>
        <v>0</v>
      </c>
      <c r="DP19" s="111"/>
      <c r="DQ19" s="147"/>
      <c r="DR19" s="150" t="s">
        <v>17</v>
      </c>
      <c r="DS19" s="151"/>
      <c r="DT19" s="83">
        <f t="shared" ref="DT19:EA19" si="48">SUM(DT15:DT18)</f>
        <v>0</v>
      </c>
      <c r="DU19" s="84">
        <f t="shared" si="48"/>
        <v>0</v>
      </c>
      <c r="DV19" s="84">
        <f t="shared" si="48"/>
        <v>0</v>
      </c>
      <c r="DW19" s="84">
        <f t="shared" si="48"/>
        <v>0</v>
      </c>
      <c r="DX19" s="84">
        <f t="shared" si="48"/>
        <v>0</v>
      </c>
      <c r="DY19" s="85">
        <f t="shared" si="48"/>
        <v>0</v>
      </c>
      <c r="DZ19" s="1">
        <f t="shared" si="48"/>
        <v>0</v>
      </c>
      <c r="EA19" s="86">
        <f t="shared" si="48"/>
        <v>0</v>
      </c>
      <c r="EB19" s="111"/>
      <c r="EC19" s="147"/>
      <c r="ED19" s="150" t="s">
        <v>17</v>
      </c>
      <c r="EE19" s="151"/>
      <c r="EF19" s="83">
        <f t="shared" ref="EF19:EM19" si="49">SUM(EF15:EF18)</f>
        <v>0</v>
      </c>
      <c r="EG19" s="84">
        <f t="shared" si="49"/>
        <v>0</v>
      </c>
      <c r="EH19" s="84">
        <f t="shared" si="49"/>
        <v>0</v>
      </c>
      <c r="EI19" s="84">
        <f t="shared" si="49"/>
        <v>0</v>
      </c>
      <c r="EJ19" s="84">
        <f t="shared" si="49"/>
        <v>0</v>
      </c>
      <c r="EK19" s="85">
        <f t="shared" si="49"/>
        <v>0</v>
      </c>
      <c r="EL19" s="1">
        <f t="shared" si="49"/>
        <v>0</v>
      </c>
      <c r="EM19" s="86">
        <f t="shared" si="49"/>
        <v>0</v>
      </c>
      <c r="EN19" s="111"/>
      <c r="EO19" s="147"/>
      <c r="EP19" s="107" t="s">
        <v>17</v>
      </c>
      <c r="EQ19" s="108"/>
      <c r="ER19" s="83">
        <f t="shared" ref="ER19:EY19" si="50">SUM(ER15:ER18)</f>
        <v>0</v>
      </c>
      <c r="ES19" s="84">
        <f t="shared" si="50"/>
        <v>0</v>
      </c>
      <c r="ET19" s="84">
        <f t="shared" si="50"/>
        <v>0</v>
      </c>
      <c r="EU19" s="84">
        <f t="shared" si="50"/>
        <v>0</v>
      </c>
      <c r="EV19" s="84">
        <f t="shared" si="50"/>
        <v>0</v>
      </c>
      <c r="EW19" s="85">
        <f t="shared" si="50"/>
        <v>0</v>
      </c>
      <c r="EX19" s="1">
        <f t="shared" si="50"/>
        <v>0</v>
      </c>
      <c r="EY19" s="86">
        <f t="shared" si="50"/>
        <v>0</v>
      </c>
      <c r="EZ19" s="60"/>
    </row>
    <row r="20" spans="1:156" ht="15.95" customHeight="1" thickTop="1" thickBot="1" x14ac:dyDescent="0.25">
      <c r="A20" s="145" t="s">
        <v>26</v>
      </c>
      <c r="B20" s="152" t="s">
        <v>14</v>
      </c>
      <c r="C20" s="53" t="s">
        <v>13</v>
      </c>
      <c r="D20" s="113">
        <v>1977</v>
      </c>
      <c r="E20" s="114">
        <v>5121</v>
      </c>
      <c r="F20" s="114">
        <v>6530</v>
      </c>
      <c r="G20" s="114">
        <v>1970</v>
      </c>
      <c r="H20" s="114">
        <v>1876</v>
      </c>
      <c r="I20" s="115">
        <v>1100</v>
      </c>
      <c r="J20" s="116">
        <f>SUM(D20:I20)</f>
        <v>18574</v>
      </c>
      <c r="K20" s="143">
        <v>12066</v>
      </c>
      <c r="L20" s="111"/>
      <c r="M20" s="145" t="s">
        <v>26</v>
      </c>
      <c r="N20" s="152" t="s">
        <v>14</v>
      </c>
      <c r="O20" s="53" t="s">
        <v>13</v>
      </c>
      <c r="P20" s="113">
        <v>1977</v>
      </c>
      <c r="Q20" s="114">
        <v>5121</v>
      </c>
      <c r="R20" s="114">
        <v>6530</v>
      </c>
      <c r="S20" s="114">
        <v>1970</v>
      </c>
      <c r="T20" s="114">
        <v>1876</v>
      </c>
      <c r="U20" s="115">
        <v>1100</v>
      </c>
      <c r="V20" s="73">
        <f>SUM(P20:U20)</f>
        <v>18574</v>
      </c>
      <c r="W20" s="143">
        <v>12066</v>
      </c>
      <c r="X20" s="111"/>
      <c r="Y20" s="145" t="s">
        <v>26</v>
      </c>
      <c r="Z20" s="152" t="s">
        <v>14</v>
      </c>
      <c r="AA20" s="53" t="s">
        <v>13</v>
      </c>
      <c r="AB20" s="113">
        <v>1977</v>
      </c>
      <c r="AC20" s="114">
        <v>5121</v>
      </c>
      <c r="AD20" s="114">
        <v>6530</v>
      </c>
      <c r="AE20" s="114">
        <v>1970</v>
      </c>
      <c r="AF20" s="114">
        <v>1876</v>
      </c>
      <c r="AG20" s="115">
        <v>1100</v>
      </c>
      <c r="AH20" s="73">
        <f>SUM(AB20:AG20)</f>
        <v>18574</v>
      </c>
      <c r="AI20" s="143">
        <v>12066</v>
      </c>
      <c r="AJ20" s="111"/>
      <c r="AK20" s="145" t="s">
        <v>26</v>
      </c>
      <c r="AL20" s="152" t="s">
        <v>14</v>
      </c>
      <c r="AM20" s="53" t="s">
        <v>13</v>
      </c>
      <c r="AN20" s="113">
        <v>1977</v>
      </c>
      <c r="AO20" s="114">
        <v>5121</v>
      </c>
      <c r="AP20" s="114">
        <v>6530</v>
      </c>
      <c r="AQ20" s="114">
        <v>1970</v>
      </c>
      <c r="AR20" s="114">
        <v>1876</v>
      </c>
      <c r="AS20" s="115">
        <v>1100</v>
      </c>
      <c r="AT20" s="73">
        <f>SUM(AN20:AS20)</f>
        <v>18574</v>
      </c>
      <c r="AU20" s="143">
        <v>12066</v>
      </c>
      <c r="AV20" s="111"/>
      <c r="AW20" s="145" t="s">
        <v>26</v>
      </c>
      <c r="AX20" s="152" t="s">
        <v>14</v>
      </c>
      <c r="AY20" s="53" t="s">
        <v>13</v>
      </c>
      <c r="AZ20" s="113">
        <v>1977</v>
      </c>
      <c r="BA20" s="114">
        <v>5121</v>
      </c>
      <c r="BB20" s="114">
        <v>6530</v>
      </c>
      <c r="BC20" s="114">
        <v>1970</v>
      </c>
      <c r="BD20" s="114">
        <v>1876</v>
      </c>
      <c r="BE20" s="115">
        <v>1100</v>
      </c>
      <c r="BF20" s="73">
        <f>SUM(AZ20:BE20)</f>
        <v>18574</v>
      </c>
      <c r="BG20" s="143">
        <v>12066</v>
      </c>
      <c r="BH20" s="111"/>
      <c r="BI20" s="145" t="s">
        <v>26</v>
      </c>
      <c r="BJ20" s="152" t="s">
        <v>14</v>
      </c>
      <c r="BK20" s="53" t="s">
        <v>13</v>
      </c>
      <c r="BL20" s="113">
        <v>1977</v>
      </c>
      <c r="BM20" s="114">
        <v>5121</v>
      </c>
      <c r="BN20" s="114">
        <v>6530</v>
      </c>
      <c r="BO20" s="114">
        <v>1970</v>
      </c>
      <c r="BP20" s="114">
        <v>1876</v>
      </c>
      <c r="BQ20" s="115">
        <v>1100</v>
      </c>
      <c r="BR20" s="73">
        <f>SUM(BL20:BQ20)</f>
        <v>18574</v>
      </c>
      <c r="BS20" s="143">
        <v>12066</v>
      </c>
      <c r="BT20" s="111"/>
      <c r="BU20" s="145" t="s">
        <v>26</v>
      </c>
      <c r="BV20" s="152" t="s">
        <v>14</v>
      </c>
      <c r="BW20" s="53" t="s">
        <v>13</v>
      </c>
      <c r="BX20" s="113">
        <v>1977</v>
      </c>
      <c r="BY20" s="114">
        <v>5121</v>
      </c>
      <c r="BZ20" s="114">
        <v>6530</v>
      </c>
      <c r="CA20" s="114">
        <v>1970</v>
      </c>
      <c r="CB20" s="114">
        <v>1876</v>
      </c>
      <c r="CC20" s="115">
        <v>1100</v>
      </c>
      <c r="CD20" s="73">
        <f>SUM(BX20:CC20)</f>
        <v>18574</v>
      </c>
      <c r="CE20" s="143">
        <v>12066</v>
      </c>
      <c r="CF20" s="111"/>
      <c r="CG20" s="145" t="s">
        <v>26</v>
      </c>
      <c r="CH20" s="152" t="s">
        <v>14</v>
      </c>
      <c r="CI20" s="53" t="s">
        <v>13</v>
      </c>
      <c r="CJ20" s="113">
        <v>1977</v>
      </c>
      <c r="CK20" s="114">
        <v>5121</v>
      </c>
      <c r="CL20" s="114">
        <v>6530</v>
      </c>
      <c r="CM20" s="114">
        <v>1970</v>
      </c>
      <c r="CN20" s="114">
        <v>1876</v>
      </c>
      <c r="CO20" s="115">
        <v>1100</v>
      </c>
      <c r="CP20" s="73">
        <f>SUM(CJ20:CO20)</f>
        <v>18574</v>
      </c>
      <c r="CQ20" s="143">
        <v>12066</v>
      </c>
      <c r="CR20" s="111"/>
      <c r="CS20" s="145" t="s">
        <v>26</v>
      </c>
      <c r="CT20" s="152" t="s">
        <v>14</v>
      </c>
      <c r="CU20" s="53" t="s">
        <v>13</v>
      </c>
      <c r="CV20" s="113">
        <v>1977</v>
      </c>
      <c r="CW20" s="114">
        <v>5121</v>
      </c>
      <c r="CX20" s="114">
        <v>6530</v>
      </c>
      <c r="CY20" s="114">
        <v>1970</v>
      </c>
      <c r="CZ20" s="114">
        <v>1876</v>
      </c>
      <c r="DA20" s="115">
        <v>1100</v>
      </c>
      <c r="DB20" s="73">
        <f>SUM(CV20:DA20)</f>
        <v>18574</v>
      </c>
      <c r="DC20" s="143">
        <v>12066</v>
      </c>
      <c r="DD20" s="111"/>
      <c r="DE20" s="145" t="s">
        <v>26</v>
      </c>
      <c r="DF20" s="152" t="s">
        <v>14</v>
      </c>
      <c r="DG20" s="53" t="s">
        <v>13</v>
      </c>
      <c r="DH20" s="70">
        <v>0</v>
      </c>
      <c r="DI20" s="71">
        <v>0</v>
      </c>
      <c r="DJ20" s="71">
        <v>0</v>
      </c>
      <c r="DK20" s="71">
        <v>0</v>
      </c>
      <c r="DL20" s="71">
        <v>0</v>
      </c>
      <c r="DM20" s="72">
        <v>0</v>
      </c>
      <c r="DN20" s="73">
        <f>SUM(DH20:DM20)</f>
        <v>0</v>
      </c>
      <c r="DO20" s="143">
        <v>0</v>
      </c>
      <c r="DP20" s="111"/>
      <c r="DQ20" s="145" t="s">
        <v>26</v>
      </c>
      <c r="DR20" s="152" t="s">
        <v>14</v>
      </c>
      <c r="DS20" s="53" t="s">
        <v>13</v>
      </c>
      <c r="DT20" s="70">
        <v>0</v>
      </c>
      <c r="DU20" s="71">
        <v>0</v>
      </c>
      <c r="DV20" s="71">
        <v>0</v>
      </c>
      <c r="DW20" s="71">
        <v>0</v>
      </c>
      <c r="DX20" s="71">
        <v>0</v>
      </c>
      <c r="DY20" s="72">
        <v>0</v>
      </c>
      <c r="DZ20" s="73">
        <f>SUM(DT20:DY20)</f>
        <v>0</v>
      </c>
      <c r="EA20" s="143">
        <v>0</v>
      </c>
      <c r="EB20" s="111"/>
      <c r="EC20" s="145" t="s">
        <v>26</v>
      </c>
      <c r="ED20" s="152" t="s">
        <v>14</v>
      </c>
      <c r="EE20" s="53" t="s">
        <v>13</v>
      </c>
      <c r="EF20" s="70">
        <v>0</v>
      </c>
      <c r="EG20" s="71">
        <v>0</v>
      </c>
      <c r="EH20" s="71">
        <v>0</v>
      </c>
      <c r="EI20" s="71">
        <v>0</v>
      </c>
      <c r="EJ20" s="71">
        <v>0</v>
      </c>
      <c r="EK20" s="72">
        <v>0</v>
      </c>
      <c r="EL20" s="73">
        <f>SUM(EF20:EK20)</f>
        <v>0</v>
      </c>
      <c r="EM20" s="143">
        <v>0</v>
      </c>
      <c r="EN20" s="111"/>
      <c r="EO20" s="145" t="str">
        <f t="shared" ref="EO20" si="51">EC20</f>
        <v>المطار القديم</v>
      </c>
      <c r="EP20" s="105" t="s">
        <v>14</v>
      </c>
      <c r="EQ20" s="53" t="s">
        <v>13</v>
      </c>
      <c r="ER20" s="70">
        <f t="shared" ref="ER20:EW23" si="52">SUM(EF20)</f>
        <v>0</v>
      </c>
      <c r="ES20" s="71">
        <f t="shared" si="52"/>
        <v>0</v>
      </c>
      <c r="ET20" s="71">
        <f t="shared" si="52"/>
        <v>0</v>
      </c>
      <c r="EU20" s="71">
        <f t="shared" si="52"/>
        <v>0</v>
      </c>
      <c r="EV20" s="71">
        <f t="shared" si="52"/>
        <v>0</v>
      </c>
      <c r="EW20" s="72">
        <f t="shared" si="52"/>
        <v>0</v>
      </c>
      <c r="EX20" s="74">
        <f>SUM(ER20:EW20)</f>
        <v>0</v>
      </c>
      <c r="EY20" s="143">
        <f>SUM(EM20)</f>
        <v>0</v>
      </c>
      <c r="EZ20" s="60"/>
    </row>
    <row r="21" spans="1:156" ht="15.95" customHeight="1" thickBot="1" x14ac:dyDescent="0.25">
      <c r="A21" s="146"/>
      <c r="B21" s="153"/>
      <c r="C21" s="55" t="s">
        <v>15</v>
      </c>
      <c r="D21" s="117">
        <v>876</v>
      </c>
      <c r="E21" s="118">
        <v>8976</v>
      </c>
      <c r="F21" s="118">
        <v>6500</v>
      </c>
      <c r="G21" s="118">
        <v>1100</v>
      </c>
      <c r="H21" s="118">
        <v>1400</v>
      </c>
      <c r="I21" s="119">
        <v>877</v>
      </c>
      <c r="J21" s="120">
        <f>SUM(D21:I21)</f>
        <v>19729</v>
      </c>
      <c r="K21" s="144"/>
      <c r="L21" s="111"/>
      <c r="M21" s="146"/>
      <c r="N21" s="153"/>
      <c r="O21" s="55" t="s">
        <v>15</v>
      </c>
      <c r="P21" s="117">
        <v>876</v>
      </c>
      <c r="Q21" s="118">
        <v>8976</v>
      </c>
      <c r="R21" s="118">
        <v>6500</v>
      </c>
      <c r="S21" s="118">
        <v>1100</v>
      </c>
      <c r="T21" s="118">
        <v>1400</v>
      </c>
      <c r="U21" s="119">
        <v>877</v>
      </c>
      <c r="V21" s="78">
        <f>SUM(P21:U21)</f>
        <v>19729</v>
      </c>
      <c r="W21" s="144"/>
      <c r="X21" s="111"/>
      <c r="Y21" s="146"/>
      <c r="Z21" s="153"/>
      <c r="AA21" s="55" t="s">
        <v>15</v>
      </c>
      <c r="AB21" s="117">
        <v>876</v>
      </c>
      <c r="AC21" s="118">
        <v>8976</v>
      </c>
      <c r="AD21" s="118">
        <v>6500</v>
      </c>
      <c r="AE21" s="118">
        <v>1100</v>
      </c>
      <c r="AF21" s="118">
        <v>1400</v>
      </c>
      <c r="AG21" s="119">
        <v>877</v>
      </c>
      <c r="AH21" s="78">
        <f>SUM(AB21:AG21)</f>
        <v>19729</v>
      </c>
      <c r="AI21" s="144"/>
      <c r="AJ21" s="111"/>
      <c r="AK21" s="146"/>
      <c r="AL21" s="153"/>
      <c r="AM21" s="55" t="s">
        <v>15</v>
      </c>
      <c r="AN21" s="117">
        <v>876</v>
      </c>
      <c r="AO21" s="118">
        <v>8976</v>
      </c>
      <c r="AP21" s="118">
        <v>6500</v>
      </c>
      <c r="AQ21" s="118">
        <v>1100</v>
      </c>
      <c r="AR21" s="118">
        <v>1400</v>
      </c>
      <c r="AS21" s="119">
        <v>877</v>
      </c>
      <c r="AT21" s="78">
        <f>SUM(AN21:AS21)</f>
        <v>19729</v>
      </c>
      <c r="AU21" s="144"/>
      <c r="AV21" s="111"/>
      <c r="AW21" s="146"/>
      <c r="AX21" s="153"/>
      <c r="AY21" s="55" t="s">
        <v>15</v>
      </c>
      <c r="AZ21" s="117">
        <v>876</v>
      </c>
      <c r="BA21" s="118">
        <v>8976</v>
      </c>
      <c r="BB21" s="118">
        <v>6500</v>
      </c>
      <c r="BC21" s="118">
        <v>1100</v>
      </c>
      <c r="BD21" s="118">
        <v>1400</v>
      </c>
      <c r="BE21" s="119">
        <v>877</v>
      </c>
      <c r="BF21" s="78">
        <f>SUM(AZ21:BE21)</f>
        <v>19729</v>
      </c>
      <c r="BG21" s="144"/>
      <c r="BH21" s="111"/>
      <c r="BI21" s="146"/>
      <c r="BJ21" s="153"/>
      <c r="BK21" s="55" t="s">
        <v>15</v>
      </c>
      <c r="BL21" s="117">
        <v>876</v>
      </c>
      <c r="BM21" s="118">
        <v>8976</v>
      </c>
      <c r="BN21" s="118">
        <v>6500</v>
      </c>
      <c r="BO21" s="118">
        <v>1100</v>
      </c>
      <c r="BP21" s="118">
        <v>1400</v>
      </c>
      <c r="BQ21" s="119">
        <v>877</v>
      </c>
      <c r="BR21" s="78">
        <f>SUM(BL21:BQ21)</f>
        <v>19729</v>
      </c>
      <c r="BS21" s="144"/>
      <c r="BT21" s="111"/>
      <c r="BU21" s="146"/>
      <c r="BV21" s="153"/>
      <c r="BW21" s="55" t="s">
        <v>15</v>
      </c>
      <c r="BX21" s="117">
        <v>876</v>
      </c>
      <c r="BY21" s="118">
        <v>8976</v>
      </c>
      <c r="BZ21" s="118">
        <v>6500</v>
      </c>
      <c r="CA21" s="118">
        <v>1100</v>
      </c>
      <c r="CB21" s="118">
        <v>1400</v>
      </c>
      <c r="CC21" s="119">
        <v>877</v>
      </c>
      <c r="CD21" s="78">
        <f>SUM(BX21:CC21)</f>
        <v>19729</v>
      </c>
      <c r="CE21" s="144"/>
      <c r="CF21" s="111"/>
      <c r="CG21" s="146"/>
      <c r="CH21" s="153"/>
      <c r="CI21" s="55" t="s">
        <v>15</v>
      </c>
      <c r="CJ21" s="117">
        <v>876</v>
      </c>
      <c r="CK21" s="118">
        <v>8976</v>
      </c>
      <c r="CL21" s="118">
        <v>6500</v>
      </c>
      <c r="CM21" s="118">
        <v>1100</v>
      </c>
      <c r="CN21" s="118">
        <v>1400</v>
      </c>
      <c r="CO21" s="119">
        <v>877</v>
      </c>
      <c r="CP21" s="78">
        <f>SUM(CJ21:CO21)</f>
        <v>19729</v>
      </c>
      <c r="CQ21" s="144"/>
      <c r="CR21" s="111"/>
      <c r="CS21" s="146"/>
      <c r="CT21" s="153"/>
      <c r="CU21" s="55" t="s">
        <v>15</v>
      </c>
      <c r="CV21" s="117">
        <v>876</v>
      </c>
      <c r="CW21" s="118">
        <v>8976</v>
      </c>
      <c r="CX21" s="118">
        <v>6500</v>
      </c>
      <c r="CY21" s="118">
        <v>1100</v>
      </c>
      <c r="CZ21" s="118">
        <v>1400</v>
      </c>
      <c r="DA21" s="119">
        <v>877</v>
      </c>
      <c r="DB21" s="78">
        <f>SUM(CV21:DA21)</f>
        <v>19729</v>
      </c>
      <c r="DC21" s="144"/>
      <c r="DD21" s="111"/>
      <c r="DE21" s="146"/>
      <c r="DF21" s="153"/>
      <c r="DG21" s="55" t="s">
        <v>15</v>
      </c>
      <c r="DH21" s="75">
        <v>0</v>
      </c>
      <c r="DI21" s="76">
        <v>0</v>
      </c>
      <c r="DJ21" s="76">
        <v>0</v>
      </c>
      <c r="DK21" s="76">
        <v>0</v>
      </c>
      <c r="DL21" s="76">
        <v>0</v>
      </c>
      <c r="DM21" s="77">
        <v>0</v>
      </c>
      <c r="DN21" s="78">
        <f>SUM(DH21:DM21)</f>
        <v>0</v>
      </c>
      <c r="DO21" s="144"/>
      <c r="DP21" s="111"/>
      <c r="DQ21" s="146"/>
      <c r="DR21" s="153"/>
      <c r="DS21" s="55" t="s">
        <v>15</v>
      </c>
      <c r="DT21" s="75">
        <v>0</v>
      </c>
      <c r="DU21" s="76">
        <v>0</v>
      </c>
      <c r="DV21" s="76">
        <v>0</v>
      </c>
      <c r="DW21" s="76">
        <v>0</v>
      </c>
      <c r="DX21" s="76">
        <v>0</v>
      </c>
      <c r="DY21" s="77">
        <v>0</v>
      </c>
      <c r="DZ21" s="78">
        <f>SUM(DT21:DY21)</f>
        <v>0</v>
      </c>
      <c r="EA21" s="144"/>
      <c r="EB21" s="111"/>
      <c r="EC21" s="146"/>
      <c r="ED21" s="153"/>
      <c r="EE21" s="55" t="s">
        <v>15</v>
      </c>
      <c r="EF21" s="75">
        <v>0</v>
      </c>
      <c r="EG21" s="76">
        <v>0</v>
      </c>
      <c r="EH21" s="76">
        <v>0</v>
      </c>
      <c r="EI21" s="76">
        <v>0</v>
      </c>
      <c r="EJ21" s="76">
        <v>0</v>
      </c>
      <c r="EK21" s="77">
        <v>0</v>
      </c>
      <c r="EL21" s="78">
        <f>SUM(EF21:EK21)</f>
        <v>0</v>
      </c>
      <c r="EM21" s="144"/>
      <c r="EN21" s="111"/>
      <c r="EO21" s="146"/>
      <c r="EP21" s="106"/>
      <c r="EQ21" s="55" t="s">
        <v>15</v>
      </c>
      <c r="ER21" s="75">
        <f t="shared" si="52"/>
        <v>0</v>
      </c>
      <c r="ES21" s="76">
        <f t="shared" si="52"/>
        <v>0</v>
      </c>
      <c r="ET21" s="76">
        <f t="shared" si="52"/>
        <v>0</v>
      </c>
      <c r="EU21" s="76">
        <f t="shared" si="52"/>
        <v>0</v>
      </c>
      <c r="EV21" s="76">
        <f t="shared" si="52"/>
        <v>0</v>
      </c>
      <c r="EW21" s="77">
        <f t="shared" si="52"/>
        <v>0</v>
      </c>
      <c r="EX21" s="79">
        <f>SUM(ER21:EW21)</f>
        <v>0</v>
      </c>
      <c r="EY21" s="144"/>
      <c r="EZ21" s="60"/>
    </row>
    <row r="22" spans="1:156" ht="15.95" customHeight="1" thickBot="1" x14ac:dyDescent="0.25">
      <c r="A22" s="146"/>
      <c r="B22" s="56" t="s">
        <v>16</v>
      </c>
      <c r="C22" s="57" t="s">
        <v>13</v>
      </c>
      <c r="D22" s="121">
        <v>76</v>
      </c>
      <c r="E22" s="122">
        <v>89</v>
      </c>
      <c r="F22" s="122">
        <v>878</v>
      </c>
      <c r="G22" s="122">
        <v>1200</v>
      </c>
      <c r="H22" s="122">
        <v>387</v>
      </c>
      <c r="I22" s="123">
        <v>20</v>
      </c>
      <c r="J22" s="116">
        <f>SUM(D22:I22)</f>
        <v>2650</v>
      </c>
      <c r="K22" s="143">
        <v>160</v>
      </c>
      <c r="L22" s="111"/>
      <c r="M22" s="146"/>
      <c r="N22" s="56" t="s">
        <v>16</v>
      </c>
      <c r="O22" s="57" t="s">
        <v>13</v>
      </c>
      <c r="P22" s="121">
        <v>76</v>
      </c>
      <c r="Q22" s="122">
        <v>89</v>
      </c>
      <c r="R22" s="122">
        <v>878</v>
      </c>
      <c r="S22" s="122">
        <v>1200</v>
      </c>
      <c r="T22" s="122">
        <v>387</v>
      </c>
      <c r="U22" s="123">
        <v>20</v>
      </c>
      <c r="V22" s="73">
        <f>SUM(P22:U22)</f>
        <v>2650</v>
      </c>
      <c r="W22" s="143">
        <v>160</v>
      </c>
      <c r="X22" s="111"/>
      <c r="Y22" s="146"/>
      <c r="Z22" s="56" t="s">
        <v>16</v>
      </c>
      <c r="AA22" s="57" t="s">
        <v>13</v>
      </c>
      <c r="AB22" s="121">
        <v>76</v>
      </c>
      <c r="AC22" s="122">
        <v>89</v>
      </c>
      <c r="AD22" s="122">
        <v>878</v>
      </c>
      <c r="AE22" s="122">
        <v>1200</v>
      </c>
      <c r="AF22" s="122">
        <v>387</v>
      </c>
      <c r="AG22" s="123">
        <v>20</v>
      </c>
      <c r="AH22" s="73">
        <f>SUM(AB22:AG22)</f>
        <v>2650</v>
      </c>
      <c r="AI22" s="143">
        <v>160</v>
      </c>
      <c r="AJ22" s="111"/>
      <c r="AK22" s="146"/>
      <c r="AL22" s="56" t="s">
        <v>16</v>
      </c>
      <c r="AM22" s="57" t="s">
        <v>13</v>
      </c>
      <c r="AN22" s="121">
        <v>76</v>
      </c>
      <c r="AO22" s="122">
        <v>89</v>
      </c>
      <c r="AP22" s="122">
        <v>878</v>
      </c>
      <c r="AQ22" s="122">
        <v>1200</v>
      </c>
      <c r="AR22" s="122">
        <v>387</v>
      </c>
      <c r="AS22" s="123">
        <v>20</v>
      </c>
      <c r="AT22" s="73">
        <f>SUM(AN22:AS22)</f>
        <v>2650</v>
      </c>
      <c r="AU22" s="143">
        <v>160</v>
      </c>
      <c r="AV22" s="111"/>
      <c r="AW22" s="146"/>
      <c r="AX22" s="56" t="s">
        <v>16</v>
      </c>
      <c r="AY22" s="57" t="s">
        <v>13</v>
      </c>
      <c r="AZ22" s="121">
        <v>76</v>
      </c>
      <c r="BA22" s="122">
        <v>89</v>
      </c>
      <c r="BB22" s="122">
        <v>878</v>
      </c>
      <c r="BC22" s="122">
        <v>1200</v>
      </c>
      <c r="BD22" s="122">
        <v>387</v>
      </c>
      <c r="BE22" s="123">
        <v>20</v>
      </c>
      <c r="BF22" s="73">
        <f>SUM(AZ22:BE22)</f>
        <v>2650</v>
      </c>
      <c r="BG22" s="143">
        <v>160</v>
      </c>
      <c r="BH22" s="111"/>
      <c r="BI22" s="146"/>
      <c r="BJ22" s="56" t="s">
        <v>16</v>
      </c>
      <c r="BK22" s="57" t="s">
        <v>13</v>
      </c>
      <c r="BL22" s="121">
        <v>76</v>
      </c>
      <c r="BM22" s="122">
        <v>89</v>
      </c>
      <c r="BN22" s="122">
        <v>878</v>
      </c>
      <c r="BO22" s="122">
        <v>1200</v>
      </c>
      <c r="BP22" s="122">
        <v>387</v>
      </c>
      <c r="BQ22" s="123">
        <v>20</v>
      </c>
      <c r="BR22" s="73">
        <f>SUM(BL22:BQ22)</f>
        <v>2650</v>
      </c>
      <c r="BS22" s="143">
        <v>160</v>
      </c>
      <c r="BT22" s="111"/>
      <c r="BU22" s="146"/>
      <c r="BV22" s="56" t="s">
        <v>16</v>
      </c>
      <c r="BW22" s="57" t="s">
        <v>13</v>
      </c>
      <c r="BX22" s="121">
        <v>76</v>
      </c>
      <c r="BY22" s="122">
        <v>89</v>
      </c>
      <c r="BZ22" s="122">
        <v>878</v>
      </c>
      <c r="CA22" s="122">
        <v>1200</v>
      </c>
      <c r="CB22" s="122">
        <v>387</v>
      </c>
      <c r="CC22" s="123">
        <v>20</v>
      </c>
      <c r="CD22" s="73">
        <f>SUM(BX22:CC22)</f>
        <v>2650</v>
      </c>
      <c r="CE22" s="143">
        <v>160</v>
      </c>
      <c r="CF22" s="111"/>
      <c r="CG22" s="146"/>
      <c r="CH22" s="56" t="s">
        <v>16</v>
      </c>
      <c r="CI22" s="57" t="s">
        <v>13</v>
      </c>
      <c r="CJ22" s="121">
        <v>76</v>
      </c>
      <c r="CK22" s="122">
        <v>89</v>
      </c>
      <c r="CL22" s="122">
        <v>878</v>
      </c>
      <c r="CM22" s="122">
        <v>1200</v>
      </c>
      <c r="CN22" s="122">
        <v>387</v>
      </c>
      <c r="CO22" s="123">
        <v>20</v>
      </c>
      <c r="CP22" s="73">
        <f>SUM(CJ22:CO22)</f>
        <v>2650</v>
      </c>
      <c r="CQ22" s="143">
        <v>160</v>
      </c>
      <c r="CR22" s="111"/>
      <c r="CS22" s="146"/>
      <c r="CT22" s="56" t="s">
        <v>16</v>
      </c>
      <c r="CU22" s="57" t="s">
        <v>13</v>
      </c>
      <c r="CV22" s="121">
        <v>76</v>
      </c>
      <c r="CW22" s="122">
        <v>89</v>
      </c>
      <c r="CX22" s="122">
        <v>878</v>
      </c>
      <c r="CY22" s="122">
        <v>1200</v>
      </c>
      <c r="CZ22" s="122">
        <v>387</v>
      </c>
      <c r="DA22" s="123">
        <v>20</v>
      </c>
      <c r="DB22" s="73">
        <f>SUM(CV22:DA22)</f>
        <v>2650</v>
      </c>
      <c r="DC22" s="143">
        <v>160</v>
      </c>
      <c r="DD22" s="111"/>
      <c r="DE22" s="146"/>
      <c r="DF22" s="56" t="s">
        <v>16</v>
      </c>
      <c r="DG22" s="57" t="s">
        <v>13</v>
      </c>
      <c r="DH22" s="70">
        <v>0</v>
      </c>
      <c r="DI22" s="71">
        <v>0</v>
      </c>
      <c r="DJ22" s="71">
        <v>0</v>
      </c>
      <c r="DK22" s="71">
        <v>0</v>
      </c>
      <c r="DL22" s="71">
        <v>0</v>
      </c>
      <c r="DM22" s="72">
        <v>0</v>
      </c>
      <c r="DN22" s="73">
        <f>SUM(DH22:DM22)</f>
        <v>0</v>
      </c>
      <c r="DO22" s="143">
        <v>0</v>
      </c>
      <c r="DP22" s="111"/>
      <c r="DQ22" s="146"/>
      <c r="DR22" s="56" t="s">
        <v>16</v>
      </c>
      <c r="DS22" s="57" t="s">
        <v>13</v>
      </c>
      <c r="DT22" s="70">
        <v>0</v>
      </c>
      <c r="DU22" s="71">
        <v>0</v>
      </c>
      <c r="DV22" s="71">
        <v>0</v>
      </c>
      <c r="DW22" s="71">
        <v>0</v>
      </c>
      <c r="DX22" s="71">
        <v>0</v>
      </c>
      <c r="DY22" s="72">
        <v>0</v>
      </c>
      <c r="DZ22" s="73">
        <f>SUM(DT22:DY22)</f>
        <v>0</v>
      </c>
      <c r="EA22" s="143">
        <v>0</v>
      </c>
      <c r="EB22" s="111"/>
      <c r="EC22" s="146"/>
      <c r="ED22" s="56" t="s">
        <v>16</v>
      </c>
      <c r="EE22" s="57" t="s">
        <v>13</v>
      </c>
      <c r="EF22" s="70">
        <v>0</v>
      </c>
      <c r="EG22" s="71">
        <v>0</v>
      </c>
      <c r="EH22" s="71">
        <v>0</v>
      </c>
      <c r="EI22" s="71">
        <v>0</v>
      </c>
      <c r="EJ22" s="71">
        <v>0</v>
      </c>
      <c r="EK22" s="72">
        <v>0</v>
      </c>
      <c r="EL22" s="73">
        <f>SUM(EF22:EK22)</f>
        <v>0</v>
      </c>
      <c r="EM22" s="143">
        <v>0</v>
      </c>
      <c r="EN22" s="111"/>
      <c r="EO22" s="146"/>
      <c r="EP22" s="56" t="s">
        <v>16</v>
      </c>
      <c r="EQ22" s="57" t="s">
        <v>13</v>
      </c>
      <c r="ER22" s="80">
        <f t="shared" si="52"/>
        <v>0</v>
      </c>
      <c r="ES22" s="81">
        <f t="shared" si="52"/>
        <v>0</v>
      </c>
      <c r="ET22" s="81">
        <f t="shared" si="52"/>
        <v>0</v>
      </c>
      <c r="EU22" s="81">
        <f t="shared" si="52"/>
        <v>0</v>
      </c>
      <c r="EV22" s="81">
        <f t="shared" si="52"/>
        <v>0</v>
      </c>
      <c r="EW22" s="82">
        <f t="shared" si="52"/>
        <v>0</v>
      </c>
      <c r="EX22" s="74">
        <f>SUM(ER22:EW22)</f>
        <v>0</v>
      </c>
      <c r="EY22" s="143">
        <f>SUM(EM22)</f>
        <v>0</v>
      </c>
      <c r="EZ22" s="60"/>
    </row>
    <row r="23" spans="1:156" ht="15.95" customHeight="1" thickBot="1" x14ac:dyDescent="0.25">
      <c r="A23" s="146"/>
      <c r="B23" s="58" t="s">
        <v>14</v>
      </c>
      <c r="C23" s="59" t="s">
        <v>15</v>
      </c>
      <c r="D23" s="117">
        <v>54</v>
      </c>
      <c r="E23" s="118">
        <v>189</v>
      </c>
      <c r="F23" s="118">
        <v>879</v>
      </c>
      <c r="G23" s="118">
        <v>1066</v>
      </c>
      <c r="H23" s="118">
        <v>106</v>
      </c>
      <c r="I23" s="119">
        <v>12</v>
      </c>
      <c r="J23" s="120">
        <f>SUM(D23:I23)</f>
        <v>2306</v>
      </c>
      <c r="K23" s="144"/>
      <c r="L23" s="111"/>
      <c r="M23" s="146"/>
      <c r="N23" s="58" t="s">
        <v>14</v>
      </c>
      <c r="O23" s="59" t="s">
        <v>15</v>
      </c>
      <c r="P23" s="117">
        <v>54</v>
      </c>
      <c r="Q23" s="118">
        <v>189</v>
      </c>
      <c r="R23" s="118">
        <v>879</v>
      </c>
      <c r="S23" s="118">
        <v>1066</v>
      </c>
      <c r="T23" s="118">
        <v>106</v>
      </c>
      <c r="U23" s="119">
        <v>12</v>
      </c>
      <c r="V23" s="78">
        <f>SUM(P23:U23)</f>
        <v>2306</v>
      </c>
      <c r="W23" s="144"/>
      <c r="X23" s="111"/>
      <c r="Y23" s="146"/>
      <c r="Z23" s="58" t="s">
        <v>14</v>
      </c>
      <c r="AA23" s="59" t="s">
        <v>15</v>
      </c>
      <c r="AB23" s="117">
        <v>54</v>
      </c>
      <c r="AC23" s="118">
        <v>189</v>
      </c>
      <c r="AD23" s="118">
        <v>879</v>
      </c>
      <c r="AE23" s="118">
        <v>1066</v>
      </c>
      <c r="AF23" s="118">
        <v>106</v>
      </c>
      <c r="AG23" s="119">
        <v>12</v>
      </c>
      <c r="AH23" s="78">
        <f>SUM(AB23:AG23)</f>
        <v>2306</v>
      </c>
      <c r="AI23" s="144"/>
      <c r="AJ23" s="111"/>
      <c r="AK23" s="146"/>
      <c r="AL23" s="58" t="s">
        <v>14</v>
      </c>
      <c r="AM23" s="59" t="s">
        <v>15</v>
      </c>
      <c r="AN23" s="117">
        <v>54</v>
      </c>
      <c r="AO23" s="118">
        <v>189</v>
      </c>
      <c r="AP23" s="118">
        <v>879</v>
      </c>
      <c r="AQ23" s="118">
        <v>1066</v>
      </c>
      <c r="AR23" s="118">
        <v>106</v>
      </c>
      <c r="AS23" s="119">
        <v>12</v>
      </c>
      <c r="AT23" s="78">
        <f>SUM(AN23:AS23)</f>
        <v>2306</v>
      </c>
      <c r="AU23" s="144"/>
      <c r="AV23" s="111"/>
      <c r="AW23" s="146"/>
      <c r="AX23" s="58" t="s">
        <v>14</v>
      </c>
      <c r="AY23" s="59" t="s">
        <v>15</v>
      </c>
      <c r="AZ23" s="117">
        <v>54</v>
      </c>
      <c r="BA23" s="118">
        <v>189</v>
      </c>
      <c r="BB23" s="118">
        <v>879</v>
      </c>
      <c r="BC23" s="118">
        <v>1066</v>
      </c>
      <c r="BD23" s="118">
        <v>106</v>
      </c>
      <c r="BE23" s="119">
        <v>12</v>
      </c>
      <c r="BF23" s="78">
        <f>SUM(AZ23:BE23)</f>
        <v>2306</v>
      </c>
      <c r="BG23" s="144"/>
      <c r="BH23" s="111"/>
      <c r="BI23" s="146"/>
      <c r="BJ23" s="58" t="s">
        <v>14</v>
      </c>
      <c r="BK23" s="59" t="s">
        <v>15</v>
      </c>
      <c r="BL23" s="117">
        <v>54</v>
      </c>
      <c r="BM23" s="118">
        <v>189</v>
      </c>
      <c r="BN23" s="118">
        <v>879</v>
      </c>
      <c r="BO23" s="118">
        <v>1066</v>
      </c>
      <c r="BP23" s="118">
        <v>106</v>
      </c>
      <c r="BQ23" s="119">
        <v>12</v>
      </c>
      <c r="BR23" s="78">
        <f>SUM(BL23:BQ23)</f>
        <v>2306</v>
      </c>
      <c r="BS23" s="144"/>
      <c r="BT23" s="111"/>
      <c r="BU23" s="146"/>
      <c r="BV23" s="58" t="s">
        <v>14</v>
      </c>
      <c r="BW23" s="59" t="s">
        <v>15</v>
      </c>
      <c r="BX23" s="117">
        <v>54</v>
      </c>
      <c r="BY23" s="118">
        <v>189</v>
      </c>
      <c r="BZ23" s="118">
        <v>879</v>
      </c>
      <c r="CA23" s="118">
        <v>1066</v>
      </c>
      <c r="CB23" s="118">
        <v>106</v>
      </c>
      <c r="CC23" s="119">
        <v>12</v>
      </c>
      <c r="CD23" s="78">
        <f>SUM(BX23:CC23)</f>
        <v>2306</v>
      </c>
      <c r="CE23" s="144"/>
      <c r="CF23" s="111"/>
      <c r="CG23" s="146"/>
      <c r="CH23" s="58" t="s">
        <v>14</v>
      </c>
      <c r="CI23" s="59" t="s">
        <v>15</v>
      </c>
      <c r="CJ23" s="117">
        <v>54</v>
      </c>
      <c r="CK23" s="118">
        <v>189</v>
      </c>
      <c r="CL23" s="118">
        <v>879</v>
      </c>
      <c r="CM23" s="118">
        <v>1066</v>
      </c>
      <c r="CN23" s="118">
        <v>106</v>
      </c>
      <c r="CO23" s="119">
        <v>12</v>
      </c>
      <c r="CP23" s="78">
        <f>SUM(CJ23:CO23)</f>
        <v>2306</v>
      </c>
      <c r="CQ23" s="144"/>
      <c r="CR23" s="111"/>
      <c r="CS23" s="146"/>
      <c r="CT23" s="58" t="s">
        <v>14</v>
      </c>
      <c r="CU23" s="59" t="s">
        <v>15</v>
      </c>
      <c r="CV23" s="117">
        <v>54</v>
      </c>
      <c r="CW23" s="118">
        <v>189</v>
      </c>
      <c r="CX23" s="118">
        <v>879</v>
      </c>
      <c r="CY23" s="118">
        <v>1066</v>
      </c>
      <c r="CZ23" s="118">
        <v>106</v>
      </c>
      <c r="DA23" s="119">
        <v>12</v>
      </c>
      <c r="DB23" s="78">
        <f>SUM(CV23:DA23)</f>
        <v>2306</v>
      </c>
      <c r="DC23" s="144"/>
      <c r="DD23" s="111"/>
      <c r="DE23" s="146"/>
      <c r="DF23" s="58" t="s">
        <v>14</v>
      </c>
      <c r="DG23" s="59" t="s">
        <v>15</v>
      </c>
      <c r="DH23" s="75">
        <v>0</v>
      </c>
      <c r="DI23" s="76">
        <v>0</v>
      </c>
      <c r="DJ23" s="76">
        <v>0</v>
      </c>
      <c r="DK23" s="76">
        <v>0</v>
      </c>
      <c r="DL23" s="76">
        <v>0</v>
      </c>
      <c r="DM23" s="77">
        <v>0</v>
      </c>
      <c r="DN23" s="78">
        <f>SUM(DH23:DM23)</f>
        <v>0</v>
      </c>
      <c r="DO23" s="144"/>
      <c r="DP23" s="111"/>
      <c r="DQ23" s="146"/>
      <c r="DR23" s="58" t="s">
        <v>14</v>
      </c>
      <c r="DS23" s="59" t="s">
        <v>15</v>
      </c>
      <c r="DT23" s="75">
        <v>0</v>
      </c>
      <c r="DU23" s="76">
        <v>0</v>
      </c>
      <c r="DV23" s="76">
        <v>0</v>
      </c>
      <c r="DW23" s="76">
        <v>0</v>
      </c>
      <c r="DX23" s="76">
        <v>0</v>
      </c>
      <c r="DY23" s="77">
        <v>0</v>
      </c>
      <c r="DZ23" s="78">
        <f>SUM(DT23:DY23)</f>
        <v>0</v>
      </c>
      <c r="EA23" s="144"/>
      <c r="EB23" s="111"/>
      <c r="EC23" s="146"/>
      <c r="ED23" s="58" t="s">
        <v>14</v>
      </c>
      <c r="EE23" s="59" t="s">
        <v>15</v>
      </c>
      <c r="EF23" s="75">
        <v>0</v>
      </c>
      <c r="EG23" s="76">
        <v>0</v>
      </c>
      <c r="EH23" s="76">
        <v>0</v>
      </c>
      <c r="EI23" s="76">
        <v>0</v>
      </c>
      <c r="EJ23" s="76">
        <v>0</v>
      </c>
      <c r="EK23" s="77">
        <v>0</v>
      </c>
      <c r="EL23" s="78">
        <f>SUM(EF23:EK23)</f>
        <v>0</v>
      </c>
      <c r="EM23" s="144"/>
      <c r="EN23" s="111"/>
      <c r="EO23" s="146"/>
      <c r="EP23" s="58" t="s">
        <v>14</v>
      </c>
      <c r="EQ23" s="59" t="s">
        <v>15</v>
      </c>
      <c r="ER23" s="75">
        <f t="shared" si="52"/>
        <v>0</v>
      </c>
      <c r="ES23" s="76">
        <f t="shared" si="52"/>
        <v>0</v>
      </c>
      <c r="ET23" s="76">
        <f t="shared" si="52"/>
        <v>0</v>
      </c>
      <c r="EU23" s="76">
        <f t="shared" si="52"/>
        <v>0</v>
      </c>
      <c r="EV23" s="76">
        <f t="shared" si="52"/>
        <v>0</v>
      </c>
      <c r="EW23" s="77">
        <f t="shared" si="52"/>
        <v>0</v>
      </c>
      <c r="EX23" s="79">
        <f>SUM(ER23:EW23)</f>
        <v>0</v>
      </c>
      <c r="EY23" s="144"/>
      <c r="EZ23" s="60"/>
    </row>
    <row r="24" spans="1:156" ht="15.95" customHeight="1" thickBot="1" x14ac:dyDescent="0.25">
      <c r="A24" s="147"/>
      <c r="B24" s="150" t="s">
        <v>17</v>
      </c>
      <c r="C24" s="151"/>
      <c r="D24" s="124">
        <f t="shared" ref="D24:K24" si="53">SUM(D20:D23)</f>
        <v>2983</v>
      </c>
      <c r="E24" s="125">
        <f t="shared" si="53"/>
        <v>14375</v>
      </c>
      <c r="F24" s="125">
        <f t="shared" si="53"/>
        <v>14787</v>
      </c>
      <c r="G24" s="125">
        <f t="shared" si="53"/>
        <v>5336</v>
      </c>
      <c r="H24" s="125">
        <f t="shared" si="53"/>
        <v>3769</v>
      </c>
      <c r="I24" s="126">
        <f t="shared" si="53"/>
        <v>2009</v>
      </c>
      <c r="J24" s="127">
        <f t="shared" si="53"/>
        <v>43259</v>
      </c>
      <c r="K24" s="86">
        <f t="shared" si="53"/>
        <v>12226</v>
      </c>
      <c r="L24" s="111"/>
      <c r="M24" s="147"/>
      <c r="N24" s="150" t="s">
        <v>17</v>
      </c>
      <c r="O24" s="151"/>
      <c r="P24" s="83">
        <f t="shared" ref="P24:W24" si="54">SUM(P20:P23)</f>
        <v>2983</v>
      </c>
      <c r="Q24" s="84">
        <f t="shared" si="54"/>
        <v>14375</v>
      </c>
      <c r="R24" s="84">
        <f t="shared" si="54"/>
        <v>14787</v>
      </c>
      <c r="S24" s="84">
        <f t="shared" si="54"/>
        <v>5336</v>
      </c>
      <c r="T24" s="84">
        <f t="shared" si="54"/>
        <v>3769</v>
      </c>
      <c r="U24" s="85">
        <f t="shared" si="54"/>
        <v>2009</v>
      </c>
      <c r="V24" s="1">
        <f t="shared" si="54"/>
        <v>43259</v>
      </c>
      <c r="W24" s="86">
        <f t="shared" si="54"/>
        <v>12226</v>
      </c>
      <c r="X24" s="111"/>
      <c r="Y24" s="147"/>
      <c r="Z24" s="150" t="s">
        <v>17</v>
      </c>
      <c r="AA24" s="151"/>
      <c r="AB24" s="83">
        <f t="shared" ref="AB24:AG24" si="55">SUM(AB20:AB23)</f>
        <v>2983</v>
      </c>
      <c r="AC24" s="84">
        <f t="shared" si="55"/>
        <v>14375</v>
      </c>
      <c r="AD24" s="84">
        <f t="shared" si="55"/>
        <v>14787</v>
      </c>
      <c r="AE24" s="84">
        <f t="shared" si="55"/>
        <v>5336</v>
      </c>
      <c r="AF24" s="84">
        <f t="shared" si="55"/>
        <v>3769</v>
      </c>
      <c r="AG24" s="85">
        <f t="shared" si="55"/>
        <v>2009</v>
      </c>
      <c r="AH24" s="1">
        <f t="shared" ref="AH24:AI24" si="56">SUM(AH20:AH23)</f>
        <v>43259</v>
      </c>
      <c r="AI24" s="86">
        <f t="shared" si="56"/>
        <v>12226</v>
      </c>
      <c r="AJ24" s="111"/>
      <c r="AK24" s="147"/>
      <c r="AL24" s="150" t="s">
        <v>17</v>
      </c>
      <c r="AM24" s="151"/>
      <c r="AN24" s="83">
        <f t="shared" ref="AN24:AU24" si="57">SUM(AN20:AN23)</f>
        <v>2983</v>
      </c>
      <c r="AO24" s="84">
        <f t="shared" si="57"/>
        <v>14375</v>
      </c>
      <c r="AP24" s="84">
        <f t="shared" si="57"/>
        <v>14787</v>
      </c>
      <c r="AQ24" s="84">
        <f t="shared" si="57"/>
        <v>5336</v>
      </c>
      <c r="AR24" s="84">
        <f t="shared" si="57"/>
        <v>3769</v>
      </c>
      <c r="AS24" s="85">
        <f t="shared" si="57"/>
        <v>2009</v>
      </c>
      <c r="AT24" s="1">
        <f t="shared" si="57"/>
        <v>43259</v>
      </c>
      <c r="AU24" s="86">
        <f t="shared" si="57"/>
        <v>12226</v>
      </c>
      <c r="AV24" s="111"/>
      <c r="AW24" s="147"/>
      <c r="AX24" s="150" t="s">
        <v>17</v>
      </c>
      <c r="AY24" s="151"/>
      <c r="AZ24" s="83">
        <f t="shared" ref="AZ24:BE24" si="58">SUM(AZ20:AZ23)</f>
        <v>2983</v>
      </c>
      <c r="BA24" s="84">
        <f t="shared" si="58"/>
        <v>14375</v>
      </c>
      <c r="BB24" s="84">
        <f t="shared" si="58"/>
        <v>14787</v>
      </c>
      <c r="BC24" s="84">
        <f t="shared" si="58"/>
        <v>5336</v>
      </c>
      <c r="BD24" s="84">
        <f t="shared" si="58"/>
        <v>3769</v>
      </c>
      <c r="BE24" s="85">
        <f t="shared" si="58"/>
        <v>2009</v>
      </c>
      <c r="BF24" s="1">
        <f t="shared" ref="BF24:BG24" si="59">SUM(BF20:BF23)</f>
        <v>43259</v>
      </c>
      <c r="BG24" s="86">
        <f t="shared" si="59"/>
        <v>12226</v>
      </c>
      <c r="BH24" s="111"/>
      <c r="BI24" s="147"/>
      <c r="BJ24" s="150" t="s">
        <v>17</v>
      </c>
      <c r="BK24" s="151"/>
      <c r="BL24" s="83">
        <f t="shared" ref="BL24:BQ24" si="60">SUM(BL20:BL23)</f>
        <v>2983</v>
      </c>
      <c r="BM24" s="84">
        <f t="shared" si="60"/>
        <v>14375</v>
      </c>
      <c r="BN24" s="84">
        <f t="shared" si="60"/>
        <v>14787</v>
      </c>
      <c r="BO24" s="84">
        <f t="shared" si="60"/>
        <v>5336</v>
      </c>
      <c r="BP24" s="84">
        <f t="shared" si="60"/>
        <v>3769</v>
      </c>
      <c r="BQ24" s="85">
        <f t="shared" si="60"/>
        <v>2009</v>
      </c>
      <c r="BR24" s="1">
        <f t="shared" ref="BR24:BS24" si="61">SUM(BR20:BR23)</f>
        <v>43259</v>
      </c>
      <c r="BS24" s="86">
        <f t="shared" si="61"/>
        <v>12226</v>
      </c>
      <c r="BT24" s="111"/>
      <c r="BU24" s="147"/>
      <c r="BV24" s="150" t="s">
        <v>17</v>
      </c>
      <c r="BW24" s="151"/>
      <c r="BX24" s="83">
        <f t="shared" ref="BX24:CE24" si="62">SUM(BX20:BX23)</f>
        <v>2983</v>
      </c>
      <c r="BY24" s="84">
        <f t="shared" si="62"/>
        <v>14375</v>
      </c>
      <c r="BZ24" s="84">
        <f t="shared" si="62"/>
        <v>14787</v>
      </c>
      <c r="CA24" s="84">
        <f t="shared" si="62"/>
        <v>5336</v>
      </c>
      <c r="CB24" s="84">
        <f t="shared" si="62"/>
        <v>3769</v>
      </c>
      <c r="CC24" s="85">
        <f t="shared" si="62"/>
        <v>2009</v>
      </c>
      <c r="CD24" s="1">
        <f t="shared" si="62"/>
        <v>43259</v>
      </c>
      <c r="CE24" s="86">
        <f t="shared" si="62"/>
        <v>12226</v>
      </c>
      <c r="CF24" s="111"/>
      <c r="CG24" s="147"/>
      <c r="CH24" s="150" t="s">
        <v>17</v>
      </c>
      <c r="CI24" s="151"/>
      <c r="CJ24" s="83">
        <f t="shared" ref="CJ24:CQ24" si="63">SUM(CJ20:CJ23)</f>
        <v>2983</v>
      </c>
      <c r="CK24" s="84">
        <f t="shared" si="63"/>
        <v>14375</v>
      </c>
      <c r="CL24" s="84">
        <f t="shared" si="63"/>
        <v>14787</v>
      </c>
      <c r="CM24" s="84">
        <f t="shared" si="63"/>
        <v>5336</v>
      </c>
      <c r="CN24" s="84">
        <f t="shared" si="63"/>
        <v>3769</v>
      </c>
      <c r="CO24" s="85">
        <f t="shared" si="63"/>
        <v>2009</v>
      </c>
      <c r="CP24" s="1">
        <f t="shared" si="63"/>
        <v>43259</v>
      </c>
      <c r="CQ24" s="86">
        <f t="shared" si="63"/>
        <v>12226</v>
      </c>
      <c r="CR24" s="111"/>
      <c r="CS24" s="147"/>
      <c r="CT24" s="150" t="s">
        <v>17</v>
      </c>
      <c r="CU24" s="151"/>
      <c r="CV24" s="83">
        <f t="shared" ref="CV24:DC24" si="64">SUM(CV20:CV23)</f>
        <v>2983</v>
      </c>
      <c r="CW24" s="84">
        <f t="shared" si="64"/>
        <v>14375</v>
      </c>
      <c r="CX24" s="84">
        <f t="shared" si="64"/>
        <v>14787</v>
      </c>
      <c r="CY24" s="84">
        <f t="shared" si="64"/>
        <v>5336</v>
      </c>
      <c r="CZ24" s="84">
        <f t="shared" si="64"/>
        <v>3769</v>
      </c>
      <c r="DA24" s="85">
        <f t="shared" si="64"/>
        <v>2009</v>
      </c>
      <c r="DB24" s="1">
        <f t="shared" si="64"/>
        <v>43259</v>
      </c>
      <c r="DC24" s="86">
        <f t="shared" si="64"/>
        <v>12226</v>
      </c>
      <c r="DD24" s="111"/>
      <c r="DE24" s="147"/>
      <c r="DF24" s="150" t="s">
        <v>17</v>
      </c>
      <c r="DG24" s="151"/>
      <c r="DH24" s="83">
        <f t="shared" ref="DH24:DO24" si="65">SUM(DH20:DH23)</f>
        <v>0</v>
      </c>
      <c r="DI24" s="84">
        <f t="shared" si="65"/>
        <v>0</v>
      </c>
      <c r="DJ24" s="84">
        <f t="shared" si="65"/>
        <v>0</v>
      </c>
      <c r="DK24" s="84">
        <f t="shared" si="65"/>
        <v>0</v>
      </c>
      <c r="DL24" s="84">
        <f t="shared" si="65"/>
        <v>0</v>
      </c>
      <c r="DM24" s="85">
        <f t="shared" si="65"/>
        <v>0</v>
      </c>
      <c r="DN24" s="1">
        <f t="shared" si="65"/>
        <v>0</v>
      </c>
      <c r="DO24" s="86">
        <f t="shared" si="65"/>
        <v>0</v>
      </c>
      <c r="DP24" s="111"/>
      <c r="DQ24" s="147"/>
      <c r="DR24" s="150" t="s">
        <v>17</v>
      </c>
      <c r="DS24" s="151"/>
      <c r="DT24" s="83">
        <f t="shared" ref="DT24:EA24" si="66">SUM(DT20:DT23)</f>
        <v>0</v>
      </c>
      <c r="DU24" s="84">
        <f t="shared" si="66"/>
        <v>0</v>
      </c>
      <c r="DV24" s="84">
        <f t="shared" si="66"/>
        <v>0</v>
      </c>
      <c r="DW24" s="84">
        <f t="shared" si="66"/>
        <v>0</v>
      </c>
      <c r="DX24" s="84">
        <f t="shared" si="66"/>
        <v>0</v>
      </c>
      <c r="DY24" s="85">
        <f t="shared" si="66"/>
        <v>0</v>
      </c>
      <c r="DZ24" s="1">
        <f t="shared" si="66"/>
        <v>0</v>
      </c>
      <c r="EA24" s="86">
        <f t="shared" si="66"/>
        <v>0</v>
      </c>
      <c r="EB24" s="111"/>
      <c r="EC24" s="147"/>
      <c r="ED24" s="150" t="s">
        <v>17</v>
      </c>
      <c r="EE24" s="151"/>
      <c r="EF24" s="83">
        <f t="shared" ref="EF24:EM24" si="67">SUM(EF20:EF23)</f>
        <v>0</v>
      </c>
      <c r="EG24" s="84">
        <f t="shared" si="67"/>
        <v>0</v>
      </c>
      <c r="EH24" s="84">
        <f t="shared" si="67"/>
        <v>0</v>
      </c>
      <c r="EI24" s="84">
        <f t="shared" si="67"/>
        <v>0</v>
      </c>
      <c r="EJ24" s="84">
        <f t="shared" si="67"/>
        <v>0</v>
      </c>
      <c r="EK24" s="85">
        <f t="shared" si="67"/>
        <v>0</v>
      </c>
      <c r="EL24" s="1">
        <f t="shared" si="67"/>
        <v>0</v>
      </c>
      <c r="EM24" s="86">
        <f t="shared" si="67"/>
        <v>0</v>
      </c>
      <c r="EN24" s="111"/>
      <c r="EO24" s="147"/>
      <c r="EP24" s="107" t="s">
        <v>17</v>
      </c>
      <c r="EQ24" s="108"/>
      <c r="ER24" s="83">
        <f t="shared" ref="ER24:EY24" si="68">SUM(ER20:ER23)</f>
        <v>0</v>
      </c>
      <c r="ES24" s="84">
        <f t="shared" si="68"/>
        <v>0</v>
      </c>
      <c r="ET24" s="84">
        <f t="shared" si="68"/>
        <v>0</v>
      </c>
      <c r="EU24" s="84">
        <f t="shared" si="68"/>
        <v>0</v>
      </c>
      <c r="EV24" s="84">
        <f t="shared" si="68"/>
        <v>0</v>
      </c>
      <c r="EW24" s="85">
        <f t="shared" si="68"/>
        <v>0</v>
      </c>
      <c r="EX24" s="1">
        <f t="shared" si="68"/>
        <v>0</v>
      </c>
      <c r="EY24" s="86">
        <f t="shared" si="68"/>
        <v>0</v>
      </c>
      <c r="EZ24" s="60"/>
    </row>
    <row r="25" spans="1:156" ht="15.95" customHeight="1" x14ac:dyDescent="0.2">
      <c r="A25" s="145" t="s">
        <v>27</v>
      </c>
      <c r="B25" s="152" t="s">
        <v>14</v>
      </c>
      <c r="C25" s="53" t="s">
        <v>13</v>
      </c>
      <c r="D25" s="131">
        <v>0</v>
      </c>
      <c r="E25" s="132">
        <v>0</v>
      </c>
      <c r="F25" s="132">
        <v>0</v>
      </c>
      <c r="G25" s="132">
        <v>0</v>
      </c>
      <c r="H25" s="132">
        <v>0</v>
      </c>
      <c r="I25" s="133">
        <v>0</v>
      </c>
      <c r="J25" s="116">
        <f>SUM(D25:I25)</f>
        <v>0</v>
      </c>
      <c r="K25" s="143">
        <v>0</v>
      </c>
      <c r="L25" s="111"/>
      <c r="M25" s="145" t="s">
        <v>27</v>
      </c>
      <c r="N25" s="152" t="s">
        <v>14</v>
      </c>
      <c r="O25" s="53" t="s">
        <v>13</v>
      </c>
      <c r="P25" s="70">
        <v>0</v>
      </c>
      <c r="Q25" s="71">
        <v>0</v>
      </c>
      <c r="R25" s="71">
        <v>0</v>
      </c>
      <c r="S25" s="71">
        <v>0</v>
      </c>
      <c r="T25" s="71">
        <v>0</v>
      </c>
      <c r="U25" s="72">
        <v>0</v>
      </c>
      <c r="V25" s="73">
        <f>SUM(P25:U25)</f>
        <v>0</v>
      </c>
      <c r="W25" s="143">
        <v>0</v>
      </c>
      <c r="X25" s="111"/>
      <c r="Y25" s="145" t="s">
        <v>27</v>
      </c>
      <c r="Z25" s="152" t="s">
        <v>14</v>
      </c>
      <c r="AA25" s="53" t="s">
        <v>13</v>
      </c>
      <c r="AB25" s="70">
        <v>0</v>
      </c>
      <c r="AC25" s="71">
        <v>0</v>
      </c>
      <c r="AD25" s="71">
        <v>0</v>
      </c>
      <c r="AE25" s="71">
        <v>0</v>
      </c>
      <c r="AF25" s="71">
        <v>0</v>
      </c>
      <c r="AG25" s="72">
        <v>0</v>
      </c>
      <c r="AH25" s="73">
        <f>SUM(AB25:AG25)</f>
        <v>0</v>
      </c>
      <c r="AI25" s="143">
        <v>0</v>
      </c>
      <c r="AJ25" s="111"/>
      <c r="AK25" s="145" t="s">
        <v>27</v>
      </c>
      <c r="AL25" s="152" t="s">
        <v>14</v>
      </c>
      <c r="AM25" s="53" t="s">
        <v>13</v>
      </c>
      <c r="AN25" s="70">
        <v>0</v>
      </c>
      <c r="AO25" s="71">
        <v>0</v>
      </c>
      <c r="AP25" s="71">
        <v>0</v>
      </c>
      <c r="AQ25" s="71">
        <v>0</v>
      </c>
      <c r="AR25" s="71">
        <v>0</v>
      </c>
      <c r="AS25" s="72">
        <v>0</v>
      </c>
      <c r="AT25" s="73">
        <f>SUM(AN25:AS25)</f>
        <v>0</v>
      </c>
      <c r="AU25" s="143">
        <v>0</v>
      </c>
      <c r="AV25" s="111"/>
      <c r="AW25" s="145" t="s">
        <v>27</v>
      </c>
      <c r="AX25" s="152" t="s">
        <v>14</v>
      </c>
      <c r="AY25" s="53" t="s">
        <v>13</v>
      </c>
      <c r="AZ25" s="70">
        <v>0</v>
      </c>
      <c r="BA25" s="71">
        <v>0</v>
      </c>
      <c r="BB25" s="71">
        <v>0</v>
      </c>
      <c r="BC25" s="71">
        <v>0</v>
      </c>
      <c r="BD25" s="71">
        <v>0</v>
      </c>
      <c r="BE25" s="72">
        <v>0</v>
      </c>
      <c r="BF25" s="73">
        <f>SUM(AZ25:BE25)</f>
        <v>0</v>
      </c>
      <c r="BG25" s="143">
        <v>0</v>
      </c>
      <c r="BH25" s="111"/>
      <c r="BI25" s="145" t="s">
        <v>27</v>
      </c>
      <c r="BJ25" s="152" t="s">
        <v>14</v>
      </c>
      <c r="BK25" s="53" t="s">
        <v>13</v>
      </c>
      <c r="BL25" s="70">
        <v>0</v>
      </c>
      <c r="BM25" s="71">
        <v>0</v>
      </c>
      <c r="BN25" s="71">
        <v>0</v>
      </c>
      <c r="BO25" s="71">
        <v>0</v>
      </c>
      <c r="BP25" s="71">
        <v>0</v>
      </c>
      <c r="BQ25" s="72">
        <v>0</v>
      </c>
      <c r="BR25" s="73">
        <f>SUM(BL25:BQ25)</f>
        <v>0</v>
      </c>
      <c r="BS25" s="143">
        <v>0</v>
      </c>
      <c r="BT25" s="111"/>
      <c r="BU25" s="145" t="s">
        <v>27</v>
      </c>
      <c r="BV25" s="152" t="s">
        <v>14</v>
      </c>
      <c r="BW25" s="53" t="s">
        <v>13</v>
      </c>
      <c r="BX25" s="70">
        <v>0</v>
      </c>
      <c r="BY25" s="71">
        <v>0</v>
      </c>
      <c r="BZ25" s="71">
        <v>0</v>
      </c>
      <c r="CA25" s="71">
        <v>0</v>
      </c>
      <c r="CB25" s="71">
        <v>0</v>
      </c>
      <c r="CC25" s="72">
        <v>0</v>
      </c>
      <c r="CD25" s="73">
        <f>SUM(BX25:CC25)</f>
        <v>0</v>
      </c>
      <c r="CE25" s="143">
        <v>0</v>
      </c>
      <c r="CF25" s="111"/>
      <c r="CG25" s="145" t="s">
        <v>27</v>
      </c>
      <c r="CH25" s="152" t="s">
        <v>14</v>
      </c>
      <c r="CI25" s="53" t="s">
        <v>13</v>
      </c>
      <c r="CJ25" s="70">
        <v>0</v>
      </c>
      <c r="CK25" s="71">
        <v>0</v>
      </c>
      <c r="CL25" s="71">
        <v>0</v>
      </c>
      <c r="CM25" s="71">
        <v>0</v>
      </c>
      <c r="CN25" s="71">
        <v>0</v>
      </c>
      <c r="CO25" s="72">
        <v>0</v>
      </c>
      <c r="CP25" s="73">
        <f>SUM(CJ25:CO25)</f>
        <v>0</v>
      </c>
      <c r="CQ25" s="143">
        <v>0</v>
      </c>
      <c r="CR25" s="111"/>
      <c r="CS25" s="145" t="s">
        <v>27</v>
      </c>
      <c r="CT25" s="152" t="s">
        <v>14</v>
      </c>
      <c r="CU25" s="53" t="s">
        <v>13</v>
      </c>
      <c r="CV25" s="70">
        <v>0</v>
      </c>
      <c r="CW25" s="71">
        <v>0</v>
      </c>
      <c r="CX25" s="71">
        <v>0</v>
      </c>
      <c r="CY25" s="71">
        <v>0</v>
      </c>
      <c r="CZ25" s="71">
        <v>0</v>
      </c>
      <c r="DA25" s="72">
        <v>0</v>
      </c>
      <c r="DB25" s="73">
        <f>SUM(CV25:DA25)</f>
        <v>0</v>
      </c>
      <c r="DC25" s="143">
        <v>0</v>
      </c>
      <c r="DD25" s="111"/>
      <c r="DE25" s="145" t="s">
        <v>27</v>
      </c>
      <c r="DF25" s="152" t="s">
        <v>14</v>
      </c>
      <c r="DG25" s="53" t="s">
        <v>13</v>
      </c>
      <c r="DH25" s="70">
        <v>0</v>
      </c>
      <c r="DI25" s="71">
        <v>0</v>
      </c>
      <c r="DJ25" s="71">
        <v>0</v>
      </c>
      <c r="DK25" s="71">
        <v>0</v>
      </c>
      <c r="DL25" s="71">
        <v>0</v>
      </c>
      <c r="DM25" s="72">
        <v>0</v>
      </c>
      <c r="DN25" s="73">
        <f>SUM(DH25:DM25)</f>
        <v>0</v>
      </c>
      <c r="DO25" s="143">
        <v>0</v>
      </c>
      <c r="DP25" s="111"/>
      <c r="DQ25" s="145" t="s">
        <v>27</v>
      </c>
      <c r="DR25" s="152" t="s">
        <v>14</v>
      </c>
      <c r="DS25" s="53" t="s">
        <v>13</v>
      </c>
      <c r="DT25" s="70">
        <v>0</v>
      </c>
      <c r="DU25" s="71">
        <v>0</v>
      </c>
      <c r="DV25" s="71">
        <v>0</v>
      </c>
      <c r="DW25" s="71">
        <v>0</v>
      </c>
      <c r="DX25" s="71">
        <v>0</v>
      </c>
      <c r="DY25" s="72">
        <v>0</v>
      </c>
      <c r="DZ25" s="73">
        <f>SUM(DT25:DY25)</f>
        <v>0</v>
      </c>
      <c r="EA25" s="143">
        <v>0</v>
      </c>
      <c r="EB25" s="111"/>
      <c r="EC25" s="145" t="s">
        <v>27</v>
      </c>
      <c r="ED25" s="152" t="s">
        <v>14</v>
      </c>
      <c r="EE25" s="53" t="s">
        <v>13</v>
      </c>
      <c r="EF25" s="70">
        <v>0</v>
      </c>
      <c r="EG25" s="71">
        <v>0</v>
      </c>
      <c r="EH25" s="71">
        <v>0</v>
      </c>
      <c r="EI25" s="71">
        <v>0</v>
      </c>
      <c r="EJ25" s="71">
        <v>0</v>
      </c>
      <c r="EK25" s="72">
        <v>0</v>
      </c>
      <c r="EL25" s="73">
        <f>SUM(EF25:EK25)</f>
        <v>0</v>
      </c>
      <c r="EM25" s="143">
        <v>0</v>
      </c>
      <c r="EN25" s="111"/>
      <c r="EO25" s="145" t="str">
        <f t="shared" ref="EO25" si="69">EC25</f>
        <v>الروابي</v>
      </c>
      <c r="EP25" s="105" t="s">
        <v>14</v>
      </c>
      <c r="EQ25" s="53" t="s">
        <v>13</v>
      </c>
      <c r="ER25" s="70">
        <f t="shared" ref="ER25:EW28" si="70">SUM(EF25)</f>
        <v>0</v>
      </c>
      <c r="ES25" s="71">
        <f t="shared" si="70"/>
        <v>0</v>
      </c>
      <c r="ET25" s="71">
        <f t="shared" si="70"/>
        <v>0</v>
      </c>
      <c r="EU25" s="71">
        <f t="shared" si="70"/>
        <v>0</v>
      </c>
      <c r="EV25" s="71">
        <f t="shared" si="70"/>
        <v>0</v>
      </c>
      <c r="EW25" s="72">
        <f t="shared" si="70"/>
        <v>0</v>
      </c>
      <c r="EX25" s="74">
        <f>SUM(ER25:EW25)</f>
        <v>0</v>
      </c>
      <c r="EY25" s="143">
        <f>SUM(EM25)</f>
        <v>0</v>
      </c>
      <c r="EZ25" s="60"/>
    </row>
    <row r="26" spans="1:156" ht="15.95" customHeight="1" thickBot="1" x14ac:dyDescent="0.25">
      <c r="A26" s="146"/>
      <c r="B26" s="153"/>
      <c r="C26" s="55" t="s">
        <v>15</v>
      </c>
      <c r="D26" s="134">
        <v>0</v>
      </c>
      <c r="E26" s="135">
        <v>0</v>
      </c>
      <c r="F26" s="135">
        <v>0</v>
      </c>
      <c r="G26" s="135">
        <v>0</v>
      </c>
      <c r="H26" s="135">
        <v>0</v>
      </c>
      <c r="I26" s="136">
        <v>0</v>
      </c>
      <c r="J26" s="120">
        <f>SUM(D26:I26)</f>
        <v>0</v>
      </c>
      <c r="K26" s="144"/>
      <c r="L26" s="111"/>
      <c r="M26" s="146"/>
      <c r="N26" s="153"/>
      <c r="O26" s="55" t="s">
        <v>15</v>
      </c>
      <c r="P26" s="75">
        <v>0</v>
      </c>
      <c r="Q26" s="76">
        <v>0</v>
      </c>
      <c r="R26" s="76">
        <v>0</v>
      </c>
      <c r="S26" s="76">
        <v>0</v>
      </c>
      <c r="T26" s="76">
        <v>0</v>
      </c>
      <c r="U26" s="77">
        <v>0</v>
      </c>
      <c r="V26" s="78">
        <f>SUM(P26:U26)</f>
        <v>0</v>
      </c>
      <c r="W26" s="144"/>
      <c r="X26" s="111"/>
      <c r="Y26" s="146"/>
      <c r="Z26" s="153"/>
      <c r="AA26" s="55" t="s">
        <v>15</v>
      </c>
      <c r="AB26" s="75">
        <v>0</v>
      </c>
      <c r="AC26" s="76">
        <v>0</v>
      </c>
      <c r="AD26" s="76">
        <v>0</v>
      </c>
      <c r="AE26" s="76">
        <v>0</v>
      </c>
      <c r="AF26" s="76">
        <v>0</v>
      </c>
      <c r="AG26" s="77">
        <v>0</v>
      </c>
      <c r="AH26" s="78">
        <f>SUM(AB26:AG26)</f>
        <v>0</v>
      </c>
      <c r="AI26" s="144"/>
      <c r="AJ26" s="111"/>
      <c r="AK26" s="146"/>
      <c r="AL26" s="153"/>
      <c r="AM26" s="55" t="s">
        <v>15</v>
      </c>
      <c r="AN26" s="75">
        <v>0</v>
      </c>
      <c r="AO26" s="76">
        <v>0</v>
      </c>
      <c r="AP26" s="76">
        <v>0</v>
      </c>
      <c r="AQ26" s="76">
        <v>0</v>
      </c>
      <c r="AR26" s="76">
        <v>0</v>
      </c>
      <c r="AS26" s="77">
        <v>0</v>
      </c>
      <c r="AT26" s="78">
        <f>SUM(AN26:AS26)</f>
        <v>0</v>
      </c>
      <c r="AU26" s="144"/>
      <c r="AV26" s="111"/>
      <c r="AW26" s="146"/>
      <c r="AX26" s="153"/>
      <c r="AY26" s="55" t="s">
        <v>15</v>
      </c>
      <c r="AZ26" s="75">
        <v>0</v>
      </c>
      <c r="BA26" s="76">
        <v>0</v>
      </c>
      <c r="BB26" s="76">
        <v>0</v>
      </c>
      <c r="BC26" s="76">
        <v>0</v>
      </c>
      <c r="BD26" s="76">
        <v>0</v>
      </c>
      <c r="BE26" s="77">
        <v>0</v>
      </c>
      <c r="BF26" s="78">
        <f>SUM(AZ26:BE26)</f>
        <v>0</v>
      </c>
      <c r="BG26" s="144"/>
      <c r="BH26" s="111"/>
      <c r="BI26" s="146"/>
      <c r="BJ26" s="153"/>
      <c r="BK26" s="55" t="s">
        <v>15</v>
      </c>
      <c r="BL26" s="75">
        <v>0</v>
      </c>
      <c r="BM26" s="76">
        <v>0</v>
      </c>
      <c r="BN26" s="76">
        <v>0</v>
      </c>
      <c r="BO26" s="76">
        <v>0</v>
      </c>
      <c r="BP26" s="76">
        <v>0</v>
      </c>
      <c r="BQ26" s="77">
        <v>0</v>
      </c>
      <c r="BR26" s="78">
        <f>SUM(BL26:BQ26)</f>
        <v>0</v>
      </c>
      <c r="BS26" s="144"/>
      <c r="BT26" s="111"/>
      <c r="BU26" s="146"/>
      <c r="BV26" s="153"/>
      <c r="BW26" s="55" t="s">
        <v>15</v>
      </c>
      <c r="BX26" s="75">
        <v>0</v>
      </c>
      <c r="BY26" s="76">
        <v>0</v>
      </c>
      <c r="BZ26" s="76">
        <v>0</v>
      </c>
      <c r="CA26" s="76">
        <v>0</v>
      </c>
      <c r="CB26" s="76">
        <v>0</v>
      </c>
      <c r="CC26" s="77">
        <v>0</v>
      </c>
      <c r="CD26" s="78">
        <f>SUM(BX26:CC26)</f>
        <v>0</v>
      </c>
      <c r="CE26" s="144"/>
      <c r="CF26" s="111"/>
      <c r="CG26" s="146"/>
      <c r="CH26" s="153"/>
      <c r="CI26" s="55" t="s">
        <v>15</v>
      </c>
      <c r="CJ26" s="75">
        <v>0</v>
      </c>
      <c r="CK26" s="76">
        <v>0</v>
      </c>
      <c r="CL26" s="76">
        <v>0</v>
      </c>
      <c r="CM26" s="76">
        <v>0</v>
      </c>
      <c r="CN26" s="76">
        <v>0</v>
      </c>
      <c r="CO26" s="77">
        <v>0</v>
      </c>
      <c r="CP26" s="78">
        <f>SUM(CJ26:CO26)</f>
        <v>0</v>
      </c>
      <c r="CQ26" s="144"/>
      <c r="CR26" s="111"/>
      <c r="CS26" s="146"/>
      <c r="CT26" s="153"/>
      <c r="CU26" s="55" t="s">
        <v>15</v>
      </c>
      <c r="CV26" s="75">
        <v>0</v>
      </c>
      <c r="CW26" s="76">
        <v>0</v>
      </c>
      <c r="CX26" s="76">
        <v>0</v>
      </c>
      <c r="CY26" s="76">
        <v>0</v>
      </c>
      <c r="CZ26" s="76">
        <v>0</v>
      </c>
      <c r="DA26" s="77">
        <v>0</v>
      </c>
      <c r="DB26" s="78">
        <f>SUM(CV26:DA26)</f>
        <v>0</v>
      </c>
      <c r="DC26" s="144"/>
      <c r="DD26" s="111"/>
      <c r="DE26" s="146"/>
      <c r="DF26" s="153"/>
      <c r="DG26" s="55" t="s">
        <v>15</v>
      </c>
      <c r="DH26" s="75">
        <v>0</v>
      </c>
      <c r="DI26" s="76">
        <v>0</v>
      </c>
      <c r="DJ26" s="76">
        <v>0</v>
      </c>
      <c r="DK26" s="76">
        <v>0</v>
      </c>
      <c r="DL26" s="76">
        <v>0</v>
      </c>
      <c r="DM26" s="77">
        <v>0</v>
      </c>
      <c r="DN26" s="78">
        <f>SUM(DH26:DM26)</f>
        <v>0</v>
      </c>
      <c r="DO26" s="144"/>
      <c r="DP26" s="111"/>
      <c r="DQ26" s="146"/>
      <c r="DR26" s="153"/>
      <c r="DS26" s="55" t="s">
        <v>15</v>
      </c>
      <c r="DT26" s="75">
        <v>0</v>
      </c>
      <c r="DU26" s="76">
        <v>0</v>
      </c>
      <c r="DV26" s="76">
        <v>0</v>
      </c>
      <c r="DW26" s="76">
        <v>0</v>
      </c>
      <c r="DX26" s="76">
        <v>0</v>
      </c>
      <c r="DY26" s="77">
        <v>0</v>
      </c>
      <c r="DZ26" s="78">
        <f>SUM(DT26:DY26)</f>
        <v>0</v>
      </c>
      <c r="EA26" s="144"/>
      <c r="EB26" s="111"/>
      <c r="EC26" s="146"/>
      <c r="ED26" s="153"/>
      <c r="EE26" s="55" t="s">
        <v>15</v>
      </c>
      <c r="EF26" s="75">
        <v>0</v>
      </c>
      <c r="EG26" s="76">
        <v>0</v>
      </c>
      <c r="EH26" s="76">
        <v>0</v>
      </c>
      <c r="EI26" s="76">
        <v>0</v>
      </c>
      <c r="EJ26" s="76">
        <v>0</v>
      </c>
      <c r="EK26" s="77">
        <v>0</v>
      </c>
      <c r="EL26" s="78">
        <f>SUM(EF26:EK26)</f>
        <v>0</v>
      </c>
      <c r="EM26" s="144"/>
      <c r="EN26" s="111"/>
      <c r="EO26" s="146"/>
      <c r="EP26" s="106"/>
      <c r="EQ26" s="55" t="s">
        <v>15</v>
      </c>
      <c r="ER26" s="75">
        <f t="shared" si="70"/>
        <v>0</v>
      </c>
      <c r="ES26" s="76">
        <f t="shared" si="70"/>
        <v>0</v>
      </c>
      <c r="ET26" s="76">
        <f t="shared" si="70"/>
        <v>0</v>
      </c>
      <c r="EU26" s="76">
        <f t="shared" si="70"/>
        <v>0</v>
      </c>
      <c r="EV26" s="76">
        <f t="shared" si="70"/>
        <v>0</v>
      </c>
      <c r="EW26" s="77">
        <f t="shared" si="70"/>
        <v>0</v>
      </c>
      <c r="EX26" s="79">
        <f>SUM(ER26:EW26)</f>
        <v>0</v>
      </c>
      <c r="EY26" s="144"/>
      <c r="EZ26" s="60"/>
    </row>
    <row r="27" spans="1:156" ht="15.95" customHeight="1" x14ac:dyDescent="0.2">
      <c r="A27" s="146"/>
      <c r="B27" s="56" t="s">
        <v>16</v>
      </c>
      <c r="C27" s="57" t="s">
        <v>13</v>
      </c>
      <c r="D27" s="131">
        <v>0</v>
      </c>
      <c r="E27" s="132">
        <v>0</v>
      </c>
      <c r="F27" s="132">
        <v>0</v>
      </c>
      <c r="G27" s="132">
        <v>0</v>
      </c>
      <c r="H27" s="132">
        <v>0</v>
      </c>
      <c r="I27" s="133">
        <v>0</v>
      </c>
      <c r="J27" s="116">
        <f>SUM(D27:I27)</f>
        <v>0</v>
      </c>
      <c r="K27" s="143">
        <v>0</v>
      </c>
      <c r="L27" s="111"/>
      <c r="M27" s="146"/>
      <c r="N27" s="56" t="s">
        <v>16</v>
      </c>
      <c r="O27" s="57" t="s">
        <v>13</v>
      </c>
      <c r="P27" s="70">
        <v>0</v>
      </c>
      <c r="Q27" s="71">
        <v>0</v>
      </c>
      <c r="R27" s="71">
        <v>0</v>
      </c>
      <c r="S27" s="71">
        <v>0</v>
      </c>
      <c r="T27" s="71">
        <v>0</v>
      </c>
      <c r="U27" s="72">
        <v>0</v>
      </c>
      <c r="V27" s="73">
        <f>SUM(P27:U27)</f>
        <v>0</v>
      </c>
      <c r="W27" s="143">
        <v>0</v>
      </c>
      <c r="X27" s="111"/>
      <c r="Y27" s="146"/>
      <c r="Z27" s="56" t="s">
        <v>16</v>
      </c>
      <c r="AA27" s="57" t="s">
        <v>13</v>
      </c>
      <c r="AB27" s="70">
        <v>0</v>
      </c>
      <c r="AC27" s="71">
        <v>0</v>
      </c>
      <c r="AD27" s="71">
        <v>0</v>
      </c>
      <c r="AE27" s="71">
        <v>0</v>
      </c>
      <c r="AF27" s="71">
        <v>0</v>
      </c>
      <c r="AG27" s="72">
        <v>0</v>
      </c>
      <c r="AH27" s="73">
        <f>SUM(AB27:AG27)</f>
        <v>0</v>
      </c>
      <c r="AI27" s="143">
        <v>0</v>
      </c>
      <c r="AJ27" s="111"/>
      <c r="AK27" s="146"/>
      <c r="AL27" s="56" t="s">
        <v>16</v>
      </c>
      <c r="AM27" s="57" t="s">
        <v>13</v>
      </c>
      <c r="AN27" s="70">
        <v>0</v>
      </c>
      <c r="AO27" s="71">
        <v>0</v>
      </c>
      <c r="AP27" s="71">
        <v>0</v>
      </c>
      <c r="AQ27" s="71">
        <v>0</v>
      </c>
      <c r="AR27" s="71">
        <v>0</v>
      </c>
      <c r="AS27" s="72">
        <v>0</v>
      </c>
      <c r="AT27" s="73">
        <f>SUM(AN27:AS27)</f>
        <v>0</v>
      </c>
      <c r="AU27" s="143">
        <v>0</v>
      </c>
      <c r="AV27" s="111"/>
      <c r="AW27" s="146"/>
      <c r="AX27" s="56" t="s">
        <v>16</v>
      </c>
      <c r="AY27" s="57" t="s">
        <v>13</v>
      </c>
      <c r="AZ27" s="70">
        <v>0</v>
      </c>
      <c r="BA27" s="71">
        <v>0</v>
      </c>
      <c r="BB27" s="71">
        <v>0</v>
      </c>
      <c r="BC27" s="71">
        <v>0</v>
      </c>
      <c r="BD27" s="71">
        <v>0</v>
      </c>
      <c r="BE27" s="72">
        <v>0</v>
      </c>
      <c r="BF27" s="73">
        <f>SUM(AZ27:BE27)</f>
        <v>0</v>
      </c>
      <c r="BG27" s="143">
        <v>0</v>
      </c>
      <c r="BH27" s="111"/>
      <c r="BI27" s="146"/>
      <c r="BJ27" s="56" t="s">
        <v>16</v>
      </c>
      <c r="BK27" s="57" t="s">
        <v>13</v>
      </c>
      <c r="BL27" s="70">
        <v>0</v>
      </c>
      <c r="BM27" s="71">
        <v>0</v>
      </c>
      <c r="BN27" s="71">
        <v>0</v>
      </c>
      <c r="BO27" s="71">
        <v>0</v>
      </c>
      <c r="BP27" s="71">
        <v>0</v>
      </c>
      <c r="BQ27" s="72">
        <v>0</v>
      </c>
      <c r="BR27" s="73">
        <f>SUM(BL27:BQ27)</f>
        <v>0</v>
      </c>
      <c r="BS27" s="143">
        <v>0</v>
      </c>
      <c r="BT27" s="111"/>
      <c r="BU27" s="146"/>
      <c r="BV27" s="56" t="s">
        <v>16</v>
      </c>
      <c r="BW27" s="57" t="s">
        <v>13</v>
      </c>
      <c r="BX27" s="70">
        <v>0</v>
      </c>
      <c r="BY27" s="71">
        <v>0</v>
      </c>
      <c r="BZ27" s="71">
        <v>0</v>
      </c>
      <c r="CA27" s="71">
        <v>0</v>
      </c>
      <c r="CB27" s="71">
        <v>0</v>
      </c>
      <c r="CC27" s="72">
        <v>0</v>
      </c>
      <c r="CD27" s="73">
        <f>SUM(BX27:CC27)</f>
        <v>0</v>
      </c>
      <c r="CE27" s="143">
        <v>0</v>
      </c>
      <c r="CF27" s="111"/>
      <c r="CG27" s="146"/>
      <c r="CH27" s="56" t="s">
        <v>16</v>
      </c>
      <c r="CI27" s="57" t="s">
        <v>13</v>
      </c>
      <c r="CJ27" s="70">
        <v>0</v>
      </c>
      <c r="CK27" s="71">
        <v>0</v>
      </c>
      <c r="CL27" s="71">
        <v>0</v>
      </c>
      <c r="CM27" s="71">
        <v>0</v>
      </c>
      <c r="CN27" s="71">
        <v>0</v>
      </c>
      <c r="CO27" s="72">
        <v>0</v>
      </c>
      <c r="CP27" s="73">
        <f>SUM(CJ27:CO27)</f>
        <v>0</v>
      </c>
      <c r="CQ27" s="143">
        <v>0</v>
      </c>
      <c r="CR27" s="111"/>
      <c r="CS27" s="146"/>
      <c r="CT27" s="56" t="s">
        <v>16</v>
      </c>
      <c r="CU27" s="57" t="s">
        <v>13</v>
      </c>
      <c r="CV27" s="70">
        <v>0</v>
      </c>
      <c r="CW27" s="71">
        <v>0</v>
      </c>
      <c r="CX27" s="71">
        <v>0</v>
      </c>
      <c r="CY27" s="71">
        <v>0</v>
      </c>
      <c r="CZ27" s="71">
        <v>0</v>
      </c>
      <c r="DA27" s="72">
        <v>0</v>
      </c>
      <c r="DB27" s="73">
        <f>SUM(CV27:DA27)</f>
        <v>0</v>
      </c>
      <c r="DC27" s="143">
        <v>0</v>
      </c>
      <c r="DD27" s="111"/>
      <c r="DE27" s="146"/>
      <c r="DF27" s="56" t="s">
        <v>16</v>
      </c>
      <c r="DG27" s="57" t="s">
        <v>13</v>
      </c>
      <c r="DH27" s="70">
        <v>0</v>
      </c>
      <c r="DI27" s="71">
        <v>0</v>
      </c>
      <c r="DJ27" s="71">
        <v>0</v>
      </c>
      <c r="DK27" s="71">
        <v>0</v>
      </c>
      <c r="DL27" s="71">
        <v>0</v>
      </c>
      <c r="DM27" s="72">
        <v>0</v>
      </c>
      <c r="DN27" s="73">
        <f>SUM(DH27:DM27)</f>
        <v>0</v>
      </c>
      <c r="DO27" s="143">
        <v>0</v>
      </c>
      <c r="DP27" s="111"/>
      <c r="DQ27" s="146"/>
      <c r="DR27" s="56" t="s">
        <v>16</v>
      </c>
      <c r="DS27" s="57" t="s">
        <v>13</v>
      </c>
      <c r="DT27" s="70">
        <v>0</v>
      </c>
      <c r="DU27" s="71">
        <v>0</v>
      </c>
      <c r="DV27" s="71">
        <v>0</v>
      </c>
      <c r="DW27" s="71">
        <v>0</v>
      </c>
      <c r="DX27" s="71">
        <v>0</v>
      </c>
      <c r="DY27" s="72">
        <v>0</v>
      </c>
      <c r="DZ27" s="73">
        <f>SUM(DT27:DY27)</f>
        <v>0</v>
      </c>
      <c r="EA27" s="143">
        <v>0</v>
      </c>
      <c r="EB27" s="111"/>
      <c r="EC27" s="146"/>
      <c r="ED27" s="56" t="s">
        <v>16</v>
      </c>
      <c r="EE27" s="57" t="s">
        <v>13</v>
      </c>
      <c r="EF27" s="70">
        <v>0</v>
      </c>
      <c r="EG27" s="71">
        <v>0</v>
      </c>
      <c r="EH27" s="71">
        <v>0</v>
      </c>
      <c r="EI27" s="71">
        <v>0</v>
      </c>
      <c r="EJ27" s="71">
        <v>0</v>
      </c>
      <c r="EK27" s="72">
        <v>0</v>
      </c>
      <c r="EL27" s="73">
        <f>SUM(EF27:EK27)</f>
        <v>0</v>
      </c>
      <c r="EM27" s="143">
        <v>0</v>
      </c>
      <c r="EN27" s="111"/>
      <c r="EO27" s="146"/>
      <c r="EP27" s="56" t="s">
        <v>16</v>
      </c>
      <c r="EQ27" s="57" t="s">
        <v>13</v>
      </c>
      <c r="ER27" s="80">
        <f t="shared" si="70"/>
        <v>0</v>
      </c>
      <c r="ES27" s="81">
        <f t="shared" si="70"/>
        <v>0</v>
      </c>
      <c r="ET27" s="81">
        <f t="shared" si="70"/>
        <v>0</v>
      </c>
      <c r="EU27" s="81">
        <f t="shared" si="70"/>
        <v>0</v>
      </c>
      <c r="EV27" s="81">
        <f t="shared" si="70"/>
        <v>0</v>
      </c>
      <c r="EW27" s="82">
        <f t="shared" si="70"/>
        <v>0</v>
      </c>
      <c r="EX27" s="74">
        <f>SUM(ER27:EW27)</f>
        <v>0</v>
      </c>
      <c r="EY27" s="143">
        <f>SUM(EM27)</f>
        <v>0</v>
      </c>
      <c r="EZ27" s="60"/>
    </row>
    <row r="28" spans="1:156" ht="15.95" customHeight="1" thickBot="1" x14ac:dyDescent="0.25">
      <c r="A28" s="146"/>
      <c r="B28" s="58" t="s">
        <v>14</v>
      </c>
      <c r="C28" s="59" t="s">
        <v>15</v>
      </c>
      <c r="D28" s="134">
        <v>0</v>
      </c>
      <c r="E28" s="135">
        <v>0</v>
      </c>
      <c r="F28" s="135">
        <v>0</v>
      </c>
      <c r="G28" s="135">
        <v>0</v>
      </c>
      <c r="H28" s="135">
        <v>0</v>
      </c>
      <c r="I28" s="136">
        <v>0</v>
      </c>
      <c r="J28" s="120">
        <f>SUM(D28:I28)</f>
        <v>0</v>
      </c>
      <c r="K28" s="144"/>
      <c r="L28" s="111"/>
      <c r="M28" s="146"/>
      <c r="N28" s="58" t="s">
        <v>14</v>
      </c>
      <c r="O28" s="59" t="s">
        <v>15</v>
      </c>
      <c r="P28" s="75">
        <v>0</v>
      </c>
      <c r="Q28" s="76">
        <v>0</v>
      </c>
      <c r="R28" s="76">
        <v>0</v>
      </c>
      <c r="S28" s="76">
        <v>0</v>
      </c>
      <c r="T28" s="76">
        <v>0</v>
      </c>
      <c r="U28" s="77">
        <v>0</v>
      </c>
      <c r="V28" s="78">
        <f>SUM(P28:U28)</f>
        <v>0</v>
      </c>
      <c r="W28" s="144"/>
      <c r="X28" s="111"/>
      <c r="Y28" s="146"/>
      <c r="Z28" s="58" t="s">
        <v>14</v>
      </c>
      <c r="AA28" s="59" t="s">
        <v>15</v>
      </c>
      <c r="AB28" s="75">
        <v>0</v>
      </c>
      <c r="AC28" s="76">
        <v>0</v>
      </c>
      <c r="AD28" s="76">
        <v>0</v>
      </c>
      <c r="AE28" s="76">
        <v>0</v>
      </c>
      <c r="AF28" s="76">
        <v>0</v>
      </c>
      <c r="AG28" s="77">
        <v>0</v>
      </c>
      <c r="AH28" s="78">
        <f>SUM(AB28:AG28)</f>
        <v>0</v>
      </c>
      <c r="AI28" s="144"/>
      <c r="AJ28" s="111"/>
      <c r="AK28" s="146"/>
      <c r="AL28" s="58" t="s">
        <v>14</v>
      </c>
      <c r="AM28" s="59" t="s">
        <v>15</v>
      </c>
      <c r="AN28" s="75">
        <v>0</v>
      </c>
      <c r="AO28" s="76">
        <v>0</v>
      </c>
      <c r="AP28" s="76">
        <v>0</v>
      </c>
      <c r="AQ28" s="76">
        <v>0</v>
      </c>
      <c r="AR28" s="76">
        <v>0</v>
      </c>
      <c r="AS28" s="77">
        <v>0</v>
      </c>
      <c r="AT28" s="78">
        <f>SUM(AN28:AS28)</f>
        <v>0</v>
      </c>
      <c r="AU28" s="144"/>
      <c r="AV28" s="111"/>
      <c r="AW28" s="146"/>
      <c r="AX28" s="58" t="s">
        <v>14</v>
      </c>
      <c r="AY28" s="59" t="s">
        <v>15</v>
      </c>
      <c r="AZ28" s="75">
        <v>0</v>
      </c>
      <c r="BA28" s="76">
        <v>0</v>
      </c>
      <c r="BB28" s="76">
        <v>0</v>
      </c>
      <c r="BC28" s="76">
        <v>0</v>
      </c>
      <c r="BD28" s="76">
        <v>0</v>
      </c>
      <c r="BE28" s="77">
        <v>0</v>
      </c>
      <c r="BF28" s="78">
        <f>SUM(AZ28:BE28)</f>
        <v>0</v>
      </c>
      <c r="BG28" s="144"/>
      <c r="BH28" s="111"/>
      <c r="BI28" s="146"/>
      <c r="BJ28" s="58" t="s">
        <v>14</v>
      </c>
      <c r="BK28" s="59" t="s">
        <v>15</v>
      </c>
      <c r="BL28" s="75">
        <v>0</v>
      </c>
      <c r="BM28" s="76">
        <v>0</v>
      </c>
      <c r="BN28" s="76">
        <v>0</v>
      </c>
      <c r="BO28" s="76">
        <v>0</v>
      </c>
      <c r="BP28" s="76">
        <v>0</v>
      </c>
      <c r="BQ28" s="77">
        <v>0</v>
      </c>
      <c r="BR28" s="78">
        <f>SUM(BL28:BQ28)</f>
        <v>0</v>
      </c>
      <c r="BS28" s="144"/>
      <c r="BT28" s="111"/>
      <c r="BU28" s="146"/>
      <c r="BV28" s="58" t="s">
        <v>14</v>
      </c>
      <c r="BW28" s="59" t="s">
        <v>15</v>
      </c>
      <c r="BX28" s="75">
        <v>0</v>
      </c>
      <c r="BY28" s="76">
        <v>0</v>
      </c>
      <c r="BZ28" s="76">
        <v>0</v>
      </c>
      <c r="CA28" s="76">
        <v>0</v>
      </c>
      <c r="CB28" s="76">
        <v>0</v>
      </c>
      <c r="CC28" s="77">
        <v>0</v>
      </c>
      <c r="CD28" s="78">
        <f>SUM(BX28:CC28)</f>
        <v>0</v>
      </c>
      <c r="CE28" s="144"/>
      <c r="CF28" s="111"/>
      <c r="CG28" s="146"/>
      <c r="CH28" s="58" t="s">
        <v>14</v>
      </c>
      <c r="CI28" s="59" t="s">
        <v>15</v>
      </c>
      <c r="CJ28" s="75">
        <v>0</v>
      </c>
      <c r="CK28" s="76">
        <v>0</v>
      </c>
      <c r="CL28" s="76">
        <v>0</v>
      </c>
      <c r="CM28" s="76">
        <v>0</v>
      </c>
      <c r="CN28" s="76">
        <v>0</v>
      </c>
      <c r="CO28" s="77">
        <v>0</v>
      </c>
      <c r="CP28" s="78">
        <f>SUM(CJ28:CO28)</f>
        <v>0</v>
      </c>
      <c r="CQ28" s="144"/>
      <c r="CR28" s="111"/>
      <c r="CS28" s="146"/>
      <c r="CT28" s="58" t="s">
        <v>14</v>
      </c>
      <c r="CU28" s="59" t="s">
        <v>15</v>
      </c>
      <c r="CV28" s="75">
        <v>0</v>
      </c>
      <c r="CW28" s="76">
        <v>0</v>
      </c>
      <c r="CX28" s="76">
        <v>0</v>
      </c>
      <c r="CY28" s="76">
        <v>0</v>
      </c>
      <c r="CZ28" s="76">
        <v>0</v>
      </c>
      <c r="DA28" s="77">
        <v>0</v>
      </c>
      <c r="DB28" s="78">
        <f>SUM(CV28:DA28)</f>
        <v>0</v>
      </c>
      <c r="DC28" s="144"/>
      <c r="DD28" s="111"/>
      <c r="DE28" s="146"/>
      <c r="DF28" s="58" t="s">
        <v>14</v>
      </c>
      <c r="DG28" s="59" t="s">
        <v>15</v>
      </c>
      <c r="DH28" s="75">
        <v>0</v>
      </c>
      <c r="DI28" s="76">
        <v>0</v>
      </c>
      <c r="DJ28" s="76">
        <v>0</v>
      </c>
      <c r="DK28" s="76">
        <v>0</v>
      </c>
      <c r="DL28" s="76">
        <v>0</v>
      </c>
      <c r="DM28" s="77">
        <v>0</v>
      </c>
      <c r="DN28" s="78">
        <f>SUM(DH28:DM28)</f>
        <v>0</v>
      </c>
      <c r="DO28" s="144"/>
      <c r="DP28" s="111"/>
      <c r="DQ28" s="146"/>
      <c r="DR28" s="58" t="s">
        <v>14</v>
      </c>
      <c r="DS28" s="59" t="s">
        <v>15</v>
      </c>
      <c r="DT28" s="75">
        <v>0</v>
      </c>
      <c r="DU28" s="76">
        <v>0</v>
      </c>
      <c r="DV28" s="76">
        <v>0</v>
      </c>
      <c r="DW28" s="76">
        <v>0</v>
      </c>
      <c r="DX28" s="76">
        <v>0</v>
      </c>
      <c r="DY28" s="77">
        <v>0</v>
      </c>
      <c r="DZ28" s="78">
        <f>SUM(DT28:DY28)</f>
        <v>0</v>
      </c>
      <c r="EA28" s="144"/>
      <c r="EB28" s="111"/>
      <c r="EC28" s="146"/>
      <c r="ED28" s="58" t="s">
        <v>14</v>
      </c>
      <c r="EE28" s="59" t="s">
        <v>15</v>
      </c>
      <c r="EF28" s="75">
        <v>0</v>
      </c>
      <c r="EG28" s="76">
        <v>0</v>
      </c>
      <c r="EH28" s="76">
        <v>0</v>
      </c>
      <c r="EI28" s="76">
        <v>0</v>
      </c>
      <c r="EJ28" s="76">
        <v>0</v>
      </c>
      <c r="EK28" s="77">
        <v>0</v>
      </c>
      <c r="EL28" s="78">
        <f>SUM(EF28:EK28)</f>
        <v>0</v>
      </c>
      <c r="EM28" s="144"/>
      <c r="EN28" s="111"/>
      <c r="EO28" s="146"/>
      <c r="EP28" s="58" t="s">
        <v>14</v>
      </c>
      <c r="EQ28" s="59" t="s">
        <v>15</v>
      </c>
      <c r="ER28" s="75">
        <f t="shared" si="70"/>
        <v>0</v>
      </c>
      <c r="ES28" s="76">
        <f t="shared" si="70"/>
        <v>0</v>
      </c>
      <c r="ET28" s="76">
        <f t="shared" si="70"/>
        <v>0</v>
      </c>
      <c r="EU28" s="76">
        <f t="shared" si="70"/>
        <v>0</v>
      </c>
      <c r="EV28" s="76">
        <f t="shared" si="70"/>
        <v>0</v>
      </c>
      <c r="EW28" s="77">
        <f t="shared" si="70"/>
        <v>0</v>
      </c>
      <c r="EX28" s="79">
        <f>SUM(ER28:EW28)</f>
        <v>0</v>
      </c>
      <c r="EY28" s="144"/>
      <c r="EZ28" s="60"/>
    </row>
    <row r="29" spans="1:156" ht="15.95" customHeight="1" thickBot="1" x14ac:dyDescent="0.25">
      <c r="A29" s="147"/>
      <c r="B29" s="150" t="s">
        <v>17</v>
      </c>
      <c r="C29" s="151"/>
      <c r="D29" s="124">
        <f t="shared" ref="D29:K29" si="71">SUM(D25:D28)</f>
        <v>0</v>
      </c>
      <c r="E29" s="125">
        <f t="shared" si="71"/>
        <v>0</v>
      </c>
      <c r="F29" s="125">
        <f t="shared" si="71"/>
        <v>0</v>
      </c>
      <c r="G29" s="125">
        <f t="shared" si="71"/>
        <v>0</v>
      </c>
      <c r="H29" s="125">
        <f t="shared" si="71"/>
        <v>0</v>
      </c>
      <c r="I29" s="126">
        <f t="shared" si="71"/>
        <v>0</v>
      </c>
      <c r="J29" s="127">
        <f t="shared" si="71"/>
        <v>0</v>
      </c>
      <c r="K29" s="86">
        <f t="shared" si="71"/>
        <v>0</v>
      </c>
      <c r="L29" s="111"/>
      <c r="M29" s="147"/>
      <c r="N29" s="150" t="s">
        <v>17</v>
      </c>
      <c r="O29" s="151"/>
      <c r="P29" s="83">
        <f t="shared" ref="P29:W29" si="72">SUM(P25:P28)</f>
        <v>0</v>
      </c>
      <c r="Q29" s="84">
        <f t="shared" si="72"/>
        <v>0</v>
      </c>
      <c r="R29" s="84">
        <f t="shared" si="72"/>
        <v>0</v>
      </c>
      <c r="S29" s="84">
        <f t="shared" si="72"/>
        <v>0</v>
      </c>
      <c r="T29" s="84">
        <f t="shared" si="72"/>
        <v>0</v>
      </c>
      <c r="U29" s="85">
        <f t="shared" si="72"/>
        <v>0</v>
      </c>
      <c r="V29" s="1">
        <f t="shared" si="72"/>
        <v>0</v>
      </c>
      <c r="W29" s="86">
        <f t="shared" si="72"/>
        <v>0</v>
      </c>
      <c r="X29" s="111"/>
      <c r="Y29" s="147"/>
      <c r="Z29" s="150" t="s">
        <v>17</v>
      </c>
      <c r="AA29" s="151"/>
      <c r="AB29" s="83">
        <f t="shared" ref="AB29:AG29" si="73">SUM(AB25:AB28)</f>
        <v>0</v>
      </c>
      <c r="AC29" s="84">
        <f t="shared" si="73"/>
        <v>0</v>
      </c>
      <c r="AD29" s="84">
        <f t="shared" si="73"/>
        <v>0</v>
      </c>
      <c r="AE29" s="84">
        <f t="shared" si="73"/>
        <v>0</v>
      </c>
      <c r="AF29" s="84">
        <f t="shared" si="73"/>
        <v>0</v>
      </c>
      <c r="AG29" s="85">
        <f t="shared" si="73"/>
        <v>0</v>
      </c>
      <c r="AH29" s="1">
        <f t="shared" ref="AH29:AI29" si="74">SUM(AH25:AH28)</f>
        <v>0</v>
      </c>
      <c r="AI29" s="86">
        <f t="shared" si="74"/>
        <v>0</v>
      </c>
      <c r="AJ29" s="111"/>
      <c r="AK29" s="147"/>
      <c r="AL29" s="150" t="s">
        <v>17</v>
      </c>
      <c r="AM29" s="151"/>
      <c r="AN29" s="83">
        <f t="shared" ref="AN29:AU29" si="75">SUM(AN25:AN28)</f>
        <v>0</v>
      </c>
      <c r="AO29" s="84">
        <f t="shared" si="75"/>
        <v>0</v>
      </c>
      <c r="AP29" s="84">
        <f t="shared" si="75"/>
        <v>0</v>
      </c>
      <c r="AQ29" s="84">
        <f t="shared" si="75"/>
        <v>0</v>
      </c>
      <c r="AR29" s="84">
        <f t="shared" si="75"/>
        <v>0</v>
      </c>
      <c r="AS29" s="85">
        <f t="shared" si="75"/>
        <v>0</v>
      </c>
      <c r="AT29" s="1">
        <f t="shared" si="75"/>
        <v>0</v>
      </c>
      <c r="AU29" s="86">
        <f t="shared" si="75"/>
        <v>0</v>
      </c>
      <c r="AV29" s="111"/>
      <c r="AW29" s="147"/>
      <c r="AX29" s="150" t="s">
        <v>17</v>
      </c>
      <c r="AY29" s="151"/>
      <c r="AZ29" s="83">
        <f t="shared" ref="AZ29:BE29" si="76">SUM(AZ25:AZ28)</f>
        <v>0</v>
      </c>
      <c r="BA29" s="84">
        <f t="shared" si="76"/>
        <v>0</v>
      </c>
      <c r="BB29" s="84">
        <f t="shared" si="76"/>
        <v>0</v>
      </c>
      <c r="BC29" s="84">
        <f t="shared" si="76"/>
        <v>0</v>
      </c>
      <c r="BD29" s="84">
        <f t="shared" si="76"/>
        <v>0</v>
      </c>
      <c r="BE29" s="85">
        <f t="shared" si="76"/>
        <v>0</v>
      </c>
      <c r="BF29" s="1">
        <f t="shared" ref="BF29:BG29" si="77">SUM(BF25:BF28)</f>
        <v>0</v>
      </c>
      <c r="BG29" s="86">
        <f t="shared" si="77"/>
        <v>0</v>
      </c>
      <c r="BH29" s="111"/>
      <c r="BI29" s="147"/>
      <c r="BJ29" s="150" t="s">
        <v>17</v>
      </c>
      <c r="BK29" s="151"/>
      <c r="BL29" s="83">
        <f t="shared" ref="BL29:BQ29" si="78">SUM(BL25:BL28)</f>
        <v>0</v>
      </c>
      <c r="BM29" s="84">
        <f t="shared" si="78"/>
        <v>0</v>
      </c>
      <c r="BN29" s="84">
        <f t="shared" si="78"/>
        <v>0</v>
      </c>
      <c r="BO29" s="84">
        <f t="shared" si="78"/>
        <v>0</v>
      </c>
      <c r="BP29" s="84">
        <f t="shared" si="78"/>
        <v>0</v>
      </c>
      <c r="BQ29" s="85">
        <f t="shared" si="78"/>
        <v>0</v>
      </c>
      <c r="BR29" s="1">
        <f t="shared" ref="BR29:BS29" si="79">SUM(BR25:BR28)</f>
        <v>0</v>
      </c>
      <c r="BS29" s="86">
        <f t="shared" si="79"/>
        <v>0</v>
      </c>
      <c r="BT29" s="111"/>
      <c r="BU29" s="147"/>
      <c r="BV29" s="150" t="s">
        <v>17</v>
      </c>
      <c r="BW29" s="151"/>
      <c r="BX29" s="83">
        <f t="shared" ref="BX29:CE29" si="80">SUM(BX25:BX28)</f>
        <v>0</v>
      </c>
      <c r="BY29" s="84">
        <f t="shared" si="80"/>
        <v>0</v>
      </c>
      <c r="BZ29" s="84">
        <f t="shared" si="80"/>
        <v>0</v>
      </c>
      <c r="CA29" s="84">
        <f t="shared" si="80"/>
        <v>0</v>
      </c>
      <c r="CB29" s="84">
        <f t="shared" si="80"/>
        <v>0</v>
      </c>
      <c r="CC29" s="85">
        <f t="shared" si="80"/>
        <v>0</v>
      </c>
      <c r="CD29" s="1">
        <f t="shared" si="80"/>
        <v>0</v>
      </c>
      <c r="CE29" s="86">
        <f t="shared" si="80"/>
        <v>0</v>
      </c>
      <c r="CF29" s="111"/>
      <c r="CG29" s="147"/>
      <c r="CH29" s="150" t="s">
        <v>17</v>
      </c>
      <c r="CI29" s="151"/>
      <c r="CJ29" s="83">
        <f t="shared" ref="CJ29:CQ29" si="81">SUM(CJ25:CJ28)</f>
        <v>0</v>
      </c>
      <c r="CK29" s="84">
        <f t="shared" si="81"/>
        <v>0</v>
      </c>
      <c r="CL29" s="84">
        <f t="shared" si="81"/>
        <v>0</v>
      </c>
      <c r="CM29" s="84">
        <f t="shared" si="81"/>
        <v>0</v>
      </c>
      <c r="CN29" s="84">
        <f t="shared" si="81"/>
        <v>0</v>
      </c>
      <c r="CO29" s="85">
        <f t="shared" si="81"/>
        <v>0</v>
      </c>
      <c r="CP29" s="1">
        <f t="shared" si="81"/>
        <v>0</v>
      </c>
      <c r="CQ29" s="86">
        <f t="shared" si="81"/>
        <v>0</v>
      </c>
      <c r="CR29" s="111"/>
      <c r="CS29" s="147"/>
      <c r="CT29" s="150" t="s">
        <v>17</v>
      </c>
      <c r="CU29" s="151"/>
      <c r="CV29" s="83">
        <f t="shared" ref="CV29:DC29" si="82">SUM(CV25:CV28)</f>
        <v>0</v>
      </c>
      <c r="CW29" s="84">
        <f t="shared" si="82"/>
        <v>0</v>
      </c>
      <c r="CX29" s="84">
        <f t="shared" si="82"/>
        <v>0</v>
      </c>
      <c r="CY29" s="84">
        <f t="shared" si="82"/>
        <v>0</v>
      </c>
      <c r="CZ29" s="84">
        <f t="shared" si="82"/>
        <v>0</v>
      </c>
      <c r="DA29" s="85">
        <f t="shared" si="82"/>
        <v>0</v>
      </c>
      <c r="DB29" s="1">
        <f t="shared" si="82"/>
        <v>0</v>
      </c>
      <c r="DC29" s="86">
        <f t="shared" si="82"/>
        <v>0</v>
      </c>
      <c r="DD29" s="111"/>
      <c r="DE29" s="147"/>
      <c r="DF29" s="150" t="s">
        <v>17</v>
      </c>
      <c r="DG29" s="151"/>
      <c r="DH29" s="83">
        <f t="shared" ref="DH29:DO29" si="83">SUM(DH25:DH28)</f>
        <v>0</v>
      </c>
      <c r="DI29" s="84">
        <f t="shared" si="83"/>
        <v>0</v>
      </c>
      <c r="DJ29" s="84">
        <f t="shared" si="83"/>
        <v>0</v>
      </c>
      <c r="DK29" s="84">
        <f t="shared" si="83"/>
        <v>0</v>
      </c>
      <c r="DL29" s="84">
        <f t="shared" si="83"/>
        <v>0</v>
      </c>
      <c r="DM29" s="85">
        <f t="shared" si="83"/>
        <v>0</v>
      </c>
      <c r="DN29" s="1">
        <f t="shared" si="83"/>
        <v>0</v>
      </c>
      <c r="DO29" s="86">
        <f t="shared" si="83"/>
        <v>0</v>
      </c>
      <c r="DP29" s="111"/>
      <c r="DQ29" s="147"/>
      <c r="DR29" s="150" t="s">
        <v>17</v>
      </c>
      <c r="DS29" s="151"/>
      <c r="DT29" s="83">
        <f t="shared" ref="DT29:EA29" si="84">SUM(DT25:DT28)</f>
        <v>0</v>
      </c>
      <c r="DU29" s="84">
        <f t="shared" si="84"/>
        <v>0</v>
      </c>
      <c r="DV29" s="84">
        <f t="shared" si="84"/>
        <v>0</v>
      </c>
      <c r="DW29" s="84">
        <f t="shared" si="84"/>
        <v>0</v>
      </c>
      <c r="DX29" s="84">
        <f t="shared" si="84"/>
        <v>0</v>
      </c>
      <c r="DY29" s="85">
        <f t="shared" si="84"/>
        <v>0</v>
      </c>
      <c r="DZ29" s="1">
        <f t="shared" si="84"/>
        <v>0</v>
      </c>
      <c r="EA29" s="86">
        <f t="shared" si="84"/>
        <v>0</v>
      </c>
      <c r="EB29" s="111"/>
      <c r="EC29" s="147"/>
      <c r="ED29" s="150" t="s">
        <v>17</v>
      </c>
      <c r="EE29" s="151"/>
      <c r="EF29" s="83">
        <f t="shared" ref="EF29:EM29" si="85">SUM(EF25:EF28)</f>
        <v>0</v>
      </c>
      <c r="EG29" s="84">
        <f t="shared" si="85"/>
        <v>0</v>
      </c>
      <c r="EH29" s="84">
        <f t="shared" si="85"/>
        <v>0</v>
      </c>
      <c r="EI29" s="84">
        <f t="shared" si="85"/>
        <v>0</v>
      </c>
      <c r="EJ29" s="84">
        <f t="shared" si="85"/>
        <v>0</v>
      </c>
      <c r="EK29" s="85">
        <f t="shared" si="85"/>
        <v>0</v>
      </c>
      <c r="EL29" s="1">
        <f t="shared" si="85"/>
        <v>0</v>
      </c>
      <c r="EM29" s="86">
        <f t="shared" si="85"/>
        <v>0</v>
      </c>
      <c r="EN29" s="111"/>
      <c r="EO29" s="147"/>
      <c r="EP29" s="107" t="s">
        <v>17</v>
      </c>
      <c r="EQ29" s="108"/>
      <c r="ER29" s="83">
        <f t="shared" ref="ER29:EY29" si="86">SUM(ER25:ER28)</f>
        <v>0</v>
      </c>
      <c r="ES29" s="84">
        <f t="shared" si="86"/>
        <v>0</v>
      </c>
      <c r="ET29" s="84">
        <f t="shared" si="86"/>
        <v>0</v>
      </c>
      <c r="EU29" s="84">
        <f t="shared" si="86"/>
        <v>0</v>
      </c>
      <c r="EV29" s="84">
        <f t="shared" si="86"/>
        <v>0</v>
      </c>
      <c r="EW29" s="85">
        <f t="shared" si="86"/>
        <v>0</v>
      </c>
      <c r="EX29" s="1">
        <f t="shared" si="86"/>
        <v>0</v>
      </c>
      <c r="EY29" s="86">
        <f t="shared" si="86"/>
        <v>0</v>
      </c>
      <c r="EZ29" s="60"/>
    </row>
    <row r="30" spans="1:156" ht="15.95" customHeight="1" thickTop="1" thickBot="1" x14ac:dyDescent="0.25">
      <c r="A30" s="145" t="s">
        <v>28</v>
      </c>
      <c r="B30" s="152" t="s">
        <v>14</v>
      </c>
      <c r="C30" s="53" t="s">
        <v>13</v>
      </c>
      <c r="D30" s="113">
        <v>755</v>
      </c>
      <c r="E30" s="114">
        <v>4728</v>
      </c>
      <c r="F30" s="114">
        <v>7927</v>
      </c>
      <c r="G30" s="114">
        <v>9930</v>
      </c>
      <c r="H30" s="114">
        <v>2329</v>
      </c>
      <c r="I30" s="115">
        <v>889</v>
      </c>
      <c r="J30" s="116">
        <f>SUM(D30:I30)</f>
        <v>26558</v>
      </c>
      <c r="K30" s="143">
        <v>7276</v>
      </c>
      <c r="L30" s="111"/>
      <c r="M30" s="145" t="s">
        <v>28</v>
      </c>
      <c r="N30" s="152" t="s">
        <v>14</v>
      </c>
      <c r="O30" s="53" t="s">
        <v>13</v>
      </c>
      <c r="P30" s="113">
        <v>755</v>
      </c>
      <c r="Q30" s="114">
        <v>4728</v>
      </c>
      <c r="R30" s="114">
        <v>7927</v>
      </c>
      <c r="S30" s="114">
        <v>9930</v>
      </c>
      <c r="T30" s="114">
        <v>2329</v>
      </c>
      <c r="U30" s="115">
        <v>889</v>
      </c>
      <c r="V30" s="73">
        <f>SUM(P30:U30)</f>
        <v>26558</v>
      </c>
      <c r="W30" s="143">
        <v>7276</v>
      </c>
      <c r="X30" s="111"/>
      <c r="Y30" s="145" t="s">
        <v>28</v>
      </c>
      <c r="Z30" s="152" t="s">
        <v>14</v>
      </c>
      <c r="AA30" s="53" t="s">
        <v>13</v>
      </c>
      <c r="AB30" s="113">
        <v>755</v>
      </c>
      <c r="AC30" s="114">
        <v>4728</v>
      </c>
      <c r="AD30" s="114">
        <v>7927</v>
      </c>
      <c r="AE30" s="114">
        <v>9930</v>
      </c>
      <c r="AF30" s="114">
        <v>2329</v>
      </c>
      <c r="AG30" s="115">
        <v>889</v>
      </c>
      <c r="AH30" s="73">
        <f>SUM(AB30:AG30)</f>
        <v>26558</v>
      </c>
      <c r="AI30" s="143">
        <v>7276</v>
      </c>
      <c r="AJ30" s="111"/>
      <c r="AK30" s="145" t="s">
        <v>28</v>
      </c>
      <c r="AL30" s="152" t="s">
        <v>14</v>
      </c>
      <c r="AM30" s="53" t="s">
        <v>13</v>
      </c>
      <c r="AN30" s="113">
        <v>755</v>
      </c>
      <c r="AO30" s="114">
        <v>4728</v>
      </c>
      <c r="AP30" s="114">
        <v>7927</v>
      </c>
      <c r="AQ30" s="114">
        <v>9930</v>
      </c>
      <c r="AR30" s="114">
        <v>2329</v>
      </c>
      <c r="AS30" s="115">
        <v>889</v>
      </c>
      <c r="AT30" s="73">
        <f>SUM(AN30:AS30)</f>
        <v>26558</v>
      </c>
      <c r="AU30" s="143">
        <v>7276</v>
      </c>
      <c r="AV30" s="111"/>
      <c r="AW30" s="145" t="s">
        <v>28</v>
      </c>
      <c r="AX30" s="152" t="s">
        <v>14</v>
      </c>
      <c r="AY30" s="53" t="s">
        <v>13</v>
      </c>
      <c r="AZ30" s="113">
        <v>755</v>
      </c>
      <c r="BA30" s="114">
        <v>4728</v>
      </c>
      <c r="BB30" s="114">
        <v>7927</v>
      </c>
      <c r="BC30" s="114">
        <v>9930</v>
      </c>
      <c r="BD30" s="114">
        <v>2329</v>
      </c>
      <c r="BE30" s="115">
        <v>889</v>
      </c>
      <c r="BF30" s="73">
        <f>SUM(AZ30:BE30)</f>
        <v>26558</v>
      </c>
      <c r="BG30" s="143">
        <v>7276</v>
      </c>
      <c r="BH30" s="111"/>
      <c r="BI30" s="145" t="s">
        <v>28</v>
      </c>
      <c r="BJ30" s="152" t="s">
        <v>14</v>
      </c>
      <c r="BK30" s="53" t="s">
        <v>13</v>
      </c>
      <c r="BL30" s="113">
        <v>755</v>
      </c>
      <c r="BM30" s="114">
        <v>4728</v>
      </c>
      <c r="BN30" s="114">
        <v>7927</v>
      </c>
      <c r="BO30" s="114">
        <v>9930</v>
      </c>
      <c r="BP30" s="114">
        <v>2329</v>
      </c>
      <c r="BQ30" s="115">
        <v>889</v>
      </c>
      <c r="BR30" s="73">
        <f>SUM(BL30:BQ30)</f>
        <v>26558</v>
      </c>
      <c r="BS30" s="143">
        <v>7276</v>
      </c>
      <c r="BT30" s="111"/>
      <c r="BU30" s="145" t="s">
        <v>28</v>
      </c>
      <c r="BV30" s="152" t="s">
        <v>14</v>
      </c>
      <c r="BW30" s="53" t="s">
        <v>13</v>
      </c>
      <c r="BX30" s="113">
        <v>755</v>
      </c>
      <c r="BY30" s="114">
        <v>4728</v>
      </c>
      <c r="BZ30" s="114">
        <v>7927</v>
      </c>
      <c r="CA30" s="114">
        <v>9930</v>
      </c>
      <c r="CB30" s="114">
        <v>2329</v>
      </c>
      <c r="CC30" s="115">
        <v>889</v>
      </c>
      <c r="CD30" s="73">
        <f>SUM(BX30:CC30)</f>
        <v>26558</v>
      </c>
      <c r="CE30" s="143">
        <v>7276</v>
      </c>
      <c r="CF30" s="111"/>
      <c r="CG30" s="145" t="s">
        <v>28</v>
      </c>
      <c r="CH30" s="152" t="s">
        <v>14</v>
      </c>
      <c r="CI30" s="53" t="s">
        <v>13</v>
      </c>
      <c r="CJ30" s="113">
        <v>755</v>
      </c>
      <c r="CK30" s="114">
        <v>4728</v>
      </c>
      <c r="CL30" s="114">
        <v>7927</v>
      </c>
      <c r="CM30" s="114">
        <v>9930</v>
      </c>
      <c r="CN30" s="114">
        <v>2329</v>
      </c>
      <c r="CO30" s="115">
        <v>889</v>
      </c>
      <c r="CP30" s="73">
        <f>SUM(CJ30:CO30)</f>
        <v>26558</v>
      </c>
      <c r="CQ30" s="143">
        <v>7276</v>
      </c>
      <c r="CR30" s="111"/>
      <c r="CS30" s="145" t="s">
        <v>28</v>
      </c>
      <c r="CT30" s="152" t="s">
        <v>14</v>
      </c>
      <c r="CU30" s="53" t="s">
        <v>13</v>
      </c>
      <c r="CV30" s="113">
        <v>755</v>
      </c>
      <c r="CW30" s="114">
        <v>4728</v>
      </c>
      <c r="CX30" s="114">
        <v>7927</v>
      </c>
      <c r="CY30" s="114">
        <v>9930</v>
      </c>
      <c r="CZ30" s="114">
        <v>2329</v>
      </c>
      <c r="DA30" s="115">
        <v>889</v>
      </c>
      <c r="DB30" s="73">
        <f>SUM(CV30:DA30)</f>
        <v>26558</v>
      </c>
      <c r="DC30" s="143">
        <v>7276</v>
      </c>
      <c r="DD30" s="111"/>
      <c r="DE30" s="145" t="s">
        <v>28</v>
      </c>
      <c r="DF30" s="152" t="s">
        <v>14</v>
      </c>
      <c r="DG30" s="53" t="s">
        <v>13</v>
      </c>
      <c r="DH30" s="70">
        <v>0</v>
      </c>
      <c r="DI30" s="71">
        <v>0</v>
      </c>
      <c r="DJ30" s="71">
        <v>0</v>
      </c>
      <c r="DK30" s="71">
        <v>0</v>
      </c>
      <c r="DL30" s="71">
        <v>0</v>
      </c>
      <c r="DM30" s="72">
        <v>0</v>
      </c>
      <c r="DN30" s="73">
        <f>SUM(DH30:DM30)</f>
        <v>0</v>
      </c>
      <c r="DO30" s="143">
        <v>0</v>
      </c>
      <c r="DP30" s="111"/>
      <c r="DQ30" s="145" t="s">
        <v>28</v>
      </c>
      <c r="DR30" s="152" t="s">
        <v>14</v>
      </c>
      <c r="DS30" s="53" t="s">
        <v>13</v>
      </c>
      <c r="DT30" s="70">
        <v>0</v>
      </c>
      <c r="DU30" s="71">
        <v>0</v>
      </c>
      <c r="DV30" s="71">
        <v>0</v>
      </c>
      <c r="DW30" s="71">
        <v>0</v>
      </c>
      <c r="DX30" s="71">
        <v>0</v>
      </c>
      <c r="DY30" s="72">
        <v>0</v>
      </c>
      <c r="DZ30" s="73">
        <f>SUM(DT30:DY30)</f>
        <v>0</v>
      </c>
      <c r="EA30" s="143">
        <v>0</v>
      </c>
      <c r="EB30" s="111"/>
      <c r="EC30" s="145" t="s">
        <v>28</v>
      </c>
      <c r="ED30" s="152" t="s">
        <v>14</v>
      </c>
      <c r="EE30" s="53" t="s">
        <v>13</v>
      </c>
      <c r="EF30" s="70">
        <v>0</v>
      </c>
      <c r="EG30" s="71">
        <v>0</v>
      </c>
      <c r="EH30" s="71">
        <v>0</v>
      </c>
      <c r="EI30" s="71">
        <v>0</v>
      </c>
      <c r="EJ30" s="71">
        <v>0</v>
      </c>
      <c r="EK30" s="72">
        <v>0</v>
      </c>
      <c r="EL30" s="73">
        <f>SUM(EF30:EK30)</f>
        <v>0</v>
      </c>
      <c r="EM30" s="143">
        <v>0</v>
      </c>
      <c r="EN30" s="111"/>
      <c r="EO30" s="145" t="str">
        <f t="shared" ref="EO30" si="87">EC30</f>
        <v>قويزة</v>
      </c>
      <c r="EP30" s="105" t="s">
        <v>14</v>
      </c>
      <c r="EQ30" s="53" t="s">
        <v>13</v>
      </c>
      <c r="ER30" s="70">
        <f t="shared" ref="ER30:EW33" si="88">SUM(EF30)</f>
        <v>0</v>
      </c>
      <c r="ES30" s="71">
        <f t="shared" si="88"/>
        <v>0</v>
      </c>
      <c r="ET30" s="71">
        <f t="shared" si="88"/>
        <v>0</v>
      </c>
      <c r="EU30" s="71">
        <f t="shared" si="88"/>
        <v>0</v>
      </c>
      <c r="EV30" s="71">
        <f t="shared" si="88"/>
        <v>0</v>
      </c>
      <c r="EW30" s="72">
        <f t="shared" si="88"/>
        <v>0</v>
      </c>
      <c r="EX30" s="74">
        <f>SUM(ER30:EW30)</f>
        <v>0</v>
      </c>
      <c r="EY30" s="143">
        <f>SUM(EM30)</f>
        <v>0</v>
      </c>
      <c r="EZ30" s="60"/>
    </row>
    <row r="31" spans="1:156" ht="15.95" customHeight="1" thickBot="1" x14ac:dyDescent="0.25">
      <c r="A31" s="146"/>
      <c r="B31" s="153"/>
      <c r="C31" s="55" t="s">
        <v>15</v>
      </c>
      <c r="D31" s="117">
        <v>613</v>
      </c>
      <c r="E31" s="118">
        <v>4656</v>
      </c>
      <c r="F31" s="118">
        <v>6603</v>
      </c>
      <c r="G31" s="118">
        <v>11493</v>
      </c>
      <c r="H31" s="118">
        <v>1956</v>
      </c>
      <c r="I31" s="119">
        <v>566</v>
      </c>
      <c r="J31" s="120">
        <f>SUM(D31:I31)</f>
        <v>25887</v>
      </c>
      <c r="K31" s="144"/>
      <c r="L31" s="111"/>
      <c r="M31" s="146"/>
      <c r="N31" s="153"/>
      <c r="O31" s="55" t="s">
        <v>15</v>
      </c>
      <c r="P31" s="117">
        <v>613</v>
      </c>
      <c r="Q31" s="118">
        <v>4656</v>
      </c>
      <c r="R31" s="118">
        <v>6603</v>
      </c>
      <c r="S31" s="118">
        <v>11493</v>
      </c>
      <c r="T31" s="118">
        <v>1956</v>
      </c>
      <c r="U31" s="119">
        <v>566</v>
      </c>
      <c r="V31" s="78">
        <f>SUM(P31:U31)</f>
        <v>25887</v>
      </c>
      <c r="W31" s="144"/>
      <c r="X31" s="111"/>
      <c r="Y31" s="146"/>
      <c r="Z31" s="153"/>
      <c r="AA31" s="55" t="s">
        <v>15</v>
      </c>
      <c r="AB31" s="117">
        <v>613</v>
      </c>
      <c r="AC31" s="118">
        <v>4656</v>
      </c>
      <c r="AD31" s="118">
        <v>6603</v>
      </c>
      <c r="AE31" s="118">
        <v>11493</v>
      </c>
      <c r="AF31" s="118">
        <v>1956</v>
      </c>
      <c r="AG31" s="119">
        <v>566</v>
      </c>
      <c r="AH31" s="78">
        <f>SUM(AB31:AG31)</f>
        <v>25887</v>
      </c>
      <c r="AI31" s="144"/>
      <c r="AJ31" s="111"/>
      <c r="AK31" s="146"/>
      <c r="AL31" s="153"/>
      <c r="AM31" s="55" t="s">
        <v>15</v>
      </c>
      <c r="AN31" s="117">
        <v>613</v>
      </c>
      <c r="AO31" s="118">
        <v>4656</v>
      </c>
      <c r="AP31" s="118">
        <v>6603</v>
      </c>
      <c r="AQ31" s="118">
        <v>11493</v>
      </c>
      <c r="AR31" s="118">
        <v>1956</v>
      </c>
      <c r="AS31" s="119">
        <v>566</v>
      </c>
      <c r="AT31" s="78">
        <f>SUM(AN31:AS31)</f>
        <v>25887</v>
      </c>
      <c r="AU31" s="144"/>
      <c r="AV31" s="111"/>
      <c r="AW31" s="146"/>
      <c r="AX31" s="153"/>
      <c r="AY31" s="55" t="s">
        <v>15</v>
      </c>
      <c r="AZ31" s="117">
        <v>613</v>
      </c>
      <c r="BA31" s="118">
        <v>4656</v>
      </c>
      <c r="BB31" s="118">
        <v>6603</v>
      </c>
      <c r="BC31" s="118">
        <v>11493</v>
      </c>
      <c r="BD31" s="118">
        <v>1956</v>
      </c>
      <c r="BE31" s="119">
        <v>566</v>
      </c>
      <c r="BF31" s="78">
        <f>SUM(AZ31:BE31)</f>
        <v>25887</v>
      </c>
      <c r="BG31" s="144"/>
      <c r="BH31" s="111"/>
      <c r="BI31" s="146"/>
      <c r="BJ31" s="153"/>
      <c r="BK31" s="55" t="s">
        <v>15</v>
      </c>
      <c r="BL31" s="117">
        <v>613</v>
      </c>
      <c r="BM31" s="118">
        <v>4656</v>
      </c>
      <c r="BN31" s="118">
        <v>6603</v>
      </c>
      <c r="BO31" s="118">
        <v>11493</v>
      </c>
      <c r="BP31" s="118">
        <v>1956</v>
      </c>
      <c r="BQ31" s="119">
        <v>566</v>
      </c>
      <c r="BR31" s="78">
        <f>SUM(BL31:BQ31)</f>
        <v>25887</v>
      </c>
      <c r="BS31" s="144"/>
      <c r="BT31" s="111"/>
      <c r="BU31" s="146"/>
      <c r="BV31" s="153"/>
      <c r="BW31" s="55" t="s">
        <v>15</v>
      </c>
      <c r="BX31" s="117">
        <v>613</v>
      </c>
      <c r="BY31" s="118">
        <v>4656</v>
      </c>
      <c r="BZ31" s="118">
        <v>6603</v>
      </c>
      <c r="CA31" s="118">
        <v>11493</v>
      </c>
      <c r="CB31" s="118">
        <v>1956</v>
      </c>
      <c r="CC31" s="119">
        <v>566</v>
      </c>
      <c r="CD31" s="78">
        <f>SUM(BX31:CC31)</f>
        <v>25887</v>
      </c>
      <c r="CE31" s="144"/>
      <c r="CF31" s="111"/>
      <c r="CG31" s="146"/>
      <c r="CH31" s="153"/>
      <c r="CI31" s="55" t="s">
        <v>15</v>
      </c>
      <c r="CJ31" s="117">
        <v>613</v>
      </c>
      <c r="CK31" s="118">
        <v>4656</v>
      </c>
      <c r="CL31" s="118">
        <v>6603</v>
      </c>
      <c r="CM31" s="118">
        <v>11493</v>
      </c>
      <c r="CN31" s="118">
        <v>1956</v>
      </c>
      <c r="CO31" s="119">
        <v>566</v>
      </c>
      <c r="CP31" s="78">
        <f>SUM(CJ31:CO31)</f>
        <v>25887</v>
      </c>
      <c r="CQ31" s="144"/>
      <c r="CR31" s="111"/>
      <c r="CS31" s="146"/>
      <c r="CT31" s="153"/>
      <c r="CU31" s="55" t="s">
        <v>15</v>
      </c>
      <c r="CV31" s="117">
        <v>613</v>
      </c>
      <c r="CW31" s="118">
        <v>4656</v>
      </c>
      <c r="CX31" s="118">
        <v>6603</v>
      </c>
      <c r="CY31" s="118">
        <v>11493</v>
      </c>
      <c r="CZ31" s="118">
        <v>1956</v>
      </c>
      <c r="DA31" s="119">
        <v>566</v>
      </c>
      <c r="DB31" s="78">
        <f>SUM(CV31:DA31)</f>
        <v>25887</v>
      </c>
      <c r="DC31" s="144"/>
      <c r="DD31" s="111"/>
      <c r="DE31" s="146"/>
      <c r="DF31" s="153"/>
      <c r="DG31" s="55" t="s">
        <v>15</v>
      </c>
      <c r="DH31" s="75">
        <v>0</v>
      </c>
      <c r="DI31" s="76">
        <v>0</v>
      </c>
      <c r="DJ31" s="76">
        <v>0</v>
      </c>
      <c r="DK31" s="76">
        <v>0</v>
      </c>
      <c r="DL31" s="76">
        <v>0</v>
      </c>
      <c r="DM31" s="77">
        <v>0</v>
      </c>
      <c r="DN31" s="78">
        <f>SUM(DH31:DM31)</f>
        <v>0</v>
      </c>
      <c r="DO31" s="144"/>
      <c r="DP31" s="111"/>
      <c r="DQ31" s="146"/>
      <c r="DR31" s="153"/>
      <c r="DS31" s="55" t="s">
        <v>15</v>
      </c>
      <c r="DT31" s="75">
        <v>0</v>
      </c>
      <c r="DU31" s="76">
        <v>0</v>
      </c>
      <c r="DV31" s="76">
        <v>0</v>
      </c>
      <c r="DW31" s="76">
        <v>0</v>
      </c>
      <c r="DX31" s="76">
        <v>0</v>
      </c>
      <c r="DY31" s="77">
        <v>0</v>
      </c>
      <c r="DZ31" s="78">
        <f>SUM(DT31:DY31)</f>
        <v>0</v>
      </c>
      <c r="EA31" s="144"/>
      <c r="EB31" s="111"/>
      <c r="EC31" s="146"/>
      <c r="ED31" s="153"/>
      <c r="EE31" s="55" t="s">
        <v>15</v>
      </c>
      <c r="EF31" s="75">
        <v>0</v>
      </c>
      <c r="EG31" s="76">
        <v>0</v>
      </c>
      <c r="EH31" s="76">
        <v>0</v>
      </c>
      <c r="EI31" s="76">
        <v>0</v>
      </c>
      <c r="EJ31" s="76">
        <v>0</v>
      </c>
      <c r="EK31" s="77">
        <v>0</v>
      </c>
      <c r="EL31" s="78">
        <f>SUM(EF31:EK31)</f>
        <v>0</v>
      </c>
      <c r="EM31" s="144"/>
      <c r="EN31" s="111"/>
      <c r="EO31" s="146"/>
      <c r="EP31" s="106"/>
      <c r="EQ31" s="55" t="s">
        <v>15</v>
      </c>
      <c r="ER31" s="75">
        <f t="shared" si="88"/>
        <v>0</v>
      </c>
      <c r="ES31" s="76">
        <f t="shared" si="88"/>
        <v>0</v>
      </c>
      <c r="ET31" s="76">
        <f t="shared" si="88"/>
        <v>0</v>
      </c>
      <c r="EU31" s="76">
        <f t="shared" si="88"/>
        <v>0</v>
      </c>
      <c r="EV31" s="76">
        <f t="shared" si="88"/>
        <v>0</v>
      </c>
      <c r="EW31" s="77">
        <f t="shared" si="88"/>
        <v>0</v>
      </c>
      <c r="EX31" s="79">
        <f>SUM(ER31:EW31)</f>
        <v>0</v>
      </c>
      <c r="EY31" s="144"/>
      <c r="EZ31" s="60"/>
    </row>
    <row r="32" spans="1:156" ht="15.95" customHeight="1" thickBot="1" x14ac:dyDescent="0.25">
      <c r="A32" s="146"/>
      <c r="B32" s="56" t="s">
        <v>16</v>
      </c>
      <c r="C32" s="57" t="s">
        <v>13</v>
      </c>
      <c r="D32" s="121">
        <v>43</v>
      </c>
      <c r="E32" s="122">
        <v>92</v>
      </c>
      <c r="F32" s="122">
        <v>253</v>
      </c>
      <c r="G32" s="122">
        <v>322</v>
      </c>
      <c r="H32" s="122">
        <v>119</v>
      </c>
      <c r="I32" s="123">
        <v>67</v>
      </c>
      <c r="J32" s="116">
        <f>SUM(D32:I32)</f>
        <v>896</v>
      </c>
      <c r="K32" s="143">
        <v>1784</v>
      </c>
      <c r="L32" s="111"/>
      <c r="M32" s="146"/>
      <c r="N32" s="56" t="s">
        <v>16</v>
      </c>
      <c r="O32" s="57" t="s">
        <v>13</v>
      </c>
      <c r="P32" s="121">
        <v>43</v>
      </c>
      <c r="Q32" s="122">
        <v>92</v>
      </c>
      <c r="R32" s="122">
        <v>253</v>
      </c>
      <c r="S32" s="122">
        <v>322</v>
      </c>
      <c r="T32" s="122">
        <v>119</v>
      </c>
      <c r="U32" s="123">
        <v>67</v>
      </c>
      <c r="V32" s="73">
        <f>SUM(P32:U32)</f>
        <v>896</v>
      </c>
      <c r="W32" s="143">
        <v>1784</v>
      </c>
      <c r="X32" s="111"/>
      <c r="Y32" s="146"/>
      <c r="Z32" s="56" t="s">
        <v>16</v>
      </c>
      <c r="AA32" s="57" t="s">
        <v>13</v>
      </c>
      <c r="AB32" s="121">
        <v>43</v>
      </c>
      <c r="AC32" s="122">
        <v>92</v>
      </c>
      <c r="AD32" s="122">
        <v>253</v>
      </c>
      <c r="AE32" s="122">
        <v>322</v>
      </c>
      <c r="AF32" s="122">
        <v>119</v>
      </c>
      <c r="AG32" s="123">
        <v>67</v>
      </c>
      <c r="AH32" s="73">
        <f>SUM(AB32:AG32)</f>
        <v>896</v>
      </c>
      <c r="AI32" s="143">
        <v>1784</v>
      </c>
      <c r="AJ32" s="111"/>
      <c r="AK32" s="146"/>
      <c r="AL32" s="56" t="s">
        <v>16</v>
      </c>
      <c r="AM32" s="57" t="s">
        <v>13</v>
      </c>
      <c r="AN32" s="121">
        <v>43</v>
      </c>
      <c r="AO32" s="122">
        <v>92</v>
      </c>
      <c r="AP32" s="122">
        <v>253</v>
      </c>
      <c r="AQ32" s="122">
        <v>322</v>
      </c>
      <c r="AR32" s="122">
        <v>119</v>
      </c>
      <c r="AS32" s="123">
        <v>67</v>
      </c>
      <c r="AT32" s="73">
        <f>SUM(AN32:AS32)</f>
        <v>896</v>
      </c>
      <c r="AU32" s="143">
        <v>1784</v>
      </c>
      <c r="AV32" s="111"/>
      <c r="AW32" s="146"/>
      <c r="AX32" s="56" t="s">
        <v>16</v>
      </c>
      <c r="AY32" s="57" t="s">
        <v>13</v>
      </c>
      <c r="AZ32" s="121">
        <v>43</v>
      </c>
      <c r="BA32" s="122">
        <v>92</v>
      </c>
      <c r="BB32" s="122">
        <v>253</v>
      </c>
      <c r="BC32" s="122">
        <v>322</v>
      </c>
      <c r="BD32" s="122">
        <v>119</v>
      </c>
      <c r="BE32" s="123">
        <v>67</v>
      </c>
      <c r="BF32" s="73">
        <f>SUM(AZ32:BE32)</f>
        <v>896</v>
      </c>
      <c r="BG32" s="143">
        <v>1784</v>
      </c>
      <c r="BH32" s="111"/>
      <c r="BI32" s="146"/>
      <c r="BJ32" s="56" t="s">
        <v>16</v>
      </c>
      <c r="BK32" s="57" t="s">
        <v>13</v>
      </c>
      <c r="BL32" s="121">
        <v>43</v>
      </c>
      <c r="BM32" s="122">
        <v>92</v>
      </c>
      <c r="BN32" s="122">
        <v>253</v>
      </c>
      <c r="BO32" s="122">
        <v>322</v>
      </c>
      <c r="BP32" s="122">
        <v>119</v>
      </c>
      <c r="BQ32" s="123">
        <v>67</v>
      </c>
      <c r="BR32" s="73">
        <f>SUM(BL32:BQ32)</f>
        <v>896</v>
      </c>
      <c r="BS32" s="143">
        <v>1784</v>
      </c>
      <c r="BT32" s="111"/>
      <c r="BU32" s="146"/>
      <c r="BV32" s="56" t="s">
        <v>16</v>
      </c>
      <c r="BW32" s="57" t="s">
        <v>13</v>
      </c>
      <c r="BX32" s="121">
        <v>43</v>
      </c>
      <c r="BY32" s="122">
        <v>92</v>
      </c>
      <c r="BZ32" s="122">
        <v>253</v>
      </c>
      <c r="CA32" s="122">
        <v>322</v>
      </c>
      <c r="CB32" s="122">
        <v>119</v>
      </c>
      <c r="CC32" s="123">
        <v>67</v>
      </c>
      <c r="CD32" s="73">
        <f>SUM(BX32:CC32)</f>
        <v>896</v>
      </c>
      <c r="CE32" s="143">
        <v>1784</v>
      </c>
      <c r="CF32" s="111"/>
      <c r="CG32" s="146"/>
      <c r="CH32" s="56" t="s">
        <v>16</v>
      </c>
      <c r="CI32" s="57" t="s">
        <v>13</v>
      </c>
      <c r="CJ32" s="121">
        <v>43</v>
      </c>
      <c r="CK32" s="122">
        <v>92</v>
      </c>
      <c r="CL32" s="122">
        <v>253</v>
      </c>
      <c r="CM32" s="122">
        <v>322</v>
      </c>
      <c r="CN32" s="122">
        <v>119</v>
      </c>
      <c r="CO32" s="123">
        <v>67</v>
      </c>
      <c r="CP32" s="73">
        <f>SUM(CJ32:CO32)</f>
        <v>896</v>
      </c>
      <c r="CQ32" s="143">
        <v>1784</v>
      </c>
      <c r="CR32" s="111"/>
      <c r="CS32" s="146"/>
      <c r="CT32" s="56" t="s">
        <v>16</v>
      </c>
      <c r="CU32" s="57" t="s">
        <v>13</v>
      </c>
      <c r="CV32" s="121">
        <v>43</v>
      </c>
      <c r="CW32" s="122">
        <v>92</v>
      </c>
      <c r="CX32" s="122">
        <v>253</v>
      </c>
      <c r="CY32" s="122">
        <v>322</v>
      </c>
      <c r="CZ32" s="122">
        <v>119</v>
      </c>
      <c r="DA32" s="123">
        <v>67</v>
      </c>
      <c r="DB32" s="73">
        <f>SUM(CV32:DA32)</f>
        <v>896</v>
      </c>
      <c r="DC32" s="143">
        <v>1784</v>
      </c>
      <c r="DD32" s="111"/>
      <c r="DE32" s="146"/>
      <c r="DF32" s="56" t="s">
        <v>16</v>
      </c>
      <c r="DG32" s="57" t="s">
        <v>13</v>
      </c>
      <c r="DH32" s="70">
        <v>0</v>
      </c>
      <c r="DI32" s="71">
        <v>0</v>
      </c>
      <c r="DJ32" s="71">
        <v>0</v>
      </c>
      <c r="DK32" s="71">
        <v>0</v>
      </c>
      <c r="DL32" s="71">
        <v>0</v>
      </c>
      <c r="DM32" s="72">
        <v>0</v>
      </c>
      <c r="DN32" s="73">
        <f>SUM(DH32:DM32)</f>
        <v>0</v>
      </c>
      <c r="DO32" s="143">
        <v>0</v>
      </c>
      <c r="DP32" s="111"/>
      <c r="DQ32" s="146"/>
      <c r="DR32" s="56" t="s">
        <v>16</v>
      </c>
      <c r="DS32" s="57" t="s">
        <v>13</v>
      </c>
      <c r="DT32" s="70">
        <v>0</v>
      </c>
      <c r="DU32" s="71">
        <v>0</v>
      </c>
      <c r="DV32" s="71">
        <v>0</v>
      </c>
      <c r="DW32" s="71">
        <v>0</v>
      </c>
      <c r="DX32" s="71">
        <v>0</v>
      </c>
      <c r="DY32" s="72">
        <v>0</v>
      </c>
      <c r="DZ32" s="73">
        <f>SUM(DT32:DY32)</f>
        <v>0</v>
      </c>
      <c r="EA32" s="143">
        <v>0</v>
      </c>
      <c r="EB32" s="111"/>
      <c r="EC32" s="146"/>
      <c r="ED32" s="56" t="s">
        <v>16</v>
      </c>
      <c r="EE32" s="57" t="s">
        <v>13</v>
      </c>
      <c r="EF32" s="70">
        <v>0</v>
      </c>
      <c r="EG32" s="71">
        <v>0</v>
      </c>
      <c r="EH32" s="71">
        <v>0</v>
      </c>
      <c r="EI32" s="71">
        <v>0</v>
      </c>
      <c r="EJ32" s="71">
        <v>0</v>
      </c>
      <c r="EK32" s="72">
        <v>0</v>
      </c>
      <c r="EL32" s="73">
        <f>SUM(EF32:EK32)</f>
        <v>0</v>
      </c>
      <c r="EM32" s="143">
        <v>0</v>
      </c>
      <c r="EN32" s="111"/>
      <c r="EO32" s="146"/>
      <c r="EP32" s="56" t="s">
        <v>16</v>
      </c>
      <c r="EQ32" s="57" t="s">
        <v>13</v>
      </c>
      <c r="ER32" s="80">
        <f t="shared" si="88"/>
        <v>0</v>
      </c>
      <c r="ES32" s="81">
        <f t="shared" si="88"/>
        <v>0</v>
      </c>
      <c r="ET32" s="81">
        <f t="shared" si="88"/>
        <v>0</v>
      </c>
      <c r="EU32" s="81">
        <f t="shared" si="88"/>
        <v>0</v>
      </c>
      <c r="EV32" s="81">
        <f t="shared" si="88"/>
        <v>0</v>
      </c>
      <c r="EW32" s="82">
        <f t="shared" si="88"/>
        <v>0</v>
      </c>
      <c r="EX32" s="74">
        <f>SUM(ER32:EW32)</f>
        <v>0</v>
      </c>
      <c r="EY32" s="143">
        <f>SUM(EM32)</f>
        <v>0</v>
      </c>
      <c r="EZ32" s="60"/>
    </row>
    <row r="33" spans="1:156" ht="15.95" customHeight="1" thickBot="1" x14ac:dyDescent="0.25">
      <c r="A33" s="146"/>
      <c r="B33" s="58" t="s">
        <v>14</v>
      </c>
      <c r="C33" s="59" t="s">
        <v>15</v>
      </c>
      <c r="D33" s="117">
        <v>53</v>
      </c>
      <c r="E33" s="118">
        <v>114</v>
      </c>
      <c r="F33" s="118">
        <v>219</v>
      </c>
      <c r="G33" s="118">
        <v>341</v>
      </c>
      <c r="H33" s="118">
        <v>107</v>
      </c>
      <c r="I33" s="119">
        <v>54</v>
      </c>
      <c r="J33" s="120">
        <f>SUM(D33:I33)</f>
        <v>888</v>
      </c>
      <c r="K33" s="144"/>
      <c r="L33" s="111"/>
      <c r="M33" s="146"/>
      <c r="N33" s="58" t="s">
        <v>14</v>
      </c>
      <c r="O33" s="59" t="s">
        <v>15</v>
      </c>
      <c r="P33" s="117">
        <v>53</v>
      </c>
      <c r="Q33" s="118">
        <v>114</v>
      </c>
      <c r="R33" s="118">
        <v>219</v>
      </c>
      <c r="S33" s="118">
        <v>341</v>
      </c>
      <c r="T33" s="118">
        <v>107</v>
      </c>
      <c r="U33" s="119">
        <v>54</v>
      </c>
      <c r="V33" s="78">
        <f>SUM(P33:U33)</f>
        <v>888</v>
      </c>
      <c r="W33" s="144"/>
      <c r="X33" s="111"/>
      <c r="Y33" s="146"/>
      <c r="Z33" s="58" t="s">
        <v>14</v>
      </c>
      <c r="AA33" s="59" t="s">
        <v>15</v>
      </c>
      <c r="AB33" s="117">
        <v>53</v>
      </c>
      <c r="AC33" s="118">
        <v>114</v>
      </c>
      <c r="AD33" s="118">
        <v>219</v>
      </c>
      <c r="AE33" s="118">
        <v>341</v>
      </c>
      <c r="AF33" s="118">
        <v>107</v>
      </c>
      <c r="AG33" s="119">
        <v>54</v>
      </c>
      <c r="AH33" s="78">
        <f>SUM(AB33:AG33)</f>
        <v>888</v>
      </c>
      <c r="AI33" s="144"/>
      <c r="AJ33" s="111"/>
      <c r="AK33" s="146"/>
      <c r="AL33" s="58" t="s">
        <v>14</v>
      </c>
      <c r="AM33" s="59" t="s">
        <v>15</v>
      </c>
      <c r="AN33" s="117">
        <v>53</v>
      </c>
      <c r="AO33" s="118">
        <v>114</v>
      </c>
      <c r="AP33" s="118">
        <v>219</v>
      </c>
      <c r="AQ33" s="118">
        <v>341</v>
      </c>
      <c r="AR33" s="118">
        <v>107</v>
      </c>
      <c r="AS33" s="119">
        <v>54</v>
      </c>
      <c r="AT33" s="78">
        <f>SUM(AN33:AS33)</f>
        <v>888</v>
      </c>
      <c r="AU33" s="144"/>
      <c r="AV33" s="111"/>
      <c r="AW33" s="146"/>
      <c r="AX33" s="58" t="s">
        <v>14</v>
      </c>
      <c r="AY33" s="59" t="s">
        <v>15</v>
      </c>
      <c r="AZ33" s="117">
        <v>53</v>
      </c>
      <c r="BA33" s="118">
        <v>114</v>
      </c>
      <c r="BB33" s="118">
        <v>219</v>
      </c>
      <c r="BC33" s="118">
        <v>341</v>
      </c>
      <c r="BD33" s="118">
        <v>107</v>
      </c>
      <c r="BE33" s="119">
        <v>54</v>
      </c>
      <c r="BF33" s="78">
        <f>SUM(AZ33:BE33)</f>
        <v>888</v>
      </c>
      <c r="BG33" s="144"/>
      <c r="BH33" s="111"/>
      <c r="BI33" s="146"/>
      <c r="BJ33" s="58" t="s">
        <v>14</v>
      </c>
      <c r="BK33" s="59" t="s">
        <v>15</v>
      </c>
      <c r="BL33" s="117">
        <v>53</v>
      </c>
      <c r="BM33" s="118">
        <v>114</v>
      </c>
      <c r="BN33" s="118">
        <v>219</v>
      </c>
      <c r="BO33" s="118">
        <v>341</v>
      </c>
      <c r="BP33" s="118">
        <v>107</v>
      </c>
      <c r="BQ33" s="119">
        <v>54</v>
      </c>
      <c r="BR33" s="78">
        <f>SUM(BL33:BQ33)</f>
        <v>888</v>
      </c>
      <c r="BS33" s="144"/>
      <c r="BT33" s="111"/>
      <c r="BU33" s="146"/>
      <c r="BV33" s="58" t="s">
        <v>14</v>
      </c>
      <c r="BW33" s="59" t="s">
        <v>15</v>
      </c>
      <c r="BX33" s="117">
        <v>53</v>
      </c>
      <c r="BY33" s="118">
        <v>114</v>
      </c>
      <c r="BZ33" s="118">
        <v>219</v>
      </c>
      <c r="CA33" s="118">
        <v>341</v>
      </c>
      <c r="CB33" s="118">
        <v>107</v>
      </c>
      <c r="CC33" s="119">
        <v>54</v>
      </c>
      <c r="CD33" s="78">
        <f>SUM(BX33:CC33)</f>
        <v>888</v>
      </c>
      <c r="CE33" s="144"/>
      <c r="CF33" s="111"/>
      <c r="CG33" s="146"/>
      <c r="CH33" s="58" t="s">
        <v>14</v>
      </c>
      <c r="CI33" s="59" t="s">
        <v>15</v>
      </c>
      <c r="CJ33" s="117">
        <v>53</v>
      </c>
      <c r="CK33" s="118">
        <v>114</v>
      </c>
      <c r="CL33" s="118">
        <v>219</v>
      </c>
      <c r="CM33" s="118">
        <v>341</v>
      </c>
      <c r="CN33" s="118">
        <v>107</v>
      </c>
      <c r="CO33" s="119">
        <v>54</v>
      </c>
      <c r="CP33" s="78">
        <f>SUM(CJ33:CO33)</f>
        <v>888</v>
      </c>
      <c r="CQ33" s="144"/>
      <c r="CR33" s="111"/>
      <c r="CS33" s="146"/>
      <c r="CT33" s="58" t="s">
        <v>14</v>
      </c>
      <c r="CU33" s="59" t="s">
        <v>15</v>
      </c>
      <c r="CV33" s="117">
        <v>53</v>
      </c>
      <c r="CW33" s="118">
        <v>114</v>
      </c>
      <c r="CX33" s="118">
        <v>219</v>
      </c>
      <c r="CY33" s="118">
        <v>341</v>
      </c>
      <c r="CZ33" s="118">
        <v>107</v>
      </c>
      <c r="DA33" s="119">
        <v>54</v>
      </c>
      <c r="DB33" s="78">
        <f>SUM(CV33:DA33)</f>
        <v>888</v>
      </c>
      <c r="DC33" s="144"/>
      <c r="DD33" s="111"/>
      <c r="DE33" s="146"/>
      <c r="DF33" s="58" t="s">
        <v>14</v>
      </c>
      <c r="DG33" s="59" t="s">
        <v>15</v>
      </c>
      <c r="DH33" s="75">
        <v>0</v>
      </c>
      <c r="DI33" s="76">
        <v>0</v>
      </c>
      <c r="DJ33" s="76">
        <v>0</v>
      </c>
      <c r="DK33" s="76">
        <v>0</v>
      </c>
      <c r="DL33" s="76">
        <v>0</v>
      </c>
      <c r="DM33" s="77">
        <v>0</v>
      </c>
      <c r="DN33" s="78">
        <f>SUM(DH33:DM33)</f>
        <v>0</v>
      </c>
      <c r="DO33" s="144"/>
      <c r="DP33" s="111"/>
      <c r="DQ33" s="146"/>
      <c r="DR33" s="58" t="s">
        <v>14</v>
      </c>
      <c r="DS33" s="59" t="s">
        <v>15</v>
      </c>
      <c r="DT33" s="75">
        <v>0</v>
      </c>
      <c r="DU33" s="76">
        <v>0</v>
      </c>
      <c r="DV33" s="76">
        <v>0</v>
      </c>
      <c r="DW33" s="76">
        <v>0</v>
      </c>
      <c r="DX33" s="76">
        <v>0</v>
      </c>
      <c r="DY33" s="77">
        <v>0</v>
      </c>
      <c r="DZ33" s="78">
        <f>SUM(DT33:DY33)</f>
        <v>0</v>
      </c>
      <c r="EA33" s="144"/>
      <c r="EB33" s="111"/>
      <c r="EC33" s="146"/>
      <c r="ED33" s="58" t="s">
        <v>14</v>
      </c>
      <c r="EE33" s="59" t="s">
        <v>15</v>
      </c>
      <c r="EF33" s="75">
        <v>0</v>
      </c>
      <c r="EG33" s="76">
        <v>0</v>
      </c>
      <c r="EH33" s="76">
        <v>0</v>
      </c>
      <c r="EI33" s="76">
        <v>0</v>
      </c>
      <c r="EJ33" s="76">
        <v>0</v>
      </c>
      <c r="EK33" s="77">
        <v>0</v>
      </c>
      <c r="EL33" s="78">
        <f>SUM(EF33:EK33)</f>
        <v>0</v>
      </c>
      <c r="EM33" s="144"/>
      <c r="EN33" s="111"/>
      <c r="EO33" s="146"/>
      <c r="EP33" s="58" t="s">
        <v>14</v>
      </c>
      <c r="EQ33" s="59" t="s">
        <v>15</v>
      </c>
      <c r="ER33" s="75">
        <f t="shared" si="88"/>
        <v>0</v>
      </c>
      <c r="ES33" s="76">
        <f t="shared" si="88"/>
        <v>0</v>
      </c>
      <c r="ET33" s="76">
        <f t="shared" si="88"/>
        <v>0</v>
      </c>
      <c r="EU33" s="76">
        <f t="shared" si="88"/>
        <v>0</v>
      </c>
      <c r="EV33" s="76">
        <f t="shared" si="88"/>
        <v>0</v>
      </c>
      <c r="EW33" s="77">
        <f t="shared" si="88"/>
        <v>0</v>
      </c>
      <c r="EX33" s="79">
        <f>SUM(ER33:EW33)</f>
        <v>0</v>
      </c>
      <c r="EY33" s="144"/>
      <c r="EZ33" s="60"/>
    </row>
    <row r="34" spans="1:156" ht="15.95" customHeight="1" thickBot="1" x14ac:dyDescent="0.25">
      <c r="A34" s="147"/>
      <c r="B34" s="150" t="s">
        <v>17</v>
      </c>
      <c r="C34" s="151"/>
      <c r="D34" s="124">
        <f t="shared" ref="D34:K34" si="89">SUM(D30:D33)</f>
        <v>1464</v>
      </c>
      <c r="E34" s="125">
        <f t="shared" si="89"/>
        <v>9590</v>
      </c>
      <c r="F34" s="125">
        <f t="shared" si="89"/>
        <v>15002</v>
      </c>
      <c r="G34" s="125">
        <f t="shared" si="89"/>
        <v>22086</v>
      </c>
      <c r="H34" s="125">
        <f t="shared" si="89"/>
        <v>4511</v>
      </c>
      <c r="I34" s="126">
        <f t="shared" si="89"/>
        <v>1576</v>
      </c>
      <c r="J34" s="127">
        <f t="shared" si="89"/>
        <v>54229</v>
      </c>
      <c r="K34" s="86">
        <f t="shared" si="89"/>
        <v>9060</v>
      </c>
      <c r="L34" s="111"/>
      <c r="M34" s="147"/>
      <c r="N34" s="150" t="s">
        <v>17</v>
      </c>
      <c r="O34" s="151"/>
      <c r="P34" s="83">
        <f t="shared" ref="P34:W34" si="90">SUM(P30:P33)</f>
        <v>1464</v>
      </c>
      <c r="Q34" s="84">
        <f t="shared" si="90"/>
        <v>9590</v>
      </c>
      <c r="R34" s="84">
        <f t="shared" si="90"/>
        <v>15002</v>
      </c>
      <c r="S34" s="84">
        <f t="shared" si="90"/>
        <v>22086</v>
      </c>
      <c r="T34" s="84">
        <f t="shared" si="90"/>
        <v>4511</v>
      </c>
      <c r="U34" s="85">
        <f t="shared" si="90"/>
        <v>1576</v>
      </c>
      <c r="V34" s="1">
        <f t="shared" si="90"/>
        <v>54229</v>
      </c>
      <c r="W34" s="86">
        <f t="shared" si="90"/>
        <v>9060</v>
      </c>
      <c r="X34" s="111"/>
      <c r="Y34" s="147"/>
      <c r="Z34" s="150" t="s">
        <v>17</v>
      </c>
      <c r="AA34" s="151"/>
      <c r="AB34" s="83">
        <f t="shared" ref="AB34:AG34" si="91">SUM(AB30:AB33)</f>
        <v>1464</v>
      </c>
      <c r="AC34" s="84">
        <f t="shared" si="91"/>
        <v>9590</v>
      </c>
      <c r="AD34" s="84">
        <f t="shared" si="91"/>
        <v>15002</v>
      </c>
      <c r="AE34" s="84">
        <f t="shared" si="91"/>
        <v>22086</v>
      </c>
      <c r="AF34" s="84">
        <f t="shared" si="91"/>
        <v>4511</v>
      </c>
      <c r="AG34" s="85">
        <f t="shared" si="91"/>
        <v>1576</v>
      </c>
      <c r="AH34" s="1">
        <f t="shared" ref="AH34:AI34" si="92">SUM(AH30:AH33)</f>
        <v>54229</v>
      </c>
      <c r="AI34" s="86">
        <f t="shared" si="92"/>
        <v>9060</v>
      </c>
      <c r="AJ34" s="111"/>
      <c r="AK34" s="147"/>
      <c r="AL34" s="150" t="s">
        <v>17</v>
      </c>
      <c r="AM34" s="151"/>
      <c r="AN34" s="83">
        <f t="shared" ref="AN34:AU34" si="93">SUM(AN30:AN33)</f>
        <v>1464</v>
      </c>
      <c r="AO34" s="84">
        <f t="shared" si="93"/>
        <v>9590</v>
      </c>
      <c r="AP34" s="84">
        <f t="shared" si="93"/>
        <v>15002</v>
      </c>
      <c r="AQ34" s="84">
        <f t="shared" si="93"/>
        <v>22086</v>
      </c>
      <c r="AR34" s="84">
        <f t="shared" si="93"/>
        <v>4511</v>
      </c>
      <c r="AS34" s="85">
        <f t="shared" si="93"/>
        <v>1576</v>
      </c>
      <c r="AT34" s="1">
        <f t="shared" si="93"/>
        <v>54229</v>
      </c>
      <c r="AU34" s="86">
        <f t="shared" si="93"/>
        <v>9060</v>
      </c>
      <c r="AV34" s="111"/>
      <c r="AW34" s="147"/>
      <c r="AX34" s="150" t="s">
        <v>17</v>
      </c>
      <c r="AY34" s="151"/>
      <c r="AZ34" s="83">
        <f t="shared" ref="AZ34:BE34" si="94">SUM(AZ30:AZ33)</f>
        <v>1464</v>
      </c>
      <c r="BA34" s="84">
        <f t="shared" si="94"/>
        <v>9590</v>
      </c>
      <c r="BB34" s="84">
        <f t="shared" si="94"/>
        <v>15002</v>
      </c>
      <c r="BC34" s="84">
        <f t="shared" si="94"/>
        <v>22086</v>
      </c>
      <c r="BD34" s="84">
        <f t="shared" si="94"/>
        <v>4511</v>
      </c>
      <c r="BE34" s="85">
        <f t="shared" si="94"/>
        <v>1576</v>
      </c>
      <c r="BF34" s="1">
        <f t="shared" ref="BF34:BG34" si="95">SUM(BF30:BF33)</f>
        <v>54229</v>
      </c>
      <c r="BG34" s="86">
        <f t="shared" si="95"/>
        <v>9060</v>
      </c>
      <c r="BH34" s="111"/>
      <c r="BI34" s="147"/>
      <c r="BJ34" s="150" t="s">
        <v>17</v>
      </c>
      <c r="BK34" s="151"/>
      <c r="BL34" s="83">
        <f t="shared" ref="BL34:BQ34" si="96">SUM(BL30:BL33)</f>
        <v>1464</v>
      </c>
      <c r="BM34" s="84">
        <f t="shared" si="96"/>
        <v>9590</v>
      </c>
      <c r="BN34" s="84">
        <f t="shared" si="96"/>
        <v>15002</v>
      </c>
      <c r="BO34" s="84">
        <f t="shared" si="96"/>
        <v>22086</v>
      </c>
      <c r="BP34" s="84">
        <f t="shared" si="96"/>
        <v>4511</v>
      </c>
      <c r="BQ34" s="85">
        <f t="shared" si="96"/>
        <v>1576</v>
      </c>
      <c r="BR34" s="1">
        <f t="shared" ref="BR34:BS34" si="97">SUM(BR30:BR33)</f>
        <v>54229</v>
      </c>
      <c r="BS34" s="86">
        <f t="shared" si="97"/>
        <v>9060</v>
      </c>
      <c r="BT34" s="111"/>
      <c r="BU34" s="147"/>
      <c r="BV34" s="150" t="s">
        <v>17</v>
      </c>
      <c r="BW34" s="151"/>
      <c r="BX34" s="83">
        <f t="shared" ref="BX34:CE34" si="98">SUM(BX30:BX33)</f>
        <v>1464</v>
      </c>
      <c r="BY34" s="84">
        <f t="shared" si="98"/>
        <v>9590</v>
      </c>
      <c r="BZ34" s="84">
        <f t="shared" si="98"/>
        <v>15002</v>
      </c>
      <c r="CA34" s="84">
        <f t="shared" si="98"/>
        <v>22086</v>
      </c>
      <c r="CB34" s="84">
        <f t="shared" si="98"/>
        <v>4511</v>
      </c>
      <c r="CC34" s="85">
        <f t="shared" si="98"/>
        <v>1576</v>
      </c>
      <c r="CD34" s="1">
        <f t="shared" si="98"/>
        <v>54229</v>
      </c>
      <c r="CE34" s="86">
        <f t="shared" si="98"/>
        <v>9060</v>
      </c>
      <c r="CF34" s="111"/>
      <c r="CG34" s="147"/>
      <c r="CH34" s="150" t="s">
        <v>17</v>
      </c>
      <c r="CI34" s="151"/>
      <c r="CJ34" s="83">
        <f t="shared" ref="CJ34:CQ34" si="99">SUM(CJ30:CJ33)</f>
        <v>1464</v>
      </c>
      <c r="CK34" s="84">
        <f t="shared" si="99"/>
        <v>9590</v>
      </c>
      <c r="CL34" s="84">
        <f t="shared" si="99"/>
        <v>15002</v>
      </c>
      <c r="CM34" s="84">
        <f t="shared" si="99"/>
        <v>22086</v>
      </c>
      <c r="CN34" s="84">
        <f t="shared" si="99"/>
        <v>4511</v>
      </c>
      <c r="CO34" s="85">
        <f t="shared" si="99"/>
        <v>1576</v>
      </c>
      <c r="CP34" s="1">
        <f t="shared" si="99"/>
        <v>54229</v>
      </c>
      <c r="CQ34" s="86">
        <f t="shared" si="99"/>
        <v>9060</v>
      </c>
      <c r="CR34" s="111"/>
      <c r="CS34" s="147"/>
      <c r="CT34" s="150" t="s">
        <v>17</v>
      </c>
      <c r="CU34" s="151"/>
      <c r="CV34" s="83">
        <f t="shared" ref="CV34:DC34" si="100">SUM(CV30:CV33)</f>
        <v>1464</v>
      </c>
      <c r="CW34" s="84">
        <f t="shared" si="100"/>
        <v>9590</v>
      </c>
      <c r="CX34" s="84">
        <f t="shared" si="100"/>
        <v>15002</v>
      </c>
      <c r="CY34" s="84">
        <f t="shared" si="100"/>
        <v>22086</v>
      </c>
      <c r="CZ34" s="84">
        <f t="shared" si="100"/>
        <v>4511</v>
      </c>
      <c r="DA34" s="85">
        <f t="shared" si="100"/>
        <v>1576</v>
      </c>
      <c r="DB34" s="1">
        <f t="shared" si="100"/>
        <v>54229</v>
      </c>
      <c r="DC34" s="86">
        <f t="shared" si="100"/>
        <v>9060</v>
      </c>
      <c r="DD34" s="111"/>
      <c r="DE34" s="147"/>
      <c r="DF34" s="150" t="s">
        <v>17</v>
      </c>
      <c r="DG34" s="151"/>
      <c r="DH34" s="83">
        <f t="shared" ref="DH34:DO34" si="101">SUM(DH30:DH33)</f>
        <v>0</v>
      </c>
      <c r="DI34" s="84">
        <f t="shared" si="101"/>
        <v>0</v>
      </c>
      <c r="DJ34" s="84">
        <f t="shared" si="101"/>
        <v>0</v>
      </c>
      <c r="DK34" s="84">
        <f t="shared" si="101"/>
        <v>0</v>
      </c>
      <c r="DL34" s="84">
        <f t="shared" si="101"/>
        <v>0</v>
      </c>
      <c r="DM34" s="85">
        <f t="shared" si="101"/>
        <v>0</v>
      </c>
      <c r="DN34" s="1">
        <f t="shared" si="101"/>
        <v>0</v>
      </c>
      <c r="DO34" s="86">
        <f t="shared" si="101"/>
        <v>0</v>
      </c>
      <c r="DP34" s="111"/>
      <c r="DQ34" s="147"/>
      <c r="DR34" s="150" t="s">
        <v>17</v>
      </c>
      <c r="DS34" s="151"/>
      <c r="DT34" s="83">
        <f t="shared" ref="DT34:EA34" si="102">SUM(DT30:DT33)</f>
        <v>0</v>
      </c>
      <c r="DU34" s="84">
        <f t="shared" si="102"/>
        <v>0</v>
      </c>
      <c r="DV34" s="84">
        <f t="shared" si="102"/>
        <v>0</v>
      </c>
      <c r="DW34" s="84">
        <f t="shared" si="102"/>
        <v>0</v>
      </c>
      <c r="DX34" s="84">
        <f t="shared" si="102"/>
        <v>0</v>
      </c>
      <c r="DY34" s="85">
        <f t="shared" si="102"/>
        <v>0</v>
      </c>
      <c r="DZ34" s="1">
        <f t="shared" si="102"/>
        <v>0</v>
      </c>
      <c r="EA34" s="86">
        <f t="shared" si="102"/>
        <v>0</v>
      </c>
      <c r="EB34" s="111"/>
      <c r="EC34" s="147"/>
      <c r="ED34" s="150" t="s">
        <v>17</v>
      </c>
      <c r="EE34" s="151"/>
      <c r="EF34" s="83">
        <f t="shared" ref="EF34:EM34" si="103">SUM(EF30:EF33)</f>
        <v>0</v>
      </c>
      <c r="EG34" s="84">
        <f t="shared" si="103"/>
        <v>0</v>
      </c>
      <c r="EH34" s="84">
        <f t="shared" si="103"/>
        <v>0</v>
      </c>
      <c r="EI34" s="84">
        <f t="shared" si="103"/>
        <v>0</v>
      </c>
      <c r="EJ34" s="84">
        <f t="shared" si="103"/>
        <v>0</v>
      </c>
      <c r="EK34" s="85">
        <f t="shared" si="103"/>
        <v>0</v>
      </c>
      <c r="EL34" s="1">
        <f t="shared" si="103"/>
        <v>0</v>
      </c>
      <c r="EM34" s="86">
        <f t="shared" si="103"/>
        <v>0</v>
      </c>
      <c r="EN34" s="111"/>
      <c r="EO34" s="147"/>
      <c r="EP34" s="107" t="s">
        <v>17</v>
      </c>
      <c r="EQ34" s="108"/>
      <c r="ER34" s="83">
        <f t="shared" ref="ER34:EY34" si="104">SUM(ER30:ER33)</f>
        <v>0</v>
      </c>
      <c r="ES34" s="84">
        <f t="shared" si="104"/>
        <v>0</v>
      </c>
      <c r="ET34" s="84">
        <f t="shared" si="104"/>
        <v>0</v>
      </c>
      <c r="EU34" s="84">
        <f t="shared" si="104"/>
        <v>0</v>
      </c>
      <c r="EV34" s="84">
        <f t="shared" si="104"/>
        <v>0</v>
      </c>
      <c r="EW34" s="85">
        <f t="shared" si="104"/>
        <v>0</v>
      </c>
      <c r="EX34" s="1">
        <f t="shared" si="104"/>
        <v>0</v>
      </c>
      <c r="EY34" s="86">
        <f t="shared" si="104"/>
        <v>0</v>
      </c>
      <c r="EZ34" s="60"/>
    </row>
    <row r="35" spans="1:156" ht="15.95" customHeight="1" thickTop="1" thickBot="1" x14ac:dyDescent="0.25">
      <c r="A35" s="145" t="s">
        <v>30</v>
      </c>
      <c r="B35" s="152" t="s">
        <v>14</v>
      </c>
      <c r="C35" s="53" t="s">
        <v>13</v>
      </c>
      <c r="D35" s="137">
        <v>668</v>
      </c>
      <c r="E35" s="114">
        <v>4728</v>
      </c>
      <c r="F35" s="114">
        <v>7927</v>
      </c>
      <c r="G35" s="114">
        <v>9934</v>
      </c>
      <c r="H35" s="115">
        <v>2435</v>
      </c>
      <c r="I35" s="115">
        <v>889</v>
      </c>
      <c r="J35" s="116">
        <f>SUM(D35:I35)</f>
        <v>26581</v>
      </c>
      <c r="K35" s="143">
        <v>7279</v>
      </c>
      <c r="L35" s="111"/>
      <c r="M35" s="145" t="s">
        <v>30</v>
      </c>
      <c r="N35" s="152" t="s">
        <v>14</v>
      </c>
      <c r="O35" s="53" t="s">
        <v>13</v>
      </c>
      <c r="P35" s="70">
        <v>668</v>
      </c>
      <c r="Q35" s="114">
        <v>4728</v>
      </c>
      <c r="R35" s="114">
        <v>7927</v>
      </c>
      <c r="S35" s="114">
        <v>9934</v>
      </c>
      <c r="T35" s="115">
        <v>2435</v>
      </c>
      <c r="U35" s="115">
        <v>889</v>
      </c>
      <c r="V35" s="73">
        <f>SUM(P35:U35)</f>
        <v>26581</v>
      </c>
      <c r="W35" s="143">
        <v>7279</v>
      </c>
      <c r="X35" s="111"/>
      <c r="Y35" s="145" t="s">
        <v>30</v>
      </c>
      <c r="Z35" s="152" t="s">
        <v>14</v>
      </c>
      <c r="AA35" s="53" t="s">
        <v>13</v>
      </c>
      <c r="AB35" s="70">
        <v>668</v>
      </c>
      <c r="AC35" s="114">
        <v>4728</v>
      </c>
      <c r="AD35" s="114">
        <v>7927</v>
      </c>
      <c r="AE35" s="114">
        <v>9934</v>
      </c>
      <c r="AF35" s="115">
        <v>2435</v>
      </c>
      <c r="AG35" s="115">
        <v>889</v>
      </c>
      <c r="AH35" s="73">
        <f>SUM(AB35:AG35)</f>
        <v>26581</v>
      </c>
      <c r="AI35" s="143">
        <v>7279</v>
      </c>
      <c r="AJ35" s="111"/>
      <c r="AK35" s="145" t="s">
        <v>30</v>
      </c>
      <c r="AL35" s="152" t="s">
        <v>14</v>
      </c>
      <c r="AM35" s="53" t="s">
        <v>13</v>
      </c>
      <c r="AN35" s="70">
        <v>668</v>
      </c>
      <c r="AO35" s="114">
        <v>4728</v>
      </c>
      <c r="AP35" s="114">
        <v>7927</v>
      </c>
      <c r="AQ35" s="114">
        <v>9934</v>
      </c>
      <c r="AR35" s="115">
        <v>2435</v>
      </c>
      <c r="AS35" s="115">
        <v>889</v>
      </c>
      <c r="AT35" s="73">
        <f>SUM(AN35:AS35)</f>
        <v>26581</v>
      </c>
      <c r="AU35" s="143">
        <v>7279</v>
      </c>
      <c r="AV35" s="111"/>
      <c r="AW35" s="145" t="s">
        <v>30</v>
      </c>
      <c r="AX35" s="152" t="s">
        <v>14</v>
      </c>
      <c r="AY35" s="53" t="s">
        <v>13</v>
      </c>
      <c r="AZ35" s="70">
        <v>668</v>
      </c>
      <c r="BA35" s="114">
        <v>4728</v>
      </c>
      <c r="BB35" s="114">
        <v>7927</v>
      </c>
      <c r="BC35" s="114">
        <v>9934</v>
      </c>
      <c r="BD35" s="115">
        <v>2435</v>
      </c>
      <c r="BE35" s="115">
        <v>889</v>
      </c>
      <c r="BF35" s="73">
        <f>SUM(AZ35:BE35)</f>
        <v>26581</v>
      </c>
      <c r="BG35" s="143">
        <v>7279</v>
      </c>
      <c r="BH35" s="111"/>
      <c r="BI35" s="145" t="s">
        <v>30</v>
      </c>
      <c r="BJ35" s="152" t="s">
        <v>14</v>
      </c>
      <c r="BK35" s="53" t="s">
        <v>13</v>
      </c>
      <c r="BL35" s="70">
        <v>668</v>
      </c>
      <c r="BM35" s="114">
        <v>4728</v>
      </c>
      <c r="BN35" s="114">
        <v>7927</v>
      </c>
      <c r="BO35" s="114">
        <v>9934</v>
      </c>
      <c r="BP35" s="115">
        <v>2435</v>
      </c>
      <c r="BQ35" s="115">
        <v>889</v>
      </c>
      <c r="BR35" s="73">
        <f>SUM(BL35:BQ35)</f>
        <v>26581</v>
      </c>
      <c r="BS35" s="143">
        <v>7279</v>
      </c>
      <c r="BT35" s="111"/>
      <c r="BU35" s="145" t="s">
        <v>30</v>
      </c>
      <c r="BV35" s="152" t="s">
        <v>14</v>
      </c>
      <c r="BW35" s="53" t="s">
        <v>13</v>
      </c>
      <c r="BX35" s="70">
        <v>668</v>
      </c>
      <c r="BY35" s="114">
        <v>4728</v>
      </c>
      <c r="BZ35" s="114">
        <v>7927</v>
      </c>
      <c r="CA35" s="114">
        <v>9934</v>
      </c>
      <c r="CB35" s="115">
        <v>2435</v>
      </c>
      <c r="CC35" s="115">
        <v>889</v>
      </c>
      <c r="CD35" s="73">
        <f>SUM(BX35:CC35)</f>
        <v>26581</v>
      </c>
      <c r="CE35" s="143">
        <v>7279</v>
      </c>
      <c r="CF35" s="111"/>
      <c r="CG35" s="145" t="s">
        <v>30</v>
      </c>
      <c r="CH35" s="152" t="s">
        <v>14</v>
      </c>
      <c r="CI35" s="53" t="s">
        <v>13</v>
      </c>
      <c r="CJ35" s="70">
        <v>668</v>
      </c>
      <c r="CK35" s="114">
        <v>4728</v>
      </c>
      <c r="CL35" s="114">
        <v>7927</v>
      </c>
      <c r="CM35" s="114">
        <v>9934</v>
      </c>
      <c r="CN35" s="115">
        <v>2435</v>
      </c>
      <c r="CO35" s="115">
        <v>889</v>
      </c>
      <c r="CP35" s="73">
        <f>SUM(CJ35:CO35)</f>
        <v>26581</v>
      </c>
      <c r="CQ35" s="143">
        <v>7279</v>
      </c>
      <c r="CR35" s="111"/>
      <c r="CS35" s="145" t="s">
        <v>30</v>
      </c>
      <c r="CT35" s="152" t="s">
        <v>14</v>
      </c>
      <c r="CU35" s="53" t="s">
        <v>13</v>
      </c>
      <c r="CV35" s="70">
        <v>668</v>
      </c>
      <c r="CW35" s="114">
        <v>4728</v>
      </c>
      <c r="CX35" s="114">
        <v>7927</v>
      </c>
      <c r="CY35" s="114">
        <v>9934</v>
      </c>
      <c r="CZ35" s="115">
        <v>2435</v>
      </c>
      <c r="DA35" s="115">
        <v>889</v>
      </c>
      <c r="DB35" s="73">
        <f>SUM(CV35:DA35)</f>
        <v>26581</v>
      </c>
      <c r="DC35" s="143">
        <v>7279</v>
      </c>
      <c r="DD35" s="111"/>
      <c r="DE35" s="145" t="s">
        <v>30</v>
      </c>
      <c r="DF35" s="152" t="s">
        <v>14</v>
      </c>
      <c r="DG35" s="53" t="s">
        <v>13</v>
      </c>
      <c r="DH35" s="70">
        <v>0</v>
      </c>
      <c r="DI35" s="71">
        <v>0</v>
      </c>
      <c r="DJ35" s="71">
        <v>0</v>
      </c>
      <c r="DK35" s="71">
        <v>0</v>
      </c>
      <c r="DL35" s="71">
        <v>0</v>
      </c>
      <c r="DM35" s="72">
        <v>0</v>
      </c>
      <c r="DN35" s="73">
        <f>SUM(DH35:DM35)</f>
        <v>0</v>
      </c>
      <c r="DO35" s="143">
        <v>0</v>
      </c>
      <c r="DP35" s="111"/>
      <c r="DQ35" s="145" t="s">
        <v>30</v>
      </c>
      <c r="DR35" s="152" t="s">
        <v>14</v>
      </c>
      <c r="DS35" s="53" t="s">
        <v>13</v>
      </c>
      <c r="DT35" s="70">
        <v>0</v>
      </c>
      <c r="DU35" s="71">
        <v>0</v>
      </c>
      <c r="DV35" s="71">
        <v>0</v>
      </c>
      <c r="DW35" s="71">
        <v>0</v>
      </c>
      <c r="DX35" s="71">
        <v>0</v>
      </c>
      <c r="DY35" s="72">
        <v>0</v>
      </c>
      <c r="DZ35" s="73">
        <f>SUM(DT35:DY35)</f>
        <v>0</v>
      </c>
      <c r="EA35" s="143">
        <v>0</v>
      </c>
      <c r="EB35" s="111"/>
      <c r="EC35" s="145" t="s">
        <v>30</v>
      </c>
      <c r="ED35" s="152" t="s">
        <v>14</v>
      </c>
      <c r="EE35" s="53" t="s">
        <v>13</v>
      </c>
      <c r="EF35" s="70">
        <v>0</v>
      </c>
      <c r="EG35" s="71">
        <v>0</v>
      </c>
      <c r="EH35" s="71">
        <v>0</v>
      </c>
      <c r="EI35" s="71">
        <v>0</v>
      </c>
      <c r="EJ35" s="71">
        <v>0</v>
      </c>
      <c r="EK35" s="72">
        <v>0</v>
      </c>
      <c r="EL35" s="73">
        <f>SUM(EF35:EK35)</f>
        <v>0</v>
      </c>
      <c r="EM35" s="143">
        <v>0</v>
      </c>
      <c r="EN35" s="111"/>
      <c r="EO35" s="145" t="str">
        <f t="shared" ref="EO35" si="105">EC35</f>
        <v>الرغامة</v>
      </c>
      <c r="EP35" s="105" t="s">
        <v>14</v>
      </c>
      <c r="EQ35" s="53" t="s">
        <v>13</v>
      </c>
      <c r="ER35" s="70">
        <f t="shared" ref="ER35:EW38" si="106">SUM(EF35)</f>
        <v>0</v>
      </c>
      <c r="ES35" s="71">
        <f t="shared" si="106"/>
        <v>0</v>
      </c>
      <c r="ET35" s="71">
        <f t="shared" si="106"/>
        <v>0</v>
      </c>
      <c r="EU35" s="71">
        <f t="shared" si="106"/>
        <v>0</v>
      </c>
      <c r="EV35" s="71">
        <f t="shared" si="106"/>
        <v>0</v>
      </c>
      <c r="EW35" s="72">
        <f t="shared" si="106"/>
        <v>0</v>
      </c>
      <c r="EX35" s="74">
        <f>SUM(ER35:EW35)</f>
        <v>0</v>
      </c>
      <c r="EY35" s="143">
        <f>SUM(EM35)</f>
        <v>0</v>
      </c>
      <c r="EZ35" s="60"/>
    </row>
    <row r="36" spans="1:156" ht="15.95" customHeight="1" thickBot="1" x14ac:dyDescent="0.25">
      <c r="A36" s="146"/>
      <c r="B36" s="153"/>
      <c r="C36" s="55" t="s">
        <v>15</v>
      </c>
      <c r="D36" s="130">
        <v>618</v>
      </c>
      <c r="E36" s="122">
        <v>4678</v>
      </c>
      <c r="F36" s="122">
        <v>6607</v>
      </c>
      <c r="G36" s="122">
        <v>11493</v>
      </c>
      <c r="H36" s="123">
        <v>1956</v>
      </c>
      <c r="I36" s="123">
        <v>569</v>
      </c>
      <c r="J36" s="120">
        <f>SUM(D36:I36)</f>
        <v>25921</v>
      </c>
      <c r="K36" s="144"/>
      <c r="L36" s="111"/>
      <c r="M36" s="146"/>
      <c r="N36" s="153"/>
      <c r="O36" s="55" t="s">
        <v>15</v>
      </c>
      <c r="P36" s="75">
        <v>618</v>
      </c>
      <c r="Q36" s="122">
        <v>4678</v>
      </c>
      <c r="R36" s="122">
        <v>6607</v>
      </c>
      <c r="S36" s="122">
        <v>11493</v>
      </c>
      <c r="T36" s="123">
        <v>1956</v>
      </c>
      <c r="U36" s="123">
        <v>569</v>
      </c>
      <c r="V36" s="78">
        <f>SUM(P36:U36)</f>
        <v>25921</v>
      </c>
      <c r="W36" s="144"/>
      <c r="X36" s="111"/>
      <c r="Y36" s="146"/>
      <c r="Z36" s="153"/>
      <c r="AA36" s="55" t="s">
        <v>15</v>
      </c>
      <c r="AB36" s="75">
        <v>618</v>
      </c>
      <c r="AC36" s="122">
        <v>4678</v>
      </c>
      <c r="AD36" s="122">
        <v>6607</v>
      </c>
      <c r="AE36" s="122">
        <v>11493</v>
      </c>
      <c r="AF36" s="123">
        <v>1956</v>
      </c>
      <c r="AG36" s="123">
        <v>569</v>
      </c>
      <c r="AH36" s="78">
        <f>SUM(AB36:AG36)</f>
        <v>25921</v>
      </c>
      <c r="AI36" s="144"/>
      <c r="AJ36" s="111"/>
      <c r="AK36" s="146"/>
      <c r="AL36" s="153"/>
      <c r="AM36" s="55" t="s">
        <v>15</v>
      </c>
      <c r="AN36" s="75">
        <v>618</v>
      </c>
      <c r="AO36" s="122">
        <v>4678</v>
      </c>
      <c r="AP36" s="122">
        <v>6607</v>
      </c>
      <c r="AQ36" s="122">
        <v>11493</v>
      </c>
      <c r="AR36" s="123">
        <v>1956</v>
      </c>
      <c r="AS36" s="123">
        <v>569</v>
      </c>
      <c r="AT36" s="78">
        <f>SUM(AN36:AS36)</f>
        <v>25921</v>
      </c>
      <c r="AU36" s="144"/>
      <c r="AV36" s="111"/>
      <c r="AW36" s="146"/>
      <c r="AX36" s="153"/>
      <c r="AY36" s="55" t="s">
        <v>15</v>
      </c>
      <c r="AZ36" s="75">
        <v>618</v>
      </c>
      <c r="BA36" s="122">
        <v>4678</v>
      </c>
      <c r="BB36" s="122">
        <v>6607</v>
      </c>
      <c r="BC36" s="122">
        <v>11493</v>
      </c>
      <c r="BD36" s="123">
        <v>1956</v>
      </c>
      <c r="BE36" s="123">
        <v>569</v>
      </c>
      <c r="BF36" s="78">
        <f>SUM(AZ36:BE36)</f>
        <v>25921</v>
      </c>
      <c r="BG36" s="144"/>
      <c r="BH36" s="111"/>
      <c r="BI36" s="146"/>
      <c r="BJ36" s="153"/>
      <c r="BK36" s="55" t="s">
        <v>15</v>
      </c>
      <c r="BL36" s="75">
        <v>618</v>
      </c>
      <c r="BM36" s="122">
        <v>4678</v>
      </c>
      <c r="BN36" s="122">
        <v>6607</v>
      </c>
      <c r="BO36" s="122">
        <v>11493</v>
      </c>
      <c r="BP36" s="123">
        <v>1956</v>
      </c>
      <c r="BQ36" s="123">
        <v>569</v>
      </c>
      <c r="BR36" s="78">
        <f>SUM(BL36:BQ36)</f>
        <v>25921</v>
      </c>
      <c r="BS36" s="144"/>
      <c r="BT36" s="111"/>
      <c r="BU36" s="146"/>
      <c r="BV36" s="153"/>
      <c r="BW36" s="55" t="s">
        <v>15</v>
      </c>
      <c r="BX36" s="75">
        <v>618</v>
      </c>
      <c r="BY36" s="122">
        <v>4678</v>
      </c>
      <c r="BZ36" s="122">
        <v>6607</v>
      </c>
      <c r="CA36" s="122">
        <v>11493</v>
      </c>
      <c r="CB36" s="123">
        <v>1956</v>
      </c>
      <c r="CC36" s="123">
        <v>569</v>
      </c>
      <c r="CD36" s="78">
        <f>SUM(BX36:CC36)</f>
        <v>25921</v>
      </c>
      <c r="CE36" s="144"/>
      <c r="CF36" s="111"/>
      <c r="CG36" s="146"/>
      <c r="CH36" s="153"/>
      <c r="CI36" s="55" t="s">
        <v>15</v>
      </c>
      <c r="CJ36" s="75">
        <v>618</v>
      </c>
      <c r="CK36" s="122">
        <v>4678</v>
      </c>
      <c r="CL36" s="122">
        <v>6607</v>
      </c>
      <c r="CM36" s="122">
        <v>11493</v>
      </c>
      <c r="CN36" s="123">
        <v>1956</v>
      </c>
      <c r="CO36" s="123">
        <v>569</v>
      </c>
      <c r="CP36" s="78">
        <f>SUM(CJ36:CO36)</f>
        <v>25921</v>
      </c>
      <c r="CQ36" s="144"/>
      <c r="CR36" s="111"/>
      <c r="CS36" s="146"/>
      <c r="CT36" s="153"/>
      <c r="CU36" s="55" t="s">
        <v>15</v>
      </c>
      <c r="CV36" s="75">
        <v>618</v>
      </c>
      <c r="CW36" s="122">
        <v>4678</v>
      </c>
      <c r="CX36" s="122">
        <v>6607</v>
      </c>
      <c r="CY36" s="122">
        <v>11493</v>
      </c>
      <c r="CZ36" s="123">
        <v>1956</v>
      </c>
      <c r="DA36" s="123">
        <v>569</v>
      </c>
      <c r="DB36" s="78">
        <f>SUM(CV36:DA36)</f>
        <v>25921</v>
      </c>
      <c r="DC36" s="144"/>
      <c r="DD36" s="111"/>
      <c r="DE36" s="146"/>
      <c r="DF36" s="153"/>
      <c r="DG36" s="55" t="s">
        <v>15</v>
      </c>
      <c r="DH36" s="75">
        <v>0</v>
      </c>
      <c r="DI36" s="76">
        <v>0</v>
      </c>
      <c r="DJ36" s="76">
        <v>0</v>
      </c>
      <c r="DK36" s="76">
        <v>0</v>
      </c>
      <c r="DL36" s="76">
        <v>0</v>
      </c>
      <c r="DM36" s="77">
        <v>0</v>
      </c>
      <c r="DN36" s="78">
        <f>SUM(DH36:DM36)</f>
        <v>0</v>
      </c>
      <c r="DO36" s="144"/>
      <c r="DP36" s="111"/>
      <c r="DQ36" s="146"/>
      <c r="DR36" s="153"/>
      <c r="DS36" s="55" t="s">
        <v>15</v>
      </c>
      <c r="DT36" s="75">
        <v>0</v>
      </c>
      <c r="DU36" s="76">
        <v>0</v>
      </c>
      <c r="DV36" s="76">
        <v>0</v>
      </c>
      <c r="DW36" s="76">
        <v>0</v>
      </c>
      <c r="DX36" s="76">
        <v>0</v>
      </c>
      <c r="DY36" s="77">
        <v>0</v>
      </c>
      <c r="DZ36" s="78">
        <f>SUM(DT36:DY36)</f>
        <v>0</v>
      </c>
      <c r="EA36" s="144"/>
      <c r="EB36" s="111"/>
      <c r="EC36" s="146"/>
      <c r="ED36" s="153"/>
      <c r="EE36" s="55" t="s">
        <v>15</v>
      </c>
      <c r="EF36" s="75">
        <v>0</v>
      </c>
      <c r="EG36" s="76">
        <v>0</v>
      </c>
      <c r="EH36" s="76">
        <v>0</v>
      </c>
      <c r="EI36" s="76">
        <v>0</v>
      </c>
      <c r="EJ36" s="76">
        <v>0</v>
      </c>
      <c r="EK36" s="77">
        <v>0</v>
      </c>
      <c r="EL36" s="78">
        <f>SUM(EF36:EK36)</f>
        <v>0</v>
      </c>
      <c r="EM36" s="144"/>
      <c r="EN36" s="111"/>
      <c r="EO36" s="146"/>
      <c r="EP36" s="106"/>
      <c r="EQ36" s="55" t="s">
        <v>15</v>
      </c>
      <c r="ER36" s="75">
        <f t="shared" si="106"/>
        <v>0</v>
      </c>
      <c r="ES36" s="76">
        <f t="shared" si="106"/>
        <v>0</v>
      </c>
      <c r="ET36" s="76">
        <f t="shared" si="106"/>
        <v>0</v>
      </c>
      <c r="EU36" s="76">
        <f t="shared" si="106"/>
        <v>0</v>
      </c>
      <c r="EV36" s="76">
        <f t="shared" si="106"/>
        <v>0</v>
      </c>
      <c r="EW36" s="77">
        <f t="shared" si="106"/>
        <v>0</v>
      </c>
      <c r="EX36" s="79">
        <f>SUM(ER36:EW36)</f>
        <v>0</v>
      </c>
      <c r="EY36" s="144"/>
      <c r="EZ36" s="60"/>
    </row>
    <row r="37" spans="1:156" ht="15.95" customHeight="1" thickBot="1" x14ac:dyDescent="0.25">
      <c r="A37" s="146"/>
      <c r="B37" s="56" t="s">
        <v>16</v>
      </c>
      <c r="C37" s="57" t="s">
        <v>13</v>
      </c>
      <c r="D37" s="130">
        <v>44</v>
      </c>
      <c r="E37" s="122">
        <v>95</v>
      </c>
      <c r="F37" s="122">
        <v>253</v>
      </c>
      <c r="G37" s="122">
        <v>322</v>
      </c>
      <c r="H37" s="123">
        <v>122</v>
      </c>
      <c r="I37" s="123">
        <v>71</v>
      </c>
      <c r="J37" s="116">
        <f>SUM(D37:I37)</f>
        <v>907</v>
      </c>
      <c r="K37" s="143">
        <v>131</v>
      </c>
      <c r="L37" s="111"/>
      <c r="M37" s="146"/>
      <c r="N37" s="56" t="s">
        <v>16</v>
      </c>
      <c r="O37" s="57" t="s">
        <v>13</v>
      </c>
      <c r="P37" s="70">
        <v>44</v>
      </c>
      <c r="Q37" s="122">
        <v>95</v>
      </c>
      <c r="R37" s="122">
        <v>253</v>
      </c>
      <c r="S37" s="122">
        <v>322</v>
      </c>
      <c r="T37" s="123">
        <v>122</v>
      </c>
      <c r="U37" s="123">
        <v>71</v>
      </c>
      <c r="V37" s="73">
        <f>SUM(P37:U37)</f>
        <v>907</v>
      </c>
      <c r="W37" s="143">
        <v>131</v>
      </c>
      <c r="X37" s="111"/>
      <c r="Y37" s="146"/>
      <c r="Z37" s="56" t="s">
        <v>16</v>
      </c>
      <c r="AA37" s="57" t="s">
        <v>13</v>
      </c>
      <c r="AB37" s="70">
        <v>44</v>
      </c>
      <c r="AC37" s="122">
        <v>95</v>
      </c>
      <c r="AD37" s="122">
        <v>253</v>
      </c>
      <c r="AE37" s="122">
        <v>322</v>
      </c>
      <c r="AF37" s="123">
        <v>122</v>
      </c>
      <c r="AG37" s="123">
        <v>71</v>
      </c>
      <c r="AH37" s="73">
        <f>SUM(AB37:AG37)</f>
        <v>907</v>
      </c>
      <c r="AI37" s="143">
        <v>131</v>
      </c>
      <c r="AJ37" s="111"/>
      <c r="AK37" s="146"/>
      <c r="AL37" s="56" t="s">
        <v>16</v>
      </c>
      <c r="AM37" s="57" t="s">
        <v>13</v>
      </c>
      <c r="AN37" s="70">
        <v>44</v>
      </c>
      <c r="AO37" s="122">
        <v>95</v>
      </c>
      <c r="AP37" s="122">
        <v>253</v>
      </c>
      <c r="AQ37" s="122">
        <v>322</v>
      </c>
      <c r="AR37" s="123">
        <v>122</v>
      </c>
      <c r="AS37" s="123">
        <v>71</v>
      </c>
      <c r="AT37" s="73">
        <f>SUM(AN37:AS37)</f>
        <v>907</v>
      </c>
      <c r="AU37" s="143">
        <v>131</v>
      </c>
      <c r="AV37" s="111"/>
      <c r="AW37" s="146"/>
      <c r="AX37" s="56" t="s">
        <v>16</v>
      </c>
      <c r="AY37" s="57" t="s">
        <v>13</v>
      </c>
      <c r="AZ37" s="70">
        <v>44</v>
      </c>
      <c r="BA37" s="122">
        <v>95</v>
      </c>
      <c r="BB37" s="122">
        <v>253</v>
      </c>
      <c r="BC37" s="122">
        <v>322</v>
      </c>
      <c r="BD37" s="123">
        <v>122</v>
      </c>
      <c r="BE37" s="123">
        <v>71</v>
      </c>
      <c r="BF37" s="73">
        <f>SUM(AZ37:BE37)</f>
        <v>907</v>
      </c>
      <c r="BG37" s="143">
        <v>131</v>
      </c>
      <c r="BH37" s="111"/>
      <c r="BI37" s="146"/>
      <c r="BJ37" s="56" t="s">
        <v>16</v>
      </c>
      <c r="BK37" s="57" t="s">
        <v>13</v>
      </c>
      <c r="BL37" s="70">
        <v>44</v>
      </c>
      <c r="BM37" s="122">
        <v>95</v>
      </c>
      <c r="BN37" s="122">
        <v>253</v>
      </c>
      <c r="BO37" s="122">
        <v>322</v>
      </c>
      <c r="BP37" s="123">
        <v>122</v>
      </c>
      <c r="BQ37" s="123">
        <v>71</v>
      </c>
      <c r="BR37" s="73">
        <f>SUM(BL37:BQ37)</f>
        <v>907</v>
      </c>
      <c r="BS37" s="143">
        <v>131</v>
      </c>
      <c r="BT37" s="111"/>
      <c r="BU37" s="146"/>
      <c r="BV37" s="56" t="s">
        <v>16</v>
      </c>
      <c r="BW37" s="57" t="s">
        <v>13</v>
      </c>
      <c r="BX37" s="70">
        <v>44</v>
      </c>
      <c r="BY37" s="122">
        <v>95</v>
      </c>
      <c r="BZ37" s="122">
        <v>253</v>
      </c>
      <c r="CA37" s="122">
        <v>322</v>
      </c>
      <c r="CB37" s="123">
        <v>122</v>
      </c>
      <c r="CC37" s="123">
        <v>71</v>
      </c>
      <c r="CD37" s="73">
        <f>SUM(BX37:CC37)</f>
        <v>907</v>
      </c>
      <c r="CE37" s="143">
        <v>131</v>
      </c>
      <c r="CF37" s="111"/>
      <c r="CG37" s="146"/>
      <c r="CH37" s="56" t="s">
        <v>16</v>
      </c>
      <c r="CI37" s="57" t="s">
        <v>13</v>
      </c>
      <c r="CJ37" s="70">
        <v>44</v>
      </c>
      <c r="CK37" s="122">
        <v>95</v>
      </c>
      <c r="CL37" s="122">
        <v>253</v>
      </c>
      <c r="CM37" s="122">
        <v>322</v>
      </c>
      <c r="CN37" s="123">
        <v>122</v>
      </c>
      <c r="CO37" s="123">
        <v>71</v>
      </c>
      <c r="CP37" s="73">
        <f>SUM(CJ37:CO37)</f>
        <v>907</v>
      </c>
      <c r="CQ37" s="143">
        <v>131</v>
      </c>
      <c r="CR37" s="111"/>
      <c r="CS37" s="146"/>
      <c r="CT37" s="56" t="s">
        <v>16</v>
      </c>
      <c r="CU37" s="57" t="s">
        <v>13</v>
      </c>
      <c r="CV37" s="70">
        <v>44</v>
      </c>
      <c r="CW37" s="122">
        <v>95</v>
      </c>
      <c r="CX37" s="122">
        <v>253</v>
      </c>
      <c r="CY37" s="122">
        <v>322</v>
      </c>
      <c r="CZ37" s="123">
        <v>122</v>
      </c>
      <c r="DA37" s="123">
        <v>71</v>
      </c>
      <c r="DB37" s="73">
        <f>SUM(CV37:DA37)</f>
        <v>907</v>
      </c>
      <c r="DC37" s="143">
        <v>131</v>
      </c>
      <c r="DD37" s="111"/>
      <c r="DE37" s="146"/>
      <c r="DF37" s="56" t="s">
        <v>16</v>
      </c>
      <c r="DG37" s="57" t="s">
        <v>13</v>
      </c>
      <c r="DH37" s="70">
        <v>0</v>
      </c>
      <c r="DI37" s="71">
        <v>0</v>
      </c>
      <c r="DJ37" s="71">
        <v>0</v>
      </c>
      <c r="DK37" s="71">
        <v>0</v>
      </c>
      <c r="DL37" s="71">
        <v>0</v>
      </c>
      <c r="DM37" s="72">
        <v>0</v>
      </c>
      <c r="DN37" s="73">
        <f>SUM(DH37:DM37)</f>
        <v>0</v>
      </c>
      <c r="DO37" s="143">
        <v>0</v>
      </c>
      <c r="DP37" s="111"/>
      <c r="DQ37" s="146"/>
      <c r="DR37" s="56" t="s">
        <v>16</v>
      </c>
      <c r="DS37" s="57" t="s">
        <v>13</v>
      </c>
      <c r="DT37" s="70">
        <v>0</v>
      </c>
      <c r="DU37" s="71">
        <v>0</v>
      </c>
      <c r="DV37" s="71">
        <v>0</v>
      </c>
      <c r="DW37" s="71">
        <v>0</v>
      </c>
      <c r="DX37" s="71">
        <v>0</v>
      </c>
      <c r="DY37" s="72">
        <v>0</v>
      </c>
      <c r="DZ37" s="73">
        <f>SUM(DT37:DY37)</f>
        <v>0</v>
      </c>
      <c r="EA37" s="143">
        <v>0</v>
      </c>
      <c r="EB37" s="111"/>
      <c r="EC37" s="146"/>
      <c r="ED37" s="56" t="s">
        <v>16</v>
      </c>
      <c r="EE37" s="57" t="s">
        <v>13</v>
      </c>
      <c r="EF37" s="70">
        <v>0</v>
      </c>
      <c r="EG37" s="71">
        <v>0</v>
      </c>
      <c r="EH37" s="71">
        <v>0</v>
      </c>
      <c r="EI37" s="71">
        <v>0</v>
      </c>
      <c r="EJ37" s="71">
        <v>0</v>
      </c>
      <c r="EK37" s="72">
        <v>0</v>
      </c>
      <c r="EL37" s="73">
        <f>SUM(EF37:EK37)</f>
        <v>0</v>
      </c>
      <c r="EM37" s="143">
        <v>0</v>
      </c>
      <c r="EN37" s="111"/>
      <c r="EO37" s="146"/>
      <c r="EP37" s="56" t="s">
        <v>16</v>
      </c>
      <c r="EQ37" s="57" t="s">
        <v>13</v>
      </c>
      <c r="ER37" s="80">
        <f t="shared" si="106"/>
        <v>0</v>
      </c>
      <c r="ES37" s="81">
        <f t="shared" si="106"/>
        <v>0</v>
      </c>
      <c r="ET37" s="81">
        <f t="shared" si="106"/>
        <v>0</v>
      </c>
      <c r="EU37" s="81">
        <f t="shared" si="106"/>
        <v>0</v>
      </c>
      <c r="EV37" s="81">
        <f t="shared" si="106"/>
        <v>0</v>
      </c>
      <c r="EW37" s="82">
        <f t="shared" si="106"/>
        <v>0</v>
      </c>
      <c r="EX37" s="74">
        <f>SUM(ER37:EW37)</f>
        <v>0</v>
      </c>
      <c r="EY37" s="143">
        <f>SUM(EM37)</f>
        <v>0</v>
      </c>
      <c r="EZ37" s="60"/>
    </row>
    <row r="38" spans="1:156" ht="15.95" customHeight="1" thickBot="1" x14ac:dyDescent="0.25">
      <c r="A38" s="146"/>
      <c r="B38" s="58" t="s">
        <v>14</v>
      </c>
      <c r="C38" s="59" t="s">
        <v>15</v>
      </c>
      <c r="D38" s="130">
        <v>59</v>
      </c>
      <c r="E38" s="122">
        <v>114</v>
      </c>
      <c r="F38" s="122">
        <v>219</v>
      </c>
      <c r="G38" s="122">
        <v>341</v>
      </c>
      <c r="H38" s="123">
        <v>112</v>
      </c>
      <c r="I38" s="123">
        <v>57</v>
      </c>
      <c r="J38" s="120">
        <f>SUM(D38:I38)</f>
        <v>902</v>
      </c>
      <c r="K38" s="144"/>
      <c r="L38" s="111"/>
      <c r="M38" s="146"/>
      <c r="N38" s="58" t="s">
        <v>14</v>
      </c>
      <c r="O38" s="59" t="s">
        <v>15</v>
      </c>
      <c r="P38" s="75">
        <v>59</v>
      </c>
      <c r="Q38" s="122">
        <v>114</v>
      </c>
      <c r="R38" s="122">
        <v>219</v>
      </c>
      <c r="S38" s="122">
        <v>341</v>
      </c>
      <c r="T38" s="123">
        <v>112</v>
      </c>
      <c r="U38" s="123">
        <v>57</v>
      </c>
      <c r="V38" s="78">
        <f>SUM(P38:U38)</f>
        <v>902</v>
      </c>
      <c r="W38" s="144"/>
      <c r="X38" s="111"/>
      <c r="Y38" s="146"/>
      <c r="Z38" s="58" t="s">
        <v>14</v>
      </c>
      <c r="AA38" s="59" t="s">
        <v>15</v>
      </c>
      <c r="AB38" s="75">
        <v>59</v>
      </c>
      <c r="AC38" s="122">
        <v>114</v>
      </c>
      <c r="AD38" s="122">
        <v>219</v>
      </c>
      <c r="AE38" s="122">
        <v>341</v>
      </c>
      <c r="AF38" s="123">
        <v>112</v>
      </c>
      <c r="AG38" s="123">
        <v>57</v>
      </c>
      <c r="AH38" s="78">
        <f>SUM(AB38:AG38)</f>
        <v>902</v>
      </c>
      <c r="AI38" s="144"/>
      <c r="AJ38" s="111"/>
      <c r="AK38" s="146"/>
      <c r="AL38" s="58" t="s">
        <v>14</v>
      </c>
      <c r="AM38" s="59" t="s">
        <v>15</v>
      </c>
      <c r="AN38" s="75">
        <v>59</v>
      </c>
      <c r="AO38" s="122">
        <v>114</v>
      </c>
      <c r="AP38" s="122">
        <v>219</v>
      </c>
      <c r="AQ38" s="122">
        <v>341</v>
      </c>
      <c r="AR38" s="123">
        <v>112</v>
      </c>
      <c r="AS38" s="123">
        <v>57</v>
      </c>
      <c r="AT38" s="78">
        <f>SUM(AN38:AS38)</f>
        <v>902</v>
      </c>
      <c r="AU38" s="144"/>
      <c r="AV38" s="111"/>
      <c r="AW38" s="146"/>
      <c r="AX38" s="58" t="s">
        <v>14</v>
      </c>
      <c r="AY38" s="59" t="s">
        <v>15</v>
      </c>
      <c r="AZ38" s="75">
        <v>59</v>
      </c>
      <c r="BA38" s="122">
        <v>114</v>
      </c>
      <c r="BB38" s="122">
        <v>219</v>
      </c>
      <c r="BC38" s="122">
        <v>341</v>
      </c>
      <c r="BD38" s="123">
        <v>112</v>
      </c>
      <c r="BE38" s="123">
        <v>57</v>
      </c>
      <c r="BF38" s="78">
        <f>SUM(AZ38:BE38)</f>
        <v>902</v>
      </c>
      <c r="BG38" s="144"/>
      <c r="BH38" s="111"/>
      <c r="BI38" s="146"/>
      <c r="BJ38" s="58" t="s">
        <v>14</v>
      </c>
      <c r="BK38" s="59" t="s">
        <v>15</v>
      </c>
      <c r="BL38" s="75">
        <v>59</v>
      </c>
      <c r="BM38" s="122">
        <v>114</v>
      </c>
      <c r="BN38" s="122">
        <v>219</v>
      </c>
      <c r="BO38" s="122">
        <v>341</v>
      </c>
      <c r="BP38" s="123">
        <v>112</v>
      </c>
      <c r="BQ38" s="123">
        <v>57</v>
      </c>
      <c r="BR38" s="78">
        <f>SUM(BL38:BQ38)</f>
        <v>902</v>
      </c>
      <c r="BS38" s="144"/>
      <c r="BT38" s="111"/>
      <c r="BU38" s="146"/>
      <c r="BV38" s="58" t="s">
        <v>14</v>
      </c>
      <c r="BW38" s="59" t="s">
        <v>15</v>
      </c>
      <c r="BX38" s="75">
        <v>59</v>
      </c>
      <c r="BY38" s="122">
        <v>114</v>
      </c>
      <c r="BZ38" s="122">
        <v>219</v>
      </c>
      <c r="CA38" s="122">
        <v>341</v>
      </c>
      <c r="CB38" s="123">
        <v>112</v>
      </c>
      <c r="CC38" s="123">
        <v>57</v>
      </c>
      <c r="CD38" s="78">
        <f>SUM(BX38:CC38)</f>
        <v>902</v>
      </c>
      <c r="CE38" s="144"/>
      <c r="CF38" s="111"/>
      <c r="CG38" s="146"/>
      <c r="CH38" s="58" t="s">
        <v>14</v>
      </c>
      <c r="CI38" s="59" t="s">
        <v>15</v>
      </c>
      <c r="CJ38" s="75">
        <v>59</v>
      </c>
      <c r="CK38" s="122">
        <v>114</v>
      </c>
      <c r="CL38" s="122">
        <v>219</v>
      </c>
      <c r="CM38" s="122">
        <v>341</v>
      </c>
      <c r="CN38" s="123">
        <v>112</v>
      </c>
      <c r="CO38" s="123">
        <v>57</v>
      </c>
      <c r="CP38" s="78">
        <f>SUM(CJ38:CO38)</f>
        <v>902</v>
      </c>
      <c r="CQ38" s="144"/>
      <c r="CR38" s="111"/>
      <c r="CS38" s="146"/>
      <c r="CT38" s="58" t="s">
        <v>14</v>
      </c>
      <c r="CU38" s="59" t="s">
        <v>15</v>
      </c>
      <c r="CV38" s="75">
        <v>59</v>
      </c>
      <c r="CW38" s="122">
        <v>114</v>
      </c>
      <c r="CX38" s="122">
        <v>219</v>
      </c>
      <c r="CY38" s="122">
        <v>341</v>
      </c>
      <c r="CZ38" s="123">
        <v>112</v>
      </c>
      <c r="DA38" s="123">
        <v>57</v>
      </c>
      <c r="DB38" s="78">
        <f>SUM(CV38:DA38)</f>
        <v>902</v>
      </c>
      <c r="DC38" s="144"/>
      <c r="DD38" s="111"/>
      <c r="DE38" s="146"/>
      <c r="DF38" s="58" t="s">
        <v>14</v>
      </c>
      <c r="DG38" s="59" t="s">
        <v>15</v>
      </c>
      <c r="DH38" s="75">
        <v>0</v>
      </c>
      <c r="DI38" s="76">
        <v>0</v>
      </c>
      <c r="DJ38" s="76">
        <v>0</v>
      </c>
      <c r="DK38" s="76">
        <v>0</v>
      </c>
      <c r="DL38" s="76">
        <v>0</v>
      </c>
      <c r="DM38" s="77">
        <v>0</v>
      </c>
      <c r="DN38" s="78">
        <f>SUM(DH38:DM38)</f>
        <v>0</v>
      </c>
      <c r="DO38" s="144"/>
      <c r="DP38" s="111"/>
      <c r="DQ38" s="146"/>
      <c r="DR38" s="58" t="s">
        <v>14</v>
      </c>
      <c r="DS38" s="59" t="s">
        <v>15</v>
      </c>
      <c r="DT38" s="75">
        <v>0</v>
      </c>
      <c r="DU38" s="76">
        <v>0</v>
      </c>
      <c r="DV38" s="76">
        <v>0</v>
      </c>
      <c r="DW38" s="76">
        <v>0</v>
      </c>
      <c r="DX38" s="76">
        <v>0</v>
      </c>
      <c r="DY38" s="77">
        <v>0</v>
      </c>
      <c r="DZ38" s="78">
        <f>SUM(DT38:DY38)</f>
        <v>0</v>
      </c>
      <c r="EA38" s="144"/>
      <c r="EB38" s="111"/>
      <c r="EC38" s="146"/>
      <c r="ED38" s="58" t="s">
        <v>14</v>
      </c>
      <c r="EE38" s="59" t="s">
        <v>15</v>
      </c>
      <c r="EF38" s="75">
        <v>0</v>
      </c>
      <c r="EG38" s="76">
        <v>0</v>
      </c>
      <c r="EH38" s="76">
        <v>0</v>
      </c>
      <c r="EI38" s="76">
        <v>0</v>
      </c>
      <c r="EJ38" s="76">
        <v>0</v>
      </c>
      <c r="EK38" s="77">
        <v>0</v>
      </c>
      <c r="EL38" s="78">
        <f>SUM(EF38:EK38)</f>
        <v>0</v>
      </c>
      <c r="EM38" s="144"/>
      <c r="EN38" s="111"/>
      <c r="EO38" s="146"/>
      <c r="EP38" s="58" t="s">
        <v>14</v>
      </c>
      <c r="EQ38" s="59" t="s">
        <v>15</v>
      </c>
      <c r="ER38" s="75">
        <f t="shared" si="106"/>
        <v>0</v>
      </c>
      <c r="ES38" s="76">
        <f t="shared" si="106"/>
        <v>0</v>
      </c>
      <c r="ET38" s="76">
        <f t="shared" si="106"/>
        <v>0</v>
      </c>
      <c r="EU38" s="76">
        <f t="shared" si="106"/>
        <v>0</v>
      </c>
      <c r="EV38" s="76">
        <f t="shared" si="106"/>
        <v>0</v>
      </c>
      <c r="EW38" s="77">
        <f t="shared" si="106"/>
        <v>0</v>
      </c>
      <c r="EX38" s="79">
        <f>SUM(ER38:EW38)</f>
        <v>0</v>
      </c>
      <c r="EY38" s="144"/>
      <c r="EZ38" s="60"/>
    </row>
    <row r="39" spans="1:156" ht="15.95" customHeight="1" thickBot="1" x14ac:dyDescent="0.25">
      <c r="A39" s="147"/>
      <c r="B39" s="150" t="s">
        <v>17</v>
      </c>
      <c r="C39" s="151"/>
      <c r="D39" s="124">
        <f t="shared" ref="D39:K39" si="107">SUM(D35:D38)</f>
        <v>1389</v>
      </c>
      <c r="E39" s="125">
        <f t="shared" si="107"/>
        <v>9615</v>
      </c>
      <c r="F39" s="125">
        <f t="shared" si="107"/>
        <v>15006</v>
      </c>
      <c r="G39" s="125">
        <f t="shared" si="107"/>
        <v>22090</v>
      </c>
      <c r="H39" s="125">
        <f t="shared" si="107"/>
        <v>4625</v>
      </c>
      <c r="I39" s="126">
        <f t="shared" si="107"/>
        <v>1586</v>
      </c>
      <c r="J39" s="127">
        <f t="shared" si="107"/>
        <v>54311</v>
      </c>
      <c r="K39" s="86">
        <f t="shared" si="107"/>
        <v>7410</v>
      </c>
      <c r="L39" s="111"/>
      <c r="M39" s="147"/>
      <c r="N39" s="150" t="s">
        <v>17</v>
      </c>
      <c r="O39" s="151"/>
      <c r="P39" s="83">
        <f t="shared" ref="P39:W39" si="108">SUM(P35:P38)</f>
        <v>1389</v>
      </c>
      <c r="Q39" s="84">
        <f t="shared" si="108"/>
        <v>9615</v>
      </c>
      <c r="R39" s="84">
        <f t="shared" si="108"/>
        <v>15006</v>
      </c>
      <c r="S39" s="84">
        <f t="shared" si="108"/>
        <v>22090</v>
      </c>
      <c r="T39" s="84">
        <f t="shared" si="108"/>
        <v>4625</v>
      </c>
      <c r="U39" s="85">
        <f t="shared" si="108"/>
        <v>1586</v>
      </c>
      <c r="V39" s="1">
        <f t="shared" si="108"/>
        <v>54311</v>
      </c>
      <c r="W39" s="86">
        <f t="shared" si="108"/>
        <v>7410</v>
      </c>
      <c r="X39" s="111"/>
      <c r="Y39" s="147"/>
      <c r="Z39" s="150" t="s">
        <v>17</v>
      </c>
      <c r="AA39" s="151"/>
      <c r="AB39" s="83">
        <f t="shared" ref="AB39:AI39" si="109">SUM(AB35:AB38)</f>
        <v>1389</v>
      </c>
      <c r="AC39" s="84">
        <f t="shared" si="109"/>
        <v>9615</v>
      </c>
      <c r="AD39" s="84">
        <f t="shared" si="109"/>
        <v>15006</v>
      </c>
      <c r="AE39" s="84">
        <f t="shared" si="109"/>
        <v>22090</v>
      </c>
      <c r="AF39" s="84">
        <f t="shared" si="109"/>
        <v>4625</v>
      </c>
      <c r="AG39" s="85">
        <f t="shared" si="109"/>
        <v>1586</v>
      </c>
      <c r="AH39" s="1">
        <f t="shared" si="109"/>
        <v>54311</v>
      </c>
      <c r="AI39" s="86">
        <f t="shared" si="109"/>
        <v>7410</v>
      </c>
      <c r="AJ39" s="111"/>
      <c r="AK39" s="147"/>
      <c r="AL39" s="150" t="s">
        <v>17</v>
      </c>
      <c r="AM39" s="151"/>
      <c r="AN39" s="83">
        <f t="shared" ref="AN39:AU39" si="110">SUM(AN35:AN38)</f>
        <v>1389</v>
      </c>
      <c r="AO39" s="84">
        <f t="shared" si="110"/>
        <v>9615</v>
      </c>
      <c r="AP39" s="84">
        <f t="shared" si="110"/>
        <v>15006</v>
      </c>
      <c r="AQ39" s="84">
        <f t="shared" si="110"/>
        <v>22090</v>
      </c>
      <c r="AR39" s="84">
        <f t="shared" si="110"/>
        <v>4625</v>
      </c>
      <c r="AS39" s="85">
        <f t="shared" si="110"/>
        <v>1586</v>
      </c>
      <c r="AT39" s="1">
        <f t="shared" si="110"/>
        <v>54311</v>
      </c>
      <c r="AU39" s="86">
        <f t="shared" si="110"/>
        <v>7410</v>
      </c>
      <c r="AV39" s="111"/>
      <c r="AW39" s="147"/>
      <c r="AX39" s="150" t="s">
        <v>17</v>
      </c>
      <c r="AY39" s="151"/>
      <c r="AZ39" s="83">
        <f t="shared" ref="AZ39:BE39" si="111">SUM(AZ35:AZ38)</f>
        <v>1389</v>
      </c>
      <c r="BA39" s="84">
        <f t="shared" si="111"/>
        <v>9615</v>
      </c>
      <c r="BB39" s="84">
        <f t="shared" si="111"/>
        <v>15006</v>
      </c>
      <c r="BC39" s="84">
        <f t="shared" si="111"/>
        <v>22090</v>
      </c>
      <c r="BD39" s="84">
        <f t="shared" si="111"/>
        <v>4625</v>
      </c>
      <c r="BE39" s="85">
        <f t="shared" si="111"/>
        <v>1586</v>
      </c>
      <c r="BF39" s="1">
        <f t="shared" ref="BF39:BG39" si="112">SUM(BF35:BF38)</f>
        <v>54311</v>
      </c>
      <c r="BG39" s="86">
        <f t="shared" si="112"/>
        <v>7410</v>
      </c>
      <c r="BH39" s="111"/>
      <c r="BI39" s="147"/>
      <c r="BJ39" s="150" t="s">
        <v>17</v>
      </c>
      <c r="BK39" s="151"/>
      <c r="BL39" s="83">
        <f t="shared" ref="BL39:BQ39" si="113">SUM(BL35:BL38)</f>
        <v>1389</v>
      </c>
      <c r="BM39" s="84">
        <f t="shared" si="113"/>
        <v>9615</v>
      </c>
      <c r="BN39" s="84">
        <f t="shared" si="113"/>
        <v>15006</v>
      </c>
      <c r="BO39" s="84">
        <f t="shared" si="113"/>
        <v>22090</v>
      </c>
      <c r="BP39" s="84">
        <f t="shared" si="113"/>
        <v>4625</v>
      </c>
      <c r="BQ39" s="85">
        <f t="shared" si="113"/>
        <v>1586</v>
      </c>
      <c r="BR39" s="1">
        <f t="shared" ref="BR39:BS39" si="114">SUM(BR35:BR38)</f>
        <v>54311</v>
      </c>
      <c r="BS39" s="86">
        <f t="shared" si="114"/>
        <v>7410</v>
      </c>
      <c r="BT39" s="111"/>
      <c r="BU39" s="147"/>
      <c r="BV39" s="150" t="s">
        <v>17</v>
      </c>
      <c r="BW39" s="151"/>
      <c r="BX39" s="83">
        <f t="shared" ref="BX39:CE39" si="115">SUM(BX35:BX38)</f>
        <v>1389</v>
      </c>
      <c r="BY39" s="84">
        <f t="shared" si="115"/>
        <v>9615</v>
      </c>
      <c r="BZ39" s="84">
        <f t="shared" si="115"/>
        <v>15006</v>
      </c>
      <c r="CA39" s="84">
        <f t="shared" si="115"/>
        <v>22090</v>
      </c>
      <c r="CB39" s="84">
        <f t="shared" si="115"/>
        <v>4625</v>
      </c>
      <c r="CC39" s="85">
        <f t="shared" si="115"/>
        <v>1586</v>
      </c>
      <c r="CD39" s="1">
        <f t="shared" si="115"/>
        <v>54311</v>
      </c>
      <c r="CE39" s="86">
        <f t="shared" si="115"/>
        <v>7410</v>
      </c>
      <c r="CF39" s="111"/>
      <c r="CG39" s="147"/>
      <c r="CH39" s="150" t="s">
        <v>17</v>
      </c>
      <c r="CI39" s="151"/>
      <c r="CJ39" s="83">
        <f t="shared" ref="CJ39:CQ39" si="116">SUM(CJ35:CJ38)</f>
        <v>1389</v>
      </c>
      <c r="CK39" s="84">
        <f t="shared" si="116"/>
        <v>9615</v>
      </c>
      <c r="CL39" s="84">
        <f t="shared" si="116"/>
        <v>15006</v>
      </c>
      <c r="CM39" s="84">
        <f t="shared" si="116"/>
        <v>22090</v>
      </c>
      <c r="CN39" s="84">
        <f t="shared" si="116"/>
        <v>4625</v>
      </c>
      <c r="CO39" s="85">
        <f t="shared" si="116"/>
        <v>1586</v>
      </c>
      <c r="CP39" s="1">
        <f t="shared" si="116"/>
        <v>54311</v>
      </c>
      <c r="CQ39" s="86">
        <f t="shared" si="116"/>
        <v>7410</v>
      </c>
      <c r="CR39" s="111"/>
      <c r="CS39" s="147"/>
      <c r="CT39" s="150" t="s">
        <v>17</v>
      </c>
      <c r="CU39" s="151"/>
      <c r="CV39" s="83">
        <f t="shared" ref="CV39:DC39" si="117">SUM(CV35:CV38)</f>
        <v>1389</v>
      </c>
      <c r="CW39" s="84">
        <f t="shared" si="117"/>
        <v>9615</v>
      </c>
      <c r="CX39" s="84">
        <f t="shared" si="117"/>
        <v>15006</v>
      </c>
      <c r="CY39" s="84">
        <f t="shared" si="117"/>
        <v>22090</v>
      </c>
      <c r="CZ39" s="84">
        <f t="shared" si="117"/>
        <v>4625</v>
      </c>
      <c r="DA39" s="85">
        <f t="shared" si="117"/>
        <v>1586</v>
      </c>
      <c r="DB39" s="1">
        <f t="shared" si="117"/>
        <v>54311</v>
      </c>
      <c r="DC39" s="86">
        <f t="shared" si="117"/>
        <v>7410</v>
      </c>
      <c r="DD39" s="111"/>
      <c r="DE39" s="147"/>
      <c r="DF39" s="150" t="s">
        <v>17</v>
      </c>
      <c r="DG39" s="151"/>
      <c r="DH39" s="83">
        <f t="shared" ref="DH39:DO39" si="118">SUM(DH35:DH38)</f>
        <v>0</v>
      </c>
      <c r="DI39" s="84">
        <f t="shared" si="118"/>
        <v>0</v>
      </c>
      <c r="DJ39" s="84">
        <f t="shared" si="118"/>
        <v>0</v>
      </c>
      <c r="DK39" s="84">
        <f t="shared" si="118"/>
        <v>0</v>
      </c>
      <c r="DL39" s="84">
        <f t="shared" si="118"/>
        <v>0</v>
      </c>
      <c r="DM39" s="85">
        <f t="shared" si="118"/>
        <v>0</v>
      </c>
      <c r="DN39" s="1">
        <f t="shared" si="118"/>
        <v>0</v>
      </c>
      <c r="DO39" s="86">
        <f t="shared" si="118"/>
        <v>0</v>
      </c>
      <c r="DP39" s="111"/>
      <c r="DQ39" s="147"/>
      <c r="DR39" s="150" t="s">
        <v>17</v>
      </c>
      <c r="DS39" s="151"/>
      <c r="DT39" s="83">
        <f t="shared" ref="DT39:EA39" si="119">SUM(DT35:DT38)</f>
        <v>0</v>
      </c>
      <c r="DU39" s="84">
        <f t="shared" si="119"/>
        <v>0</v>
      </c>
      <c r="DV39" s="84">
        <f t="shared" si="119"/>
        <v>0</v>
      </c>
      <c r="DW39" s="84">
        <f t="shared" si="119"/>
        <v>0</v>
      </c>
      <c r="DX39" s="84">
        <f t="shared" si="119"/>
        <v>0</v>
      </c>
      <c r="DY39" s="85">
        <f t="shared" si="119"/>
        <v>0</v>
      </c>
      <c r="DZ39" s="1">
        <f t="shared" si="119"/>
        <v>0</v>
      </c>
      <c r="EA39" s="86">
        <f t="shared" si="119"/>
        <v>0</v>
      </c>
      <c r="EB39" s="111"/>
      <c r="EC39" s="147"/>
      <c r="ED39" s="150" t="s">
        <v>17</v>
      </c>
      <c r="EE39" s="151"/>
      <c r="EF39" s="83">
        <f t="shared" ref="EF39:EM39" si="120">SUM(EF35:EF38)</f>
        <v>0</v>
      </c>
      <c r="EG39" s="84">
        <f t="shared" si="120"/>
        <v>0</v>
      </c>
      <c r="EH39" s="84">
        <f t="shared" si="120"/>
        <v>0</v>
      </c>
      <c r="EI39" s="84">
        <f t="shared" si="120"/>
        <v>0</v>
      </c>
      <c r="EJ39" s="84">
        <f t="shared" si="120"/>
        <v>0</v>
      </c>
      <c r="EK39" s="85">
        <f t="shared" si="120"/>
        <v>0</v>
      </c>
      <c r="EL39" s="1">
        <f t="shared" si="120"/>
        <v>0</v>
      </c>
      <c r="EM39" s="86">
        <f t="shared" si="120"/>
        <v>0</v>
      </c>
      <c r="EN39" s="111"/>
      <c r="EO39" s="147"/>
      <c r="EP39" s="107" t="s">
        <v>17</v>
      </c>
      <c r="EQ39" s="108"/>
      <c r="ER39" s="83">
        <f t="shared" ref="ER39:EY39" si="121">SUM(ER35:ER38)</f>
        <v>0</v>
      </c>
      <c r="ES39" s="84">
        <f t="shared" si="121"/>
        <v>0</v>
      </c>
      <c r="ET39" s="84">
        <f t="shared" si="121"/>
        <v>0</v>
      </c>
      <c r="EU39" s="84">
        <f t="shared" si="121"/>
        <v>0</v>
      </c>
      <c r="EV39" s="84">
        <f t="shared" si="121"/>
        <v>0</v>
      </c>
      <c r="EW39" s="85">
        <f t="shared" si="121"/>
        <v>0</v>
      </c>
      <c r="EX39" s="1">
        <f t="shared" si="121"/>
        <v>0</v>
      </c>
      <c r="EY39" s="86">
        <f t="shared" si="121"/>
        <v>0</v>
      </c>
      <c r="EZ39" s="60"/>
    </row>
    <row r="40" spans="1:156" ht="15.95" customHeight="1" thickTop="1" thickBot="1" x14ac:dyDescent="0.25">
      <c r="A40" s="145" t="s">
        <v>35</v>
      </c>
      <c r="B40" s="152" t="s">
        <v>14</v>
      </c>
      <c r="C40" s="53" t="s">
        <v>13</v>
      </c>
      <c r="D40" s="113">
        <v>1190</v>
      </c>
      <c r="E40" s="114">
        <v>3214</v>
      </c>
      <c r="F40" s="114">
        <v>6445</v>
      </c>
      <c r="G40" s="114">
        <v>16029</v>
      </c>
      <c r="H40" s="114">
        <v>3898</v>
      </c>
      <c r="I40" s="115">
        <v>1517</v>
      </c>
      <c r="J40" s="116">
        <f>SUM(D40:I40)</f>
        <v>32293</v>
      </c>
      <c r="K40" s="143">
        <v>13297</v>
      </c>
      <c r="L40" s="111"/>
      <c r="M40" s="145" t="s">
        <v>35</v>
      </c>
      <c r="N40" s="152" t="s">
        <v>14</v>
      </c>
      <c r="O40" s="53" t="s">
        <v>13</v>
      </c>
      <c r="P40" s="113">
        <v>1190</v>
      </c>
      <c r="Q40" s="114">
        <v>3214</v>
      </c>
      <c r="R40" s="114">
        <v>6445</v>
      </c>
      <c r="S40" s="114">
        <v>16029</v>
      </c>
      <c r="T40" s="114">
        <v>3898</v>
      </c>
      <c r="U40" s="115">
        <v>1517</v>
      </c>
      <c r="V40" s="73">
        <f>SUM(P40:U40)</f>
        <v>32293</v>
      </c>
      <c r="W40" s="143">
        <v>13297</v>
      </c>
      <c r="X40" s="111"/>
      <c r="Y40" s="145" t="s">
        <v>35</v>
      </c>
      <c r="Z40" s="152" t="s">
        <v>14</v>
      </c>
      <c r="AA40" s="53" t="s">
        <v>13</v>
      </c>
      <c r="AB40" s="113">
        <v>1190</v>
      </c>
      <c r="AC40" s="114">
        <v>3214</v>
      </c>
      <c r="AD40" s="114">
        <v>6445</v>
      </c>
      <c r="AE40" s="114">
        <v>16029</v>
      </c>
      <c r="AF40" s="114">
        <v>3898</v>
      </c>
      <c r="AG40" s="115">
        <v>1517</v>
      </c>
      <c r="AH40" s="73">
        <f>SUM(AB40:AG40)</f>
        <v>32293</v>
      </c>
      <c r="AI40" s="143">
        <v>13297</v>
      </c>
      <c r="AJ40" s="111"/>
      <c r="AK40" s="145" t="s">
        <v>35</v>
      </c>
      <c r="AL40" s="152" t="s">
        <v>14</v>
      </c>
      <c r="AM40" s="53" t="s">
        <v>13</v>
      </c>
      <c r="AN40" s="113">
        <v>1190</v>
      </c>
      <c r="AO40" s="114">
        <v>3214</v>
      </c>
      <c r="AP40" s="114">
        <v>6445</v>
      </c>
      <c r="AQ40" s="114">
        <v>16029</v>
      </c>
      <c r="AR40" s="114">
        <v>3898</v>
      </c>
      <c r="AS40" s="115">
        <v>1517</v>
      </c>
      <c r="AT40" s="73">
        <f>SUM(AN40:AS40)</f>
        <v>32293</v>
      </c>
      <c r="AU40" s="143">
        <v>13297</v>
      </c>
      <c r="AV40" s="111"/>
      <c r="AW40" s="145" t="s">
        <v>35</v>
      </c>
      <c r="AX40" s="152" t="s">
        <v>14</v>
      </c>
      <c r="AY40" s="53" t="s">
        <v>13</v>
      </c>
      <c r="AZ40" s="113">
        <v>1190</v>
      </c>
      <c r="BA40" s="114">
        <v>3214</v>
      </c>
      <c r="BB40" s="114">
        <v>6445</v>
      </c>
      <c r="BC40" s="114">
        <v>16029</v>
      </c>
      <c r="BD40" s="114">
        <v>3898</v>
      </c>
      <c r="BE40" s="115">
        <v>1517</v>
      </c>
      <c r="BF40" s="73">
        <f>SUM(AZ40:BE40)</f>
        <v>32293</v>
      </c>
      <c r="BG40" s="143">
        <v>13297</v>
      </c>
      <c r="BH40" s="111"/>
      <c r="BI40" s="145" t="s">
        <v>35</v>
      </c>
      <c r="BJ40" s="152" t="s">
        <v>14</v>
      </c>
      <c r="BK40" s="53" t="s">
        <v>13</v>
      </c>
      <c r="BL40" s="113">
        <v>1190</v>
      </c>
      <c r="BM40" s="114">
        <v>3214</v>
      </c>
      <c r="BN40" s="114">
        <v>6445</v>
      </c>
      <c r="BO40" s="114">
        <v>16029</v>
      </c>
      <c r="BP40" s="114">
        <v>3898</v>
      </c>
      <c r="BQ40" s="115">
        <v>1517</v>
      </c>
      <c r="BR40" s="73">
        <f>SUM(BL40:BQ40)</f>
        <v>32293</v>
      </c>
      <c r="BS40" s="143">
        <v>13297</v>
      </c>
      <c r="BT40" s="111"/>
      <c r="BU40" s="145" t="s">
        <v>35</v>
      </c>
      <c r="BV40" s="152" t="s">
        <v>14</v>
      </c>
      <c r="BW40" s="53" t="s">
        <v>13</v>
      </c>
      <c r="BX40" s="113">
        <v>1190</v>
      </c>
      <c r="BY40" s="114">
        <v>3214</v>
      </c>
      <c r="BZ40" s="114">
        <v>6445</v>
      </c>
      <c r="CA40" s="114">
        <v>16029</v>
      </c>
      <c r="CB40" s="114">
        <v>3898</v>
      </c>
      <c r="CC40" s="115">
        <v>1517</v>
      </c>
      <c r="CD40" s="73">
        <f>SUM(BX40:CC40)</f>
        <v>32293</v>
      </c>
      <c r="CE40" s="143">
        <v>13297</v>
      </c>
      <c r="CF40" s="111"/>
      <c r="CG40" s="145" t="s">
        <v>35</v>
      </c>
      <c r="CH40" s="152" t="s">
        <v>14</v>
      </c>
      <c r="CI40" s="53" t="s">
        <v>13</v>
      </c>
      <c r="CJ40" s="113">
        <v>1190</v>
      </c>
      <c r="CK40" s="114">
        <v>3214</v>
      </c>
      <c r="CL40" s="114">
        <v>6445</v>
      </c>
      <c r="CM40" s="114">
        <v>16029</v>
      </c>
      <c r="CN40" s="114">
        <v>3898</v>
      </c>
      <c r="CO40" s="115">
        <v>1517</v>
      </c>
      <c r="CP40" s="73">
        <f>SUM(CJ40:CO40)</f>
        <v>32293</v>
      </c>
      <c r="CQ40" s="143">
        <v>13297</v>
      </c>
      <c r="CR40" s="111"/>
      <c r="CS40" s="145" t="s">
        <v>35</v>
      </c>
      <c r="CT40" s="152" t="s">
        <v>14</v>
      </c>
      <c r="CU40" s="53" t="s">
        <v>13</v>
      </c>
      <c r="CV40" s="113">
        <v>1190</v>
      </c>
      <c r="CW40" s="114">
        <v>3214</v>
      </c>
      <c r="CX40" s="114">
        <v>6445</v>
      </c>
      <c r="CY40" s="114">
        <v>16029</v>
      </c>
      <c r="CZ40" s="114">
        <v>3898</v>
      </c>
      <c r="DA40" s="115">
        <v>1517</v>
      </c>
      <c r="DB40" s="73">
        <f>SUM(CV40:DA40)</f>
        <v>32293</v>
      </c>
      <c r="DC40" s="143">
        <v>13297</v>
      </c>
      <c r="DD40" s="111"/>
      <c r="DE40" s="145" t="s">
        <v>35</v>
      </c>
      <c r="DF40" s="152" t="s">
        <v>14</v>
      </c>
      <c r="DG40" s="53" t="s">
        <v>13</v>
      </c>
      <c r="DH40" s="70">
        <v>0</v>
      </c>
      <c r="DI40" s="71">
        <v>0</v>
      </c>
      <c r="DJ40" s="71">
        <v>0</v>
      </c>
      <c r="DK40" s="71">
        <v>0</v>
      </c>
      <c r="DL40" s="71">
        <v>0</v>
      </c>
      <c r="DM40" s="72">
        <v>0</v>
      </c>
      <c r="DN40" s="73">
        <f>SUM(DH40:DM40)</f>
        <v>0</v>
      </c>
      <c r="DO40" s="143">
        <v>0</v>
      </c>
      <c r="DP40" s="111"/>
      <c r="DQ40" s="145" t="s">
        <v>35</v>
      </c>
      <c r="DR40" s="152" t="s">
        <v>14</v>
      </c>
      <c r="DS40" s="53" t="s">
        <v>13</v>
      </c>
      <c r="DT40" s="70">
        <v>0</v>
      </c>
      <c r="DU40" s="71">
        <v>0</v>
      </c>
      <c r="DV40" s="71">
        <v>0</v>
      </c>
      <c r="DW40" s="71">
        <v>0</v>
      </c>
      <c r="DX40" s="71">
        <v>0</v>
      </c>
      <c r="DY40" s="72">
        <v>0</v>
      </c>
      <c r="DZ40" s="73">
        <f>SUM(DT40:DY40)</f>
        <v>0</v>
      </c>
      <c r="EA40" s="143">
        <v>0</v>
      </c>
      <c r="EB40" s="111"/>
      <c r="EC40" s="145" t="s">
        <v>35</v>
      </c>
      <c r="ED40" s="152" t="s">
        <v>14</v>
      </c>
      <c r="EE40" s="53" t="s">
        <v>13</v>
      </c>
      <c r="EF40" s="70">
        <v>0</v>
      </c>
      <c r="EG40" s="71">
        <v>0</v>
      </c>
      <c r="EH40" s="71">
        <v>0</v>
      </c>
      <c r="EI40" s="71">
        <v>0</v>
      </c>
      <c r="EJ40" s="71">
        <v>0</v>
      </c>
      <c r="EK40" s="72">
        <v>0</v>
      </c>
      <c r="EL40" s="73">
        <f>SUM(EF40:EK40)</f>
        <v>0</v>
      </c>
      <c r="EM40" s="143">
        <v>0</v>
      </c>
      <c r="EN40" s="111"/>
      <c r="EO40" s="145" t="str">
        <f t="shared" ref="EO40" si="122">EC40</f>
        <v>الواحة</v>
      </c>
      <c r="EP40" s="105" t="s">
        <v>14</v>
      </c>
      <c r="EQ40" s="53" t="s">
        <v>13</v>
      </c>
      <c r="ER40" s="70">
        <f t="shared" ref="ER40:EW43" si="123">SUM(EF40)</f>
        <v>0</v>
      </c>
      <c r="ES40" s="71">
        <f t="shared" si="123"/>
        <v>0</v>
      </c>
      <c r="ET40" s="71">
        <f t="shared" si="123"/>
        <v>0</v>
      </c>
      <c r="EU40" s="71">
        <f t="shared" si="123"/>
        <v>0</v>
      </c>
      <c r="EV40" s="71">
        <f t="shared" si="123"/>
        <v>0</v>
      </c>
      <c r="EW40" s="72">
        <f t="shared" si="123"/>
        <v>0</v>
      </c>
      <c r="EX40" s="74">
        <f>SUM(ER40:EW40)</f>
        <v>0</v>
      </c>
      <c r="EY40" s="143">
        <f>SUM(EM40)</f>
        <v>0</v>
      </c>
      <c r="EZ40" s="60"/>
    </row>
    <row r="41" spans="1:156" ht="15.95" customHeight="1" thickBot="1" x14ac:dyDescent="0.25">
      <c r="A41" s="146"/>
      <c r="B41" s="153"/>
      <c r="C41" s="55" t="s">
        <v>15</v>
      </c>
      <c r="D41" s="117">
        <v>1030</v>
      </c>
      <c r="E41" s="118">
        <v>3016</v>
      </c>
      <c r="F41" s="118">
        <v>6583</v>
      </c>
      <c r="G41" s="118">
        <v>18438</v>
      </c>
      <c r="H41" s="118">
        <v>3992</v>
      </c>
      <c r="I41" s="119">
        <v>996</v>
      </c>
      <c r="J41" s="120">
        <f>SUM(D41:I41)</f>
        <v>34055</v>
      </c>
      <c r="K41" s="144"/>
      <c r="L41" s="111"/>
      <c r="M41" s="146"/>
      <c r="N41" s="153"/>
      <c r="O41" s="55" t="s">
        <v>15</v>
      </c>
      <c r="P41" s="117">
        <v>1030</v>
      </c>
      <c r="Q41" s="118">
        <v>3016</v>
      </c>
      <c r="R41" s="118">
        <v>6583</v>
      </c>
      <c r="S41" s="118">
        <v>18438</v>
      </c>
      <c r="T41" s="118">
        <v>3992</v>
      </c>
      <c r="U41" s="119">
        <v>996</v>
      </c>
      <c r="V41" s="78">
        <f>SUM(P41:U41)</f>
        <v>34055</v>
      </c>
      <c r="W41" s="144"/>
      <c r="X41" s="111"/>
      <c r="Y41" s="146"/>
      <c r="Z41" s="153"/>
      <c r="AA41" s="55" t="s">
        <v>15</v>
      </c>
      <c r="AB41" s="117">
        <v>1030</v>
      </c>
      <c r="AC41" s="118">
        <v>3016</v>
      </c>
      <c r="AD41" s="118">
        <v>6583</v>
      </c>
      <c r="AE41" s="118">
        <v>18438</v>
      </c>
      <c r="AF41" s="118">
        <v>3992</v>
      </c>
      <c r="AG41" s="119">
        <v>996</v>
      </c>
      <c r="AH41" s="78">
        <f>SUM(AB41:AG41)</f>
        <v>34055</v>
      </c>
      <c r="AI41" s="144"/>
      <c r="AJ41" s="111"/>
      <c r="AK41" s="146"/>
      <c r="AL41" s="153"/>
      <c r="AM41" s="55" t="s">
        <v>15</v>
      </c>
      <c r="AN41" s="117">
        <v>1030</v>
      </c>
      <c r="AO41" s="118">
        <v>3016</v>
      </c>
      <c r="AP41" s="118">
        <v>6583</v>
      </c>
      <c r="AQ41" s="118">
        <v>18438</v>
      </c>
      <c r="AR41" s="118">
        <v>3992</v>
      </c>
      <c r="AS41" s="119">
        <v>996</v>
      </c>
      <c r="AT41" s="78">
        <f>SUM(AN41:AS41)</f>
        <v>34055</v>
      </c>
      <c r="AU41" s="144"/>
      <c r="AV41" s="111"/>
      <c r="AW41" s="146"/>
      <c r="AX41" s="153"/>
      <c r="AY41" s="55" t="s">
        <v>15</v>
      </c>
      <c r="AZ41" s="117">
        <v>1030</v>
      </c>
      <c r="BA41" s="118">
        <v>3016</v>
      </c>
      <c r="BB41" s="118">
        <v>6583</v>
      </c>
      <c r="BC41" s="118">
        <v>18438</v>
      </c>
      <c r="BD41" s="118">
        <v>3992</v>
      </c>
      <c r="BE41" s="119">
        <v>996</v>
      </c>
      <c r="BF41" s="78">
        <f>SUM(AZ41:BE41)</f>
        <v>34055</v>
      </c>
      <c r="BG41" s="144"/>
      <c r="BH41" s="111"/>
      <c r="BI41" s="146"/>
      <c r="BJ41" s="153"/>
      <c r="BK41" s="55" t="s">
        <v>15</v>
      </c>
      <c r="BL41" s="117">
        <v>1030</v>
      </c>
      <c r="BM41" s="118">
        <v>3016</v>
      </c>
      <c r="BN41" s="118">
        <v>6583</v>
      </c>
      <c r="BO41" s="118">
        <v>18438</v>
      </c>
      <c r="BP41" s="118">
        <v>3992</v>
      </c>
      <c r="BQ41" s="119">
        <v>996</v>
      </c>
      <c r="BR41" s="78">
        <f>SUM(BL41:BQ41)</f>
        <v>34055</v>
      </c>
      <c r="BS41" s="144"/>
      <c r="BT41" s="111"/>
      <c r="BU41" s="146"/>
      <c r="BV41" s="153"/>
      <c r="BW41" s="55" t="s">
        <v>15</v>
      </c>
      <c r="BX41" s="117">
        <v>1030</v>
      </c>
      <c r="BY41" s="118">
        <v>3016</v>
      </c>
      <c r="BZ41" s="118">
        <v>6583</v>
      </c>
      <c r="CA41" s="118">
        <v>18438</v>
      </c>
      <c r="CB41" s="118">
        <v>3992</v>
      </c>
      <c r="CC41" s="119">
        <v>996</v>
      </c>
      <c r="CD41" s="78">
        <f>SUM(BX41:CC41)</f>
        <v>34055</v>
      </c>
      <c r="CE41" s="144"/>
      <c r="CF41" s="111"/>
      <c r="CG41" s="146"/>
      <c r="CH41" s="153"/>
      <c r="CI41" s="55" t="s">
        <v>15</v>
      </c>
      <c r="CJ41" s="117">
        <v>1030</v>
      </c>
      <c r="CK41" s="118">
        <v>3016</v>
      </c>
      <c r="CL41" s="118">
        <v>6583</v>
      </c>
      <c r="CM41" s="118">
        <v>18438</v>
      </c>
      <c r="CN41" s="118">
        <v>3992</v>
      </c>
      <c r="CO41" s="119">
        <v>996</v>
      </c>
      <c r="CP41" s="78">
        <f>SUM(CJ41:CO41)</f>
        <v>34055</v>
      </c>
      <c r="CQ41" s="144"/>
      <c r="CR41" s="111"/>
      <c r="CS41" s="146"/>
      <c r="CT41" s="153"/>
      <c r="CU41" s="55" t="s">
        <v>15</v>
      </c>
      <c r="CV41" s="117">
        <v>1030</v>
      </c>
      <c r="CW41" s="118">
        <v>3016</v>
      </c>
      <c r="CX41" s="118">
        <v>6583</v>
      </c>
      <c r="CY41" s="118">
        <v>18438</v>
      </c>
      <c r="CZ41" s="118">
        <v>3992</v>
      </c>
      <c r="DA41" s="119">
        <v>996</v>
      </c>
      <c r="DB41" s="78">
        <f>SUM(CV41:DA41)</f>
        <v>34055</v>
      </c>
      <c r="DC41" s="144"/>
      <c r="DD41" s="111"/>
      <c r="DE41" s="146"/>
      <c r="DF41" s="153"/>
      <c r="DG41" s="55" t="s">
        <v>15</v>
      </c>
      <c r="DH41" s="75">
        <v>0</v>
      </c>
      <c r="DI41" s="76">
        <v>0</v>
      </c>
      <c r="DJ41" s="76">
        <v>0</v>
      </c>
      <c r="DK41" s="76">
        <v>0</v>
      </c>
      <c r="DL41" s="76">
        <v>0</v>
      </c>
      <c r="DM41" s="77">
        <v>0</v>
      </c>
      <c r="DN41" s="78">
        <f>SUM(DH41:DM41)</f>
        <v>0</v>
      </c>
      <c r="DO41" s="144"/>
      <c r="DP41" s="111"/>
      <c r="DQ41" s="146"/>
      <c r="DR41" s="153"/>
      <c r="DS41" s="55" t="s">
        <v>15</v>
      </c>
      <c r="DT41" s="75">
        <v>0</v>
      </c>
      <c r="DU41" s="76">
        <v>0</v>
      </c>
      <c r="DV41" s="76">
        <v>0</v>
      </c>
      <c r="DW41" s="76">
        <v>0</v>
      </c>
      <c r="DX41" s="76">
        <v>0</v>
      </c>
      <c r="DY41" s="77">
        <v>0</v>
      </c>
      <c r="DZ41" s="78">
        <f>SUM(DT41:DY41)</f>
        <v>0</v>
      </c>
      <c r="EA41" s="144"/>
      <c r="EB41" s="111"/>
      <c r="EC41" s="146"/>
      <c r="ED41" s="153"/>
      <c r="EE41" s="55" t="s">
        <v>15</v>
      </c>
      <c r="EF41" s="75">
        <v>0</v>
      </c>
      <c r="EG41" s="76">
        <v>0</v>
      </c>
      <c r="EH41" s="76">
        <v>0</v>
      </c>
      <c r="EI41" s="76">
        <v>0</v>
      </c>
      <c r="EJ41" s="76">
        <v>0</v>
      </c>
      <c r="EK41" s="77">
        <v>0</v>
      </c>
      <c r="EL41" s="78">
        <f>SUM(EF41:EK41)</f>
        <v>0</v>
      </c>
      <c r="EM41" s="144"/>
      <c r="EN41" s="111"/>
      <c r="EO41" s="146"/>
      <c r="EP41" s="106"/>
      <c r="EQ41" s="55" t="s">
        <v>15</v>
      </c>
      <c r="ER41" s="75">
        <f t="shared" si="123"/>
        <v>0</v>
      </c>
      <c r="ES41" s="76">
        <f t="shared" si="123"/>
        <v>0</v>
      </c>
      <c r="ET41" s="76">
        <f t="shared" si="123"/>
        <v>0</v>
      </c>
      <c r="EU41" s="76">
        <f t="shared" si="123"/>
        <v>0</v>
      </c>
      <c r="EV41" s="76">
        <f t="shared" si="123"/>
        <v>0</v>
      </c>
      <c r="EW41" s="77">
        <f t="shared" si="123"/>
        <v>0</v>
      </c>
      <c r="EX41" s="79">
        <f>SUM(ER41:EW41)</f>
        <v>0</v>
      </c>
      <c r="EY41" s="144"/>
      <c r="EZ41" s="60"/>
    </row>
    <row r="42" spans="1:156" ht="15.95" customHeight="1" thickBot="1" x14ac:dyDescent="0.25">
      <c r="A42" s="146"/>
      <c r="B42" s="56" t="s">
        <v>16</v>
      </c>
      <c r="C42" s="57" t="s">
        <v>13</v>
      </c>
      <c r="D42" s="121">
        <v>71</v>
      </c>
      <c r="E42" s="122">
        <v>14</v>
      </c>
      <c r="F42" s="122">
        <v>20</v>
      </c>
      <c r="G42" s="122">
        <v>48</v>
      </c>
      <c r="H42" s="122">
        <v>20</v>
      </c>
      <c r="I42" s="123">
        <v>30</v>
      </c>
      <c r="J42" s="116">
        <f>SUM(D42:I42)</f>
        <v>203</v>
      </c>
      <c r="K42" s="143">
        <v>133</v>
      </c>
      <c r="L42" s="111"/>
      <c r="M42" s="146"/>
      <c r="N42" s="56" t="s">
        <v>16</v>
      </c>
      <c r="O42" s="57" t="s">
        <v>13</v>
      </c>
      <c r="P42" s="121">
        <v>71</v>
      </c>
      <c r="Q42" s="122">
        <v>14</v>
      </c>
      <c r="R42" s="122">
        <v>20</v>
      </c>
      <c r="S42" s="122">
        <v>48</v>
      </c>
      <c r="T42" s="122">
        <v>20</v>
      </c>
      <c r="U42" s="123">
        <v>30</v>
      </c>
      <c r="V42" s="73">
        <f>SUM(P42:U42)</f>
        <v>203</v>
      </c>
      <c r="W42" s="143">
        <v>133</v>
      </c>
      <c r="X42" s="111"/>
      <c r="Y42" s="146"/>
      <c r="Z42" s="56" t="s">
        <v>16</v>
      </c>
      <c r="AA42" s="57" t="s">
        <v>13</v>
      </c>
      <c r="AB42" s="121">
        <v>71</v>
      </c>
      <c r="AC42" s="122">
        <v>14</v>
      </c>
      <c r="AD42" s="122">
        <v>20</v>
      </c>
      <c r="AE42" s="122">
        <v>48</v>
      </c>
      <c r="AF42" s="122">
        <v>20</v>
      </c>
      <c r="AG42" s="123">
        <v>30</v>
      </c>
      <c r="AH42" s="73">
        <f>SUM(AB42:AG42)</f>
        <v>203</v>
      </c>
      <c r="AI42" s="143">
        <v>133</v>
      </c>
      <c r="AJ42" s="111"/>
      <c r="AK42" s="146"/>
      <c r="AL42" s="56" t="s">
        <v>16</v>
      </c>
      <c r="AM42" s="57" t="s">
        <v>13</v>
      </c>
      <c r="AN42" s="121">
        <v>71</v>
      </c>
      <c r="AO42" s="122">
        <v>14</v>
      </c>
      <c r="AP42" s="122">
        <v>20</v>
      </c>
      <c r="AQ42" s="122">
        <v>48</v>
      </c>
      <c r="AR42" s="122">
        <v>20</v>
      </c>
      <c r="AS42" s="123">
        <v>30</v>
      </c>
      <c r="AT42" s="73">
        <f>SUM(AN42:AS42)</f>
        <v>203</v>
      </c>
      <c r="AU42" s="143">
        <v>133</v>
      </c>
      <c r="AV42" s="111"/>
      <c r="AW42" s="146"/>
      <c r="AX42" s="56" t="s">
        <v>16</v>
      </c>
      <c r="AY42" s="57" t="s">
        <v>13</v>
      </c>
      <c r="AZ42" s="121">
        <v>71</v>
      </c>
      <c r="BA42" s="122">
        <v>14</v>
      </c>
      <c r="BB42" s="122">
        <v>20</v>
      </c>
      <c r="BC42" s="122">
        <v>48</v>
      </c>
      <c r="BD42" s="122">
        <v>20</v>
      </c>
      <c r="BE42" s="123">
        <v>30</v>
      </c>
      <c r="BF42" s="73">
        <f>SUM(AZ42:BE42)</f>
        <v>203</v>
      </c>
      <c r="BG42" s="143">
        <v>133</v>
      </c>
      <c r="BH42" s="111"/>
      <c r="BI42" s="146"/>
      <c r="BJ42" s="56" t="s">
        <v>16</v>
      </c>
      <c r="BK42" s="57" t="s">
        <v>13</v>
      </c>
      <c r="BL42" s="121">
        <v>71</v>
      </c>
      <c r="BM42" s="122">
        <v>14</v>
      </c>
      <c r="BN42" s="122">
        <v>20</v>
      </c>
      <c r="BO42" s="122">
        <v>48</v>
      </c>
      <c r="BP42" s="122">
        <v>20</v>
      </c>
      <c r="BQ42" s="123">
        <v>30</v>
      </c>
      <c r="BR42" s="73">
        <f>SUM(BL42:BQ42)</f>
        <v>203</v>
      </c>
      <c r="BS42" s="143">
        <v>133</v>
      </c>
      <c r="BT42" s="111"/>
      <c r="BU42" s="146"/>
      <c r="BV42" s="56" t="s">
        <v>16</v>
      </c>
      <c r="BW42" s="57" t="s">
        <v>13</v>
      </c>
      <c r="BX42" s="121">
        <v>71</v>
      </c>
      <c r="BY42" s="122">
        <v>14</v>
      </c>
      <c r="BZ42" s="122">
        <v>20</v>
      </c>
      <c r="CA42" s="122">
        <v>48</v>
      </c>
      <c r="CB42" s="122">
        <v>20</v>
      </c>
      <c r="CC42" s="123">
        <v>30</v>
      </c>
      <c r="CD42" s="73">
        <f>SUM(BX42:CC42)</f>
        <v>203</v>
      </c>
      <c r="CE42" s="143">
        <v>133</v>
      </c>
      <c r="CF42" s="111"/>
      <c r="CG42" s="146"/>
      <c r="CH42" s="56" t="s">
        <v>16</v>
      </c>
      <c r="CI42" s="57" t="s">
        <v>13</v>
      </c>
      <c r="CJ42" s="121">
        <v>71</v>
      </c>
      <c r="CK42" s="122">
        <v>14</v>
      </c>
      <c r="CL42" s="122">
        <v>20</v>
      </c>
      <c r="CM42" s="122">
        <v>48</v>
      </c>
      <c r="CN42" s="122">
        <v>20</v>
      </c>
      <c r="CO42" s="123">
        <v>30</v>
      </c>
      <c r="CP42" s="73">
        <f>SUM(CJ42:CO42)</f>
        <v>203</v>
      </c>
      <c r="CQ42" s="143">
        <v>133</v>
      </c>
      <c r="CR42" s="111"/>
      <c r="CS42" s="146"/>
      <c r="CT42" s="56" t="s">
        <v>16</v>
      </c>
      <c r="CU42" s="57" t="s">
        <v>13</v>
      </c>
      <c r="CV42" s="121">
        <v>71</v>
      </c>
      <c r="CW42" s="122">
        <v>14</v>
      </c>
      <c r="CX42" s="122">
        <v>20</v>
      </c>
      <c r="CY42" s="122">
        <v>48</v>
      </c>
      <c r="CZ42" s="122">
        <v>20</v>
      </c>
      <c r="DA42" s="123">
        <v>30</v>
      </c>
      <c r="DB42" s="73">
        <f>SUM(CV42:DA42)</f>
        <v>203</v>
      </c>
      <c r="DC42" s="143">
        <v>133</v>
      </c>
      <c r="DD42" s="111"/>
      <c r="DE42" s="146"/>
      <c r="DF42" s="56" t="s">
        <v>16</v>
      </c>
      <c r="DG42" s="57" t="s">
        <v>13</v>
      </c>
      <c r="DH42" s="70">
        <v>0</v>
      </c>
      <c r="DI42" s="71">
        <v>0</v>
      </c>
      <c r="DJ42" s="71">
        <v>0</v>
      </c>
      <c r="DK42" s="71">
        <v>0</v>
      </c>
      <c r="DL42" s="71">
        <v>0</v>
      </c>
      <c r="DM42" s="72">
        <v>0</v>
      </c>
      <c r="DN42" s="73">
        <f>SUM(DH42:DM42)</f>
        <v>0</v>
      </c>
      <c r="DO42" s="143">
        <v>0</v>
      </c>
      <c r="DP42" s="111"/>
      <c r="DQ42" s="146"/>
      <c r="DR42" s="56" t="s">
        <v>16</v>
      </c>
      <c r="DS42" s="57" t="s">
        <v>13</v>
      </c>
      <c r="DT42" s="70">
        <v>0</v>
      </c>
      <c r="DU42" s="71">
        <v>0</v>
      </c>
      <c r="DV42" s="71">
        <v>0</v>
      </c>
      <c r="DW42" s="71">
        <v>0</v>
      </c>
      <c r="DX42" s="71">
        <v>0</v>
      </c>
      <c r="DY42" s="72">
        <v>0</v>
      </c>
      <c r="DZ42" s="73">
        <f>SUM(DT42:DY42)</f>
        <v>0</v>
      </c>
      <c r="EA42" s="143">
        <v>0</v>
      </c>
      <c r="EB42" s="111"/>
      <c r="EC42" s="146"/>
      <c r="ED42" s="56" t="s">
        <v>16</v>
      </c>
      <c r="EE42" s="57" t="s">
        <v>13</v>
      </c>
      <c r="EF42" s="70">
        <v>0</v>
      </c>
      <c r="EG42" s="71">
        <v>0</v>
      </c>
      <c r="EH42" s="71">
        <v>0</v>
      </c>
      <c r="EI42" s="71">
        <v>0</v>
      </c>
      <c r="EJ42" s="71">
        <v>0</v>
      </c>
      <c r="EK42" s="72">
        <v>0</v>
      </c>
      <c r="EL42" s="73">
        <f>SUM(EF42:EK42)</f>
        <v>0</v>
      </c>
      <c r="EM42" s="143">
        <v>0</v>
      </c>
      <c r="EN42" s="111"/>
      <c r="EO42" s="146"/>
      <c r="EP42" s="56" t="s">
        <v>16</v>
      </c>
      <c r="EQ42" s="57" t="s">
        <v>13</v>
      </c>
      <c r="ER42" s="80">
        <f t="shared" si="123"/>
        <v>0</v>
      </c>
      <c r="ES42" s="81">
        <f t="shared" si="123"/>
        <v>0</v>
      </c>
      <c r="ET42" s="81">
        <f t="shared" si="123"/>
        <v>0</v>
      </c>
      <c r="EU42" s="81">
        <f t="shared" si="123"/>
        <v>0</v>
      </c>
      <c r="EV42" s="81">
        <f t="shared" si="123"/>
        <v>0</v>
      </c>
      <c r="EW42" s="82">
        <f t="shared" si="123"/>
        <v>0</v>
      </c>
      <c r="EX42" s="74">
        <f>SUM(ER42:EW42)</f>
        <v>0</v>
      </c>
      <c r="EY42" s="143">
        <f>SUM(EM42)</f>
        <v>0</v>
      </c>
      <c r="EZ42" s="60"/>
    </row>
    <row r="43" spans="1:156" ht="15.95" customHeight="1" thickBot="1" x14ac:dyDescent="0.25">
      <c r="A43" s="146"/>
      <c r="B43" s="58" t="s">
        <v>14</v>
      </c>
      <c r="C43" s="59" t="s">
        <v>15</v>
      </c>
      <c r="D43" s="117">
        <v>31</v>
      </c>
      <c r="E43" s="118">
        <v>16</v>
      </c>
      <c r="F43" s="118">
        <v>15</v>
      </c>
      <c r="G43" s="118">
        <v>46</v>
      </c>
      <c r="H43" s="118">
        <v>15</v>
      </c>
      <c r="I43" s="119">
        <v>6</v>
      </c>
      <c r="J43" s="120">
        <f>SUM(D43:I43)</f>
        <v>129</v>
      </c>
      <c r="K43" s="144"/>
      <c r="L43" s="111"/>
      <c r="M43" s="146"/>
      <c r="N43" s="58" t="s">
        <v>14</v>
      </c>
      <c r="O43" s="59" t="s">
        <v>15</v>
      </c>
      <c r="P43" s="117">
        <v>31</v>
      </c>
      <c r="Q43" s="118">
        <v>16</v>
      </c>
      <c r="R43" s="118">
        <v>15</v>
      </c>
      <c r="S43" s="118">
        <v>46</v>
      </c>
      <c r="T43" s="118">
        <v>15</v>
      </c>
      <c r="U43" s="119">
        <v>6</v>
      </c>
      <c r="V43" s="78">
        <f>SUM(P43:U43)</f>
        <v>129</v>
      </c>
      <c r="W43" s="144"/>
      <c r="X43" s="111"/>
      <c r="Y43" s="146"/>
      <c r="Z43" s="58" t="s">
        <v>14</v>
      </c>
      <c r="AA43" s="59" t="s">
        <v>15</v>
      </c>
      <c r="AB43" s="117">
        <v>31</v>
      </c>
      <c r="AC43" s="118">
        <v>16</v>
      </c>
      <c r="AD43" s="118">
        <v>15</v>
      </c>
      <c r="AE43" s="118">
        <v>46</v>
      </c>
      <c r="AF43" s="118">
        <v>15</v>
      </c>
      <c r="AG43" s="119">
        <v>6</v>
      </c>
      <c r="AH43" s="78">
        <f>SUM(AB43:AG43)</f>
        <v>129</v>
      </c>
      <c r="AI43" s="144"/>
      <c r="AJ43" s="111"/>
      <c r="AK43" s="146"/>
      <c r="AL43" s="58" t="s">
        <v>14</v>
      </c>
      <c r="AM43" s="59" t="s">
        <v>15</v>
      </c>
      <c r="AN43" s="117">
        <v>31</v>
      </c>
      <c r="AO43" s="118">
        <v>16</v>
      </c>
      <c r="AP43" s="118">
        <v>15</v>
      </c>
      <c r="AQ43" s="118">
        <v>46</v>
      </c>
      <c r="AR43" s="118">
        <v>15</v>
      </c>
      <c r="AS43" s="119">
        <v>6</v>
      </c>
      <c r="AT43" s="78">
        <f>SUM(AN43:AS43)</f>
        <v>129</v>
      </c>
      <c r="AU43" s="144"/>
      <c r="AV43" s="111"/>
      <c r="AW43" s="146"/>
      <c r="AX43" s="58" t="s">
        <v>14</v>
      </c>
      <c r="AY43" s="59" t="s">
        <v>15</v>
      </c>
      <c r="AZ43" s="117">
        <v>31</v>
      </c>
      <c r="BA43" s="118">
        <v>16</v>
      </c>
      <c r="BB43" s="118">
        <v>15</v>
      </c>
      <c r="BC43" s="118">
        <v>46</v>
      </c>
      <c r="BD43" s="118">
        <v>15</v>
      </c>
      <c r="BE43" s="119">
        <v>6</v>
      </c>
      <c r="BF43" s="78">
        <f>SUM(AZ43:BE43)</f>
        <v>129</v>
      </c>
      <c r="BG43" s="144"/>
      <c r="BH43" s="111"/>
      <c r="BI43" s="146"/>
      <c r="BJ43" s="58" t="s">
        <v>14</v>
      </c>
      <c r="BK43" s="59" t="s">
        <v>15</v>
      </c>
      <c r="BL43" s="117">
        <v>31</v>
      </c>
      <c r="BM43" s="118">
        <v>16</v>
      </c>
      <c r="BN43" s="118">
        <v>15</v>
      </c>
      <c r="BO43" s="118">
        <v>46</v>
      </c>
      <c r="BP43" s="118">
        <v>15</v>
      </c>
      <c r="BQ43" s="119">
        <v>6</v>
      </c>
      <c r="BR43" s="78">
        <f>SUM(BL43:BQ43)</f>
        <v>129</v>
      </c>
      <c r="BS43" s="144"/>
      <c r="BT43" s="111"/>
      <c r="BU43" s="146"/>
      <c r="BV43" s="58" t="s">
        <v>14</v>
      </c>
      <c r="BW43" s="59" t="s">
        <v>15</v>
      </c>
      <c r="BX43" s="117">
        <v>31</v>
      </c>
      <c r="BY43" s="118">
        <v>16</v>
      </c>
      <c r="BZ43" s="118">
        <v>15</v>
      </c>
      <c r="CA43" s="118">
        <v>46</v>
      </c>
      <c r="CB43" s="118">
        <v>15</v>
      </c>
      <c r="CC43" s="119">
        <v>6</v>
      </c>
      <c r="CD43" s="78">
        <f>SUM(BX43:CC43)</f>
        <v>129</v>
      </c>
      <c r="CE43" s="144"/>
      <c r="CF43" s="111"/>
      <c r="CG43" s="146"/>
      <c r="CH43" s="58" t="s">
        <v>14</v>
      </c>
      <c r="CI43" s="59" t="s">
        <v>15</v>
      </c>
      <c r="CJ43" s="117">
        <v>31</v>
      </c>
      <c r="CK43" s="118">
        <v>16</v>
      </c>
      <c r="CL43" s="118">
        <v>15</v>
      </c>
      <c r="CM43" s="118">
        <v>46</v>
      </c>
      <c r="CN43" s="118">
        <v>15</v>
      </c>
      <c r="CO43" s="119">
        <v>6</v>
      </c>
      <c r="CP43" s="78">
        <f>SUM(CJ43:CO43)</f>
        <v>129</v>
      </c>
      <c r="CQ43" s="144"/>
      <c r="CR43" s="111"/>
      <c r="CS43" s="146"/>
      <c r="CT43" s="58" t="s">
        <v>14</v>
      </c>
      <c r="CU43" s="59" t="s">
        <v>15</v>
      </c>
      <c r="CV43" s="117">
        <v>31</v>
      </c>
      <c r="CW43" s="118">
        <v>16</v>
      </c>
      <c r="CX43" s="118">
        <v>15</v>
      </c>
      <c r="CY43" s="118">
        <v>46</v>
      </c>
      <c r="CZ43" s="118">
        <v>15</v>
      </c>
      <c r="DA43" s="119">
        <v>6</v>
      </c>
      <c r="DB43" s="78">
        <f>SUM(CV43:DA43)</f>
        <v>129</v>
      </c>
      <c r="DC43" s="144"/>
      <c r="DD43" s="111"/>
      <c r="DE43" s="146"/>
      <c r="DF43" s="58" t="s">
        <v>14</v>
      </c>
      <c r="DG43" s="59" t="s">
        <v>15</v>
      </c>
      <c r="DH43" s="75">
        <v>0</v>
      </c>
      <c r="DI43" s="76">
        <v>0</v>
      </c>
      <c r="DJ43" s="76">
        <v>0</v>
      </c>
      <c r="DK43" s="76">
        <v>0</v>
      </c>
      <c r="DL43" s="76">
        <v>0</v>
      </c>
      <c r="DM43" s="77">
        <v>0</v>
      </c>
      <c r="DN43" s="78">
        <f>SUM(DH43:DM43)</f>
        <v>0</v>
      </c>
      <c r="DO43" s="144"/>
      <c r="DP43" s="111"/>
      <c r="DQ43" s="146"/>
      <c r="DR43" s="58" t="s">
        <v>14</v>
      </c>
      <c r="DS43" s="59" t="s">
        <v>15</v>
      </c>
      <c r="DT43" s="75">
        <v>0</v>
      </c>
      <c r="DU43" s="76">
        <v>0</v>
      </c>
      <c r="DV43" s="76">
        <v>0</v>
      </c>
      <c r="DW43" s="76">
        <v>0</v>
      </c>
      <c r="DX43" s="76">
        <v>0</v>
      </c>
      <c r="DY43" s="77">
        <v>0</v>
      </c>
      <c r="DZ43" s="78">
        <f>SUM(DT43:DY43)</f>
        <v>0</v>
      </c>
      <c r="EA43" s="144"/>
      <c r="EB43" s="111"/>
      <c r="EC43" s="146"/>
      <c r="ED43" s="58" t="s">
        <v>14</v>
      </c>
      <c r="EE43" s="59" t="s">
        <v>15</v>
      </c>
      <c r="EF43" s="75">
        <v>0</v>
      </c>
      <c r="EG43" s="76">
        <v>0</v>
      </c>
      <c r="EH43" s="76">
        <v>0</v>
      </c>
      <c r="EI43" s="76">
        <v>0</v>
      </c>
      <c r="EJ43" s="76">
        <v>0</v>
      </c>
      <c r="EK43" s="77">
        <v>0</v>
      </c>
      <c r="EL43" s="78">
        <f>SUM(EF43:EK43)</f>
        <v>0</v>
      </c>
      <c r="EM43" s="144"/>
      <c r="EN43" s="111"/>
      <c r="EO43" s="146"/>
      <c r="EP43" s="58" t="s">
        <v>14</v>
      </c>
      <c r="EQ43" s="59" t="s">
        <v>15</v>
      </c>
      <c r="ER43" s="75">
        <f t="shared" si="123"/>
        <v>0</v>
      </c>
      <c r="ES43" s="76">
        <f t="shared" si="123"/>
        <v>0</v>
      </c>
      <c r="ET43" s="76">
        <f t="shared" si="123"/>
        <v>0</v>
      </c>
      <c r="EU43" s="76">
        <f t="shared" si="123"/>
        <v>0</v>
      </c>
      <c r="EV43" s="76">
        <f t="shared" si="123"/>
        <v>0</v>
      </c>
      <c r="EW43" s="77">
        <f t="shared" si="123"/>
        <v>0</v>
      </c>
      <c r="EX43" s="79">
        <f>SUM(ER43:EW43)</f>
        <v>0</v>
      </c>
      <c r="EY43" s="144"/>
      <c r="EZ43" s="60"/>
    </row>
    <row r="44" spans="1:156" ht="15.95" customHeight="1" thickBot="1" x14ac:dyDescent="0.25">
      <c r="A44" s="147"/>
      <c r="B44" s="150" t="s">
        <v>17</v>
      </c>
      <c r="C44" s="151"/>
      <c r="D44" s="124">
        <f t="shared" ref="D44:K44" si="124">SUM(D40:D43)</f>
        <v>2322</v>
      </c>
      <c r="E44" s="125">
        <f t="shared" si="124"/>
        <v>6260</v>
      </c>
      <c r="F44" s="125">
        <f t="shared" si="124"/>
        <v>13063</v>
      </c>
      <c r="G44" s="125">
        <f t="shared" si="124"/>
        <v>34561</v>
      </c>
      <c r="H44" s="125">
        <f t="shared" si="124"/>
        <v>7925</v>
      </c>
      <c r="I44" s="126">
        <f t="shared" si="124"/>
        <v>2549</v>
      </c>
      <c r="J44" s="127">
        <f t="shared" si="124"/>
        <v>66680</v>
      </c>
      <c r="K44" s="86">
        <f t="shared" si="124"/>
        <v>13430</v>
      </c>
      <c r="L44" s="111"/>
      <c r="M44" s="147"/>
      <c r="N44" s="150" t="s">
        <v>17</v>
      </c>
      <c r="O44" s="151"/>
      <c r="P44" s="83">
        <f t="shared" ref="P44:W44" si="125">SUM(P40:P43)</f>
        <v>2322</v>
      </c>
      <c r="Q44" s="84">
        <f t="shared" si="125"/>
        <v>6260</v>
      </c>
      <c r="R44" s="84">
        <f t="shared" si="125"/>
        <v>13063</v>
      </c>
      <c r="S44" s="84">
        <f t="shared" si="125"/>
        <v>34561</v>
      </c>
      <c r="T44" s="84">
        <f t="shared" si="125"/>
        <v>7925</v>
      </c>
      <c r="U44" s="85">
        <f t="shared" si="125"/>
        <v>2549</v>
      </c>
      <c r="V44" s="1">
        <f t="shared" si="125"/>
        <v>66680</v>
      </c>
      <c r="W44" s="86">
        <f t="shared" si="125"/>
        <v>13430</v>
      </c>
      <c r="X44" s="111"/>
      <c r="Y44" s="147"/>
      <c r="Z44" s="150" t="s">
        <v>17</v>
      </c>
      <c r="AA44" s="151"/>
      <c r="AB44" s="83">
        <f t="shared" ref="AB44:AI44" si="126">SUM(AB40:AB43)</f>
        <v>2322</v>
      </c>
      <c r="AC44" s="84">
        <f t="shared" si="126"/>
        <v>6260</v>
      </c>
      <c r="AD44" s="84">
        <f t="shared" si="126"/>
        <v>13063</v>
      </c>
      <c r="AE44" s="84">
        <f t="shared" si="126"/>
        <v>34561</v>
      </c>
      <c r="AF44" s="84">
        <f t="shared" si="126"/>
        <v>7925</v>
      </c>
      <c r="AG44" s="85">
        <f t="shared" si="126"/>
        <v>2549</v>
      </c>
      <c r="AH44" s="1">
        <f t="shared" si="126"/>
        <v>66680</v>
      </c>
      <c r="AI44" s="86">
        <f t="shared" si="126"/>
        <v>13430</v>
      </c>
      <c r="AJ44" s="111"/>
      <c r="AK44" s="147"/>
      <c r="AL44" s="150" t="s">
        <v>17</v>
      </c>
      <c r="AM44" s="151"/>
      <c r="AN44" s="83">
        <f t="shared" ref="AN44:AU44" si="127">SUM(AN40:AN43)</f>
        <v>2322</v>
      </c>
      <c r="AO44" s="84">
        <f t="shared" si="127"/>
        <v>6260</v>
      </c>
      <c r="AP44" s="84">
        <f t="shared" si="127"/>
        <v>13063</v>
      </c>
      <c r="AQ44" s="84">
        <f t="shared" si="127"/>
        <v>34561</v>
      </c>
      <c r="AR44" s="84">
        <f t="shared" si="127"/>
        <v>7925</v>
      </c>
      <c r="AS44" s="85">
        <f t="shared" si="127"/>
        <v>2549</v>
      </c>
      <c r="AT44" s="1">
        <f t="shared" si="127"/>
        <v>66680</v>
      </c>
      <c r="AU44" s="86">
        <f t="shared" si="127"/>
        <v>13430</v>
      </c>
      <c r="AV44" s="111"/>
      <c r="AW44" s="147"/>
      <c r="AX44" s="150" t="s">
        <v>17</v>
      </c>
      <c r="AY44" s="151"/>
      <c r="AZ44" s="83">
        <f t="shared" ref="AZ44:BE44" si="128">SUM(AZ40:AZ43)</f>
        <v>2322</v>
      </c>
      <c r="BA44" s="84">
        <f t="shared" si="128"/>
        <v>6260</v>
      </c>
      <c r="BB44" s="84">
        <f t="shared" si="128"/>
        <v>13063</v>
      </c>
      <c r="BC44" s="84">
        <f t="shared" si="128"/>
        <v>34561</v>
      </c>
      <c r="BD44" s="84">
        <f t="shared" si="128"/>
        <v>7925</v>
      </c>
      <c r="BE44" s="85">
        <f t="shared" si="128"/>
        <v>2549</v>
      </c>
      <c r="BF44" s="1">
        <f t="shared" ref="BF44:BG44" si="129">SUM(BF40:BF43)</f>
        <v>66680</v>
      </c>
      <c r="BG44" s="86">
        <f t="shared" si="129"/>
        <v>13430</v>
      </c>
      <c r="BH44" s="111"/>
      <c r="BI44" s="147"/>
      <c r="BJ44" s="150" t="s">
        <v>17</v>
      </c>
      <c r="BK44" s="151"/>
      <c r="BL44" s="83">
        <f t="shared" ref="BL44:BQ44" si="130">SUM(BL40:BL43)</f>
        <v>2322</v>
      </c>
      <c r="BM44" s="84">
        <f t="shared" si="130"/>
        <v>6260</v>
      </c>
      <c r="BN44" s="84">
        <f t="shared" si="130"/>
        <v>13063</v>
      </c>
      <c r="BO44" s="84">
        <f t="shared" si="130"/>
        <v>34561</v>
      </c>
      <c r="BP44" s="84">
        <f t="shared" si="130"/>
        <v>7925</v>
      </c>
      <c r="BQ44" s="85">
        <f t="shared" si="130"/>
        <v>2549</v>
      </c>
      <c r="BR44" s="1">
        <f t="shared" ref="BR44:BS44" si="131">SUM(BR40:BR43)</f>
        <v>66680</v>
      </c>
      <c r="BS44" s="86">
        <f t="shared" si="131"/>
        <v>13430</v>
      </c>
      <c r="BT44" s="111"/>
      <c r="BU44" s="147"/>
      <c r="BV44" s="150" t="s">
        <v>17</v>
      </c>
      <c r="BW44" s="151"/>
      <c r="BX44" s="83">
        <f t="shared" ref="BX44:CE44" si="132">SUM(BX40:BX43)</f>
        <v>2322</v>
      </c>
      <c r="BY44" s="84">
        <f t="shared" si="132"/>
        <v>6260</v>
      </c>
      <c r="BZ44" s="84">
        <f t="shared" si="132"/>
        <v>13063</v>
      </c>
      <c r="CA44" s="84">
        <f t="shared" si="132"/>
        <v>34561</v>
      </c>
      <c r="CB44" s="84">
        <f t="shared" si="132"/>
        <v>7925</v>
      </c>
      <c r="CC44" s="85">
        <f t="shared" si="132"/>
        <v>2549</v>
      </c>
      <c r="CD44" s="1">
        <f t="shared" si="132"/>
        <v>66680</v>
      </c>
      <c r="CE44" s="86">
        <f t="shared" si="132"/>
        <v>13430</v>
      </c>
      <c r="CF44" s="111"/>
      <c r="CG44" s="147"/>
      <c r="CH44" s="150" t="s">
        <v>17</v>
      </c>
      <c r="CI44" s="151"/>
      <c r="CJ44" s="83">
        <f t="shared" ref="CJ44:CQ44" si="133">SUM(CJ40:CJ43)</f>
        <v>2322</v>
      </c>
      <c r="CK44" s="84">
        <f t="shared" si="133"/>
        <v>6260</v>
      </c>
      <c r="CL44" s="84">
        <f t="shared" si="133"/>
        <v>13063</v>
      </c>
      <c r="CM44" s="84">
        <f t="shared" si="133"/>
        <v>34561</v>
      </c>
      <c r="CN44" s="84">
        <f t="shared" si="133"/>
        <v>7925</v>
      </c>
      <c r="CO44" s="85">
        <f t="shared" si="133"/>
        <v>2549</v>
      </c>
      <c r="CP44" s="1">
        <f t="shared" si="133"/>
        <v>66680</v>
      </c>
      <c r="CQ44" s="86">
        <f t="shared" si="133"/>
        <v>13430</v>
      </c>
      <c r="CR44" s="111"/>
      <c r="CS44" s="147"/>
      <c r="CT44" s="150" t="s">
        <v>17</v>
      </c>
      <c r="CU44" s="151"/>
      <c r="CV44" s="83">
        <f t="shared" ref="CV44:DC44" si="134">SUM(CV40:CV43)</f>
        <v>2322</v>
      </c>
      <c r="CW44" s="84">
        <f t="shared" si="134"/>
        <v>6260</v>
      </c>
      <c r="CX44" s="84">
        <f t="shared" si="134"/>
        <v>13063</v>
      </c>
      <c r="CY44" s="84">
        <f t="shared" si="134"/>
        <v>34561</v>
      </c>
      <c r="CZ44" s="84">
        <f t="shared" si="134"/>
        <v>7925</v>
      </c>
      <c r="DA44" s="85">
        <f t="shared" si="134"/>
        <v>2549</v>
      </c>
      <c r="DB44" s="1">
        <f t="shared" si="134"/>
        <v>66680</v>
      </c>
      <c r="DC44" s="86">
        <f t="shared" si="134"/>
        <v>13430</v>
      </c>
      <c r="DD44" s="111"/>
      <c r="DE44" s="147"/>
      <c r="DF44" s="150" t="s">
        <v>17</v>
      </c>
      <c r="DG44" s="151"/>
      <c r="DH44" s="83">
        <f t="shared" ref="DH44:DO44" si="135">SUM(DH40:DH43)</f>
        <v>0</v>
      </c>
      <c r="DI44" s="84">
        <f t="shared" si="135"/>
        <v>0</v>
      </c>
      <c r="DJ44" s="84">
        <f t="shared" si="135"/>
        <v>0</v>
      </c>
      <c r="DK44" s="84">
        <f t="shared" si="135"/>
        <v>0</v>
      </c>
      <c r="DL44" s="84">
        <f t="shared" si="135"/>
        <v>0</v>
      </c>
      <c r="DM44" s="85">
        <f t="shared" si="135"/>
        <v>0</v>
      </c>
      <c r="DN44" s="1">
        <f t="shared" si="135"/>
        <v>0</v>
      </c>
      <c r="DO44" s="86">
        <f t="shared" si="135"/>
        <v>0</v>
      </c>
      <c r="DP44" s="111"/>
      <c r="DQ44" s="147"/>
      <c r="DR44" s="150" t="s">
        <v>17</v>
      </c>
      <c r="DS44" s="151"/>
      <c r="DT44" s="83">
        <f t="shared" ref="DT44:EA44" si="136">SUM(DT40:DT43)</f>
        <v>0</v>
      </c>
      <c r="DU44" s="84">
        <f t="shared" si="136"/>
        <v>0</v>
      </c>
      <c r="DV44" s="84">
        <f t="shared" si="136"/>
        <v>0</v>
      </c>
      <c r="DW44" s="84">
        <f t="shared" si="136"/>
        <v>0</v>
      </c>
      <c r="DX44" s="84">
        <f t="shared" si="136"/>
        <v>0</v>
      </c>
      <c r="DY44" s="85">
        <f t="shared" si="136"/>
        <v>0</v>
      </c>
      <c r="DZ44" s="1">
        <f t="shared" si="136"/>
        <v>0</v>
      </c>
      <c r="EA44" s="86">
        <f t="shared" si="136"/>
        <v>0</v>
      </c>
      <c r="EB44" s="111"/>
      <c r="EC44" s="147"/>
      <c r="ED44" s="150" t="s">
        <v>17</v>
      </c>
      <c r="EE44" s="151"/>
      <c r="EF44" s="83">
        <f t="shared" ref="EF44:EM44" si="137">SUM(EF40:EF43)</f>
        <v>0</v>
      </c>
      <c r="EG44" s="84">
        <f t="shared" si="137"/>
        <v>0</v>
      </c>
      <c r="EH44" s="84">
        <f t="shared" si="137"/>
        <v>0</v>
      </c>
      <c r="EI44" s="84">
        <f t="shared" si="137"/>
        <v>0</v>
      </c>
      <c r="EJ44" s="84">
        <f t="shared" si="137"/>
        <v>0</v>
      </c>
      <c r="EK44" s="85">
        <f t="shared" si="137"/>
        <v>0</v>
      </c>
      <c r="EL44" s="1">
        <f t="shared" si="137"/>
        <v>0</v>
      </c>
      <c r="EM44" s="86">
        <f t="shared" si="137"/>
        <v>0</v>
      </c>
      <c r="EN44" s="111"/>
      <c r="EO44" s="147"/>
      <c r="EP44" s="107" t="s">
        <v>17</v>
      </c>
      <c r="EQ44" s="108"/>
      <c r="ER44" s="83">
        <f t="shared" ref="ER44:EY44" si="138">SUM(ER40:ER43)</f>
        <v>0</v>
      </c>
      <c r="ES44" s="84">
        <f t="shared" si="138"/>
        <v>0</v>
      </c>
      <c r="ET44" s="84">
        <f t="shared" si="138"/>
        <v>0</v>
      </c>
      <c r="EU44" s="84">
        <f t="shared" si="138"/>
        <v>0</v>
      </c>
      <c r="EV44" s="84">
        <f t="shared" si="138"/>
        <v>0</v>
      </c>
      <c r="EW44" s="85">
        <f t="shared" si="138"/>
        <v>0</v>
      </c>
      <c r="EX44" s="1">
        <f t="shared" si="138"/>
        <v>0</v>
      </c>
      <c r="EY44" s="86">
        <f t="shared" si="138"/>
        <v>0</v>
      </c>
      <c r="EZ44" s="60"/>
    </row>
    <row r="45" spans="1:156" ht="15.95" customHeight="1" x14ac:dyDescent="0.2">
      <c r="A45" s="145">
        <v>0</v>
      </c>
      <c r="B45" s="105" t="s">
        <v>14</v>
      </c>
      <c r="C45" s="53" t="s">
        <v>13</v>
      </c>
      <c r="D45" s="70">
        <v>0</v>
      </c>
      <c r="E45" s="71">
        <v>0</v>
      </c>
      <c r="F45" s="71">
        <v>0</v>
      </c>
      <c r="G45" s="71">
        <v>0</v>
      </c>
      <c r="H45" s="71">
        <v>0</v>
      </c>
      <c r="I45" s="72">
        <v>0</v>
      </c>
      <c r="J45" s="73">
        <f>SUM(D45:I45)</f>
        <v>0</v>
      </c>
      <c r="K45" s="143">
        <v>0</v>
      </c>
      <c r="L45" s="111"/>
      <c r="M45" s="145">
        <v>0</v>
      </c>
      <c r="N45" s="105" t="s">
        <v>14</v>
      </c>
      <c r="O45" s="53" t="s">
        <v>13</v>
      </c>
      <c r="P45" s="70">
        <v>0</v>
      </c>
      <c r="Q45" s="71">
        <v>0</v>
      </c>
      <c r="R45" s="71">
        <v>0</v>
      </c>
      <c r="S45" s="71">
        <v>0</v>
      </c>
      <c r="T45" s="71">
        <v>0</v>
      </c>
      <c r="U45" s="72">
        <v>0</v>
      </c>
      <c r="V45" s="73">
        <f>SUM(P45:U45)</f>
        <v>0</v>
      </c>
      <c r="W45" s="143">
        <v>0</v>
      </c>
      <c r="X45" s="111"/>
      <c r="Y45" s="145">
        <v>0</v>
      </c>
      <c r="Z45" s="105" t="s">
        <v>14</v>
      </c>
      <c r="AA45" s="53" t="s">
        <v>13</v>
      </c>
      <c r="AB45" s="70">
        <v>0</v>
      </c>
      <c r="AC45" s="71">
        <v>0</v>
      </c>
      <c r="AD45" s="71">
        <v>0</v>
      </c>
      <c r="AE45" s="71">
        <v>0</v>
      </c>
      <c r="AF45" s="71">
        <v>0</v>
      </c>
      <c r="AG45" s="72">
        <v>0</v>
      </c>
      <c r="AH45" s="73">
        <f>SUM(AB45:AG45)</f>
        <v>0</v>
      </c>
      <c r="AI45" s="143">
        <v>0</v>
      </c>
      <c r="AJ45" s="111"/>
      <c r="AK45" s="145">
        <v>0</v>
      </c>
      <c r="AL45" s="105" t="s">
        <v>14</v>
      </c>
      <c r="AM45" s="53" t="s">
        <v>13</v>
      </c>
      <c r="AN45" s="70">
        <v>0</v>
      </c>
      <c r="AO45" s="71">
        <v>0</v>
      </c>
      <c r="AP45" s="71">
        <v>0</v>
      </c>
      <c r="AQ45" s="71">
        <v>0</v>
      </c>
      <c r="AR45" s="71">
        <v>0</v>
      </c>
      <c r="AS45" s="72">
        <v>0</v>
      </c>
      <c r="AT45" s="73">
        <f>SUM(AN45:AS45)</f>
        <v>0</v>
      </c>
      <c r="AU45" s="143">
        <v>0</v>
      </c>
      <c r="AV45" s="111"/>
      <c r="AW45" s="145">
        <v>0</v>
      </c>
      <c r="AX45" s="105" t="s">
        <v>14</v>
      </c>
      <c r="AY45" s="53" t="s">
        <v>13</v>
      </c>
      <c r="AZ45" s="70">
        <v>0</v>
      </c>
      <c r="BA45" s="71">
        <v>0</v>
      </c>
      <c r="BB45" s="71">
        <v>0</v>
      </c>
      <c r="BC45" s="71">
        <v>0</v>
      </c>
      <c r="BD45" s="71">
        <v>0</v>
      </c>
      <c r="BE45" s="72">
        <v>0</v>
      </c>
      <c r="BF45" s="73">
        <f>SUM(AZ45:BE45)</f>
        <v>0</v>
      </c>
      <c r="BG45" s="143">
        <v>0</v>
      </c>
      <c r="BH45" s="111"/>
      <c r="BI45" s="145">
        <v>0</v>
      </c>
      <c r="BJ45" s="105" t="s">
        <v>14</v>
      </c>
      <c r="BK45" s="53" t="s">
        <v>13</v>
      </c>
      <c r="BL45" s="70">
        <v>0</v>
      </c>
      <c r="BM45" s="71">
        <v>0</v>
      </c>
      <c r="BN45" s="71">
        <v>0</v>
      </c>
      <c r="BO45" s="71">
        <v>0</v>
      </c>
      <c r="BP45" s="71">
        <v>0</v>
      </c>
      <c r="BQ45" s="72">
        <v>0</v>
      </c>
      <c r="BR45" s="73">
        <f>SUM(BL45:BQ45)</f>
        <v>0</v>
      </c>
      <c r="BS45" s="143">
        <v>0</v>
      </c>
      <c r="BT45" s="111"/>
      <c r="BU45" s="145">
        <v>0</v>
      </c>
      <c r="BV45" s="105" t="s">
        <v>14</v>
      </c>
      <c r="BW45" s="53" t="s">
        <v>13</v>
      </c>
      <c r="BX45" s="70">
        <v>0</v>
      </c>
      <c r="BY45" s="71">
        <v>0</v>
      </c>
      <c r="BZ45" s="71">
        <v>0</v>
      </c>
      <c r="CA45" s="71">
        <v>0</v>
      </c>
      <c r="CB45" s="71">
        <v>0</v>
      </c>
      <c r="CC45" s="72">
        <v>0</v>
      </c>
      <c r="CD45" s="73">
        <f>SUM(BX45:CC45)</f>
        <v>0</v>
      </c>
      <c r="CE45" s="143">
        <v>0</v>
      </c>
      <c r="CF45" s="111"/>
      <c r="CG45" s="145">
        <v>0</v>
      </c>
      <c r="CH45" s="105" t="s">
        <v>14</v>
      </c>
      <c r="CI45" s="53" t="s">
        <v>13</v>
      </c>
      <c r="CJ45" s="70">
        <v>0</v>
      </c>
      <c r="CK45" s="71">
        <v>0</v>
      </c>
      <c r="CL45" s="71">
        <v>0</v>
      </c>
      <c r="CM45" s="71">
        <v>0</v>
      </c>
      <c r="CN45" s="71">
        <v>0</v>
      </c>
      <c r="CO45" s="72">
        <v>0</v>
      </c>
      <c r="CP45" s="73">
        <f>SUM(CJ45:CO45)</f>
        <v>0</v>
      </c>
      <c r="CQ45" s="143">
        <v>0</v>
      </c>
      <c r="CR45" s="111"/>
      <c r="CS45" s="145">
        <v>0</v>
      </c>
      <c r="CT45" s="105" t="s">
        <v>14</v>
      </c>
      <c r="CU45" s="53" t="s">
        <v>13</v>
      </c>
      <c r="CV45" s="70">
        <v>0</v>
      </c>
      <c r="CW45" s="71">
        <v>0</v>
      </c>
      <c r="CX45" s="71">
        <v>0</v>
      </c>
      <c r="CY45" s="71">
        <v>0</v>
      </c>
      <c r="CZ45" s="71">
        <v>0</v>
      </c>
      <c r="DA45" s="72">
        <v>0</v>
      </c>
      <c r="DB45" s="73">
        <f>SUM(CV45:DA45)</f>
        <v>0</v>
      </c>
      <c r="DC45" s="143">
        <v>0</v>
      </c>
      <c r="DD45" s="111"/>
      <c r="DE45" s="145">
        <v>0</v>
      </c>
      <c r="DF45" s="105" t="s">
        <v>14</v>
      </c>
      <c r="DG45" s="53" t="s">
        <v>13</v>
      </c>
      <c r="DH45" s="70">
        <v>0</v>
      </c>
      <c r="DI45" s="71">
        <v>0</v>
      </c>
      <c r="DJ45" s="71">
        <v>0</v>
      </c>
      <c r="DK45" s="71">
        <v>0</v>
      </c>
      <c r="DL45" s="71">
        <v>0</v>
      </c>
      <c r="DM45" s="72">
        <v>0</v>
      </c>
      <c r="DN45" s="73">
        <f>SUM(DH45:DM45)</f>
        <v>0</v>
      </c>
      <c r="DO45" s="143">
        <v>0</v>
      </c>
      <c r="DP45" s="111"/>
      <c r="DQ45" s="145">
        <v>0</v>
      </c>
      <c r="DR45" s="105" t="s">
        <v>14</v>
      </c>
      <c r="DS45" s="53" t="s">
        <v>13</v>
      </c>
      <c r="DT45" s="70">
        <v>0</v>
      </c>
      <c r="DU45" s="71">
        <v>0</v>
      </c>
      <c r="DV45" s="71">
        <v>0</v>
      </c>
      <c r="DW45" s="71">
        <v>0</v>
      </c>
      <c r="DX45" s="71">
        <v>0</v>
      </c>
      <c r="DY45" s="72">
        <v>0</v>
      </c>
      <c r="DZ45" s="73">
        <f>SUM(DT45:DY45)</f>
        <v>0</v>
      </c>
      <c r="EA45" s="143">
        <v>0</v>
      </c>
      <c r="EB45" s="111"/>
      <c r="EC45" s="145">
        <v>0</v>
      </c>
      <c r="ED45" s="105" t="s">
        <v>14</v>
      </c>
      <c r="EE45" s="53" t="s">
        <v>13</v>
      </c>
      <c r="EF45" s="70">
        <v>0</v>
      </c>
      <c r="EG45" s="71">
        <v>0</v>
      </c>
      <c r="EH45" s="71">
        <v>0</v>
      </c>
      <c r="EI45" s="71">
        <v>0</v>
      </c>
      <c r="EJ45" s="71">
        <v>0</v>
      </c>
      <c r="EK45" s="72">
        <v>0</v>
      </c>
      <c r="EL45" s="73">
        <f>SUM(EF45:EK45)</f>
        <v>0</v>
      </c>
      <c r="EM45" s="143">
        <v>0</v>
      </c>
      <c r="EN45" s="111"/>
      <c r="EO45" s="145">
        <f t="shared" ref="EO45" si="139">EC45</f>
        <v>0</v>
      </c>
      <c r="EP45" s="105" t="s">
        <v>14</v>
      </c>
      <c r="EQ45" s="53" t="s">
        <v>13</v>
      </c>
      <c r="ER45" s="70">
        <f t="shared" ref="ER45:EW48" si="140">SUM(EF45)</f>
        <v>0</v>
      </c>
      <c r="ES45" s="71">
        <f t="shared" si="140"/>
        <v>0</v>
      </c>
      <c r="ET45" s="71">
        <f t="shared" si="140"/>
        <v>0</v>
      </c>
      <c r="EU45" s="71">
        <f t="shared" si="140"/>
        <v>0</v>
      </c>
      <c r="EV45" s="71">
        <f t="shared" si="140"/>
        <v>0</v>
      </c>
      <c r="EW45" s="72">
        <f t="shared" si="140"/>
        <v>0</v>
      </c>
      <c r="EX45" s="74">
        <f>SUM(ER45:EW45)</f>
        <v>0</v>
      </c>
      <c r="EY45" s="143">
        <f>SUM(EM45)</f>
        <v>0</v>
      </c>
      <c r="EZ45" s="60"/>
    </row>
    <row r="46" spans="1:156" ht="15.95" customHeight="1" thickBot="1" x14ac:dyDescent="0.25">
      <c r="A46" s="146"/>
      <c r="B46" s="106"/>
      <c r="C46" s="55" t="s">
        <v>15</v>
      </c>
      <c r="D46" s="75">
        <v>0</v>
      </c>
      <c r="E46" s="76">
        <v>0</v>
      </c>
      <c r="F46" s="76">
        <v>0</v>
      </c>
      <c r="G46" s="76">
        <v>0</v>
      </c>
      <c r="H46" s="76">
        <v>0</v>
      </c>
      <c r="I46" s="77">
        <v>0</v>
      </c>
      <c r="J46" s="78">
        <f>SUM(D46:I46)</f>
        <v>0</v>
      </c>
      <c r="K46" s="144"/>
      <c r="L46" s="111"/>
      <c r="M46" s="146"/>
      <c r="N46" s="106"/>
      <c r="O46" s="55" t="s">
        <v>15</v>
      </c>
      <c r="P46" s="75">
        <v>0</v>
      </c>
      <c r="Q46" s="76">
        <v>0</v>
      </c>
      <c r="R46" s="76">
        <v>0</v>
      </c>
      <c r="S46" s="76">
        <v>0</v>
      </c>
      <c r="T46" s="76">
        <v>0</v>
      </c>
      <c r="U46" s="77">
        <v>0</v>
      </c>
      <c r="V46" s="78">
        <f>SUM(P46:U46)</f>
        <v>0</v>
      </c>
      <c r="W46" s="144"/>
      <c r="X46" s="111"/>
      <c r="Y46" s="146"/>
      <c r="Z46" s="106"/>
      <c r="AA46" s="55" t="s">
        <v>15</v>
      </c>
      <c r="AB46" s="75">
        <v>0</v>
      </c>
      <c r="AC46" s="76">
        <v>0</v>
      </c>
      <c r="AD46" s="76">
        <v>0</v>
      </c>
      <c r="AE46" s="76">
        <v>0</v>
      </c>
      <c r="AF46" s="76">
        <v>0</v>
      </c>
      <c r="AG46" s="77">
        <v>0</v>
      </c>
      <c r="AH46" s="78">
        <f>SUM(AB46:AG46)</f>
        <v>0</v>
      </c>
      <c r="AI46" s="144"/>
      <c r="AJ46" s="111"/>
      <c r="AK46" s="146"/>
      <c r="AL46" s="106"/>
      <c r="AM46" s="55" t="s">
        <v>15</v>
      </c>
      <c r="AN46" s="75">
        <v>0</v>
      </c>
      <c r="AO46" s="76">
        <v>0</v>
      </c>
      <c r="AP46" s="76">
        <v>0</v>
      </c>
      <c r="AQ46" s="76">
        <v>0</v>
      </c>
      <c r="AR46" s="76">
        <v>0</v>
      </c>
      <c r="AS46" s="77">
        <v>0</v>
      </c>
      <c r="AT46" s="78">
        <f>SUM(AN46:AS46)</f>
        <v>0</v>
      </c>
      <c r="AU46" s="144"/>
      <c r="AV46" s="111"/>
      <c r="AW46" s="146"/>
      <c r="AX46" s="106"/>
      <c r="AY46" s="55" t="s">
        <v>15</v>
      </c>
      <c r="AZ46" s="75">
        <v>0</v>
      </c>
      <c r="BA46" s="76">
        <v>0</v>
      </c>
      <c r="BB46" s="76">
        <v>0</v>
      </c>
      <c r="BC46" s="76">
        <v>0</v>
      </c>
      <c r="BD46" s="76">
        <v>0</v>
      </c>
      <c r="BE46" s="77">
        <v>0</v>
      </c>
      <c r="BF46" s="78">
        <f>SUM(AZ46:BE46)</f>
        <v>0</v>
      </c>
      <c r="BG46" s="144"/>
      <c r="BH46" s="111"/>
      <c r="BI46" s="146"/>
      <c r="BJ46" s="106"/>
      <c r="BK46" s="55" t="s">
        <v>15</v>
      </c>
      <c r="BL46" s="75">
        <v>0</v>
      </c>
      <c r="BM46" s="76">
        <v>0</v>
      </c>
      <c r="BN46" s="76">
        <v>0</v>
      </c>
      <c r="BO46" s="76">
        <v>0</v>
      </c>
      <c r="BP46" s="76">
        <v>0</v>
      </c>
      <c r="BQ46" s="77">
        <v>0</v>
      </c>
      <c r="BR46" s="78">
        <f>SUM(BL46:BQ46)</f>
        <v>0</v>
      </c>
      <c r="BS46" s="144"/>
      <c r="BT46" s="111"/>
      <c r="BU46" s="146"/>
      <c r="BV46" s="106"/>
      <c r="BW46" s="55" t="s">
        <v>15</v>
      </c>
      <c r="BX46" s="75">
        <v>0</v>
      </c>
      <c r="BY46" s="76">
        <v>0</v>
      </c>
      <c r="BZ46" s="76">
        <v>0</v>
      </c>
      <c r="CA46" s="76">
        <v>0</v>
      </c>
      <c r="CB46" s="76">
        <v>0</v>
      </c>
      <c r="CC46" s="77">
        <v>0</v>
      </c>
      <c r="CD46" s="78">
        <f>SUM(BX46:CC46)</f>
        <v>0</v>
      </c>
      <c r="CE46" s="144"/>
      <c r="CF46" s="111"/>
      <c r="CG46" s="146"/>
      <c r="CH46" s="106"/>
      <c r="CI46" s="55" t="s">
        <v>15</v>
      </c>
      <c r="CJ46" s="75">
        <v>0</v>
      </c>
      <c r="CK46" s="76">
        <v>0</v>
      </c>
      <c r="CL46" s="76">
        <v>0</v>
      </c>
      <c r="CM46" s="76">
        <v>0</v>
      </c>
      <c r="CN46" s="76">
        <v>0</v>
      </c>
      <c r="CO46" s="77">
        <v>0</v>
      </c>
      <c r="CP46" s="78">
        <f>SUM(CJ46:CO46)</f>
        <v>0</v>
      </c>
      <c r="CQ46" s="144"/>
      <c r="CR46" s="111"/>
      <c r="CS46" s="146"/>
      <c r="CT46" s="106"/>
      <c r="CU46" s="55" t="s">
        <v>15</v>
      </c>
      <c r="CV46" s="75">
        <v>0</v>
      </c>
      <c r="CW46" s="76">
        <v>0</v>
      </c>
      <c r="CX46" s="76">
        <v>0</v>
      </c>
      <c r="CY46" s="76">
        <v>0</v>
      </c>
      <c r="CZ46" s="76">
        <v>0</v>
      </c>
      <c r="DA46" s="77">
        <v>0</v>
      </c>
      <c r="DB46" s="78">
        <f>SUM(CV46:DA46)</f>
        <v>0</v>
      </c>
      <c r="DC46" s="144"/>
      <c r="DD46" s="111"/>
      <c r="DE46" s="146"/>
      <c r="DF46" s="106"/>
      <c r="DG46" s="55" t="s">
        <v>15</v>
      </c>
      <c r="DH46" s="75">
        <v>0</v>
      </c>
      <c r="DI46" s="76">
        <v>0</v>
      </c>
      <c r="DJ46" s="76">
        <v>0</v>
      </c>
      <c r="DK46" s="76">
        <v>0</v>
      </c>
      <c r="DL46" s="76">
        <v>0</v>
      </c>
      <c r="DM46" s="77">
        <v>0</v>
      </c>
      <c r="DN46" s="78">
        <f>SUM(DH46:DM46)</f>
        <v>0</v>
      </c>
      <c r="DO46" s="144"/>
      <c r="DP46" s="111"/>
      <c r="DQ46" s="146"/>
      <c r="DR46" s="106"/>
      <c r="DS46" s="55" t="s">
        <v>15</v>
      </c>
      <c r="DT46" s="75">
        <v>0</v>
      </c>
      <c r="DU46" s="76">
        <v>0</v>
      </c>
      <c r="DV46" s="76">
        <v>0</v>
      </c>
      <c r="DW46" s="76">
        <v>0</v>
      </c>
      <c r="DX46" s="76">
        <v>0</v>
      </c>
      <c r="DY46" s="77">
        <v>0</v>
      </c>
      <c r="DZ46" s="78">
        <f>SUM(DT46:DY46)</f>
        <v>0</v>
      </c>
      <c r="EA46" s="144"/>
      <c r="EB46" s="111"/>
      <c r="EC46" s="146"/>
      <c r="ED46" s="106"/>
      <c r="EE46" s="55" t="s">
        <v>15</v>
      </c>
      <c r="EF46" s="75">
        <v>0</v>
      </c>
      <c r="EG46" s="76">
        <v>0</v>
      </c>
      <c r="EH46" s="76">
        <v>0</v>
      </c>
      <c r="EI46" s="76">
        <v>0</v>
      </c>
      <c r="EJ46" s="76">
        <v>0</v>
      </c>
      <c r="EK46" s="77">
        <v>0</v>
      </c>
      <c r="EL46" s="78">
        <f>SUM(EF46:EK46)</f>
        <v>0</v>
      </c>
      <c r="EM46" s="144"/>
      <c r="EN46" s="111"/>
      <c r="EO46" s="146"/>
      <c r="EP46" s="106"/>
      <c r="EQ46" s="55" t="s">
        <v>15</v>
      </c>
      <c r="ER46" s="75">
        <f t="shared" si="140"/>
        <v>0</v>
      </c>
      <c r="ES46" s="76">
        <f t="shared" si="140"/>
        <v>0</v>
      </c>
      <c r="ET46" s="76">
        <f t="shared" si="140"/>
        <v>0</v>
      </c>
      <c r="EU46" s="76">
        <f t="shared" si="140"/>
        <v>0</v>
      </c>
      <c r="EV46" s="76">
        <f t="shared" si="140"/>
        <v>0</v>
      </c>
      <c r="EW46" s="77">
        <f t="shared" si="140"/>
        <v>0</v>
      </c>
      <c r="EX46" s="79">
        <f>SUM(ER46:EW46)</f>
        <v>0</v>
      </c>
      <c r="EY46" s="144"/>
      <c r="EZ46" s="60"/>
    </row>
    <row r="47" spans="1:156" ht="15.95" customHeight="1" x14ac:dyDescent="0.2">
      <c r="A47" s="146"/>
      <c r="B47" s="56" t="s">
        <v>16</v>
      </c>
      <c r="C47" s="57" t="s">
        <v>13</v>
      </c>
      <c r="D47" s="70">
        <v>0</v>
      </c>
      <c r="E47" s="71">
        <v>0</v>
      </c>
      <c r="F47" s="71">
        <v>0</v>
      </c>
      <c r="G47" s="71">
        <v>0</v>
      </c>
      <c r="H47" s="71">
        <v>0</v>
      </c>
      <c r="I47" s="72">
        <v>0</v>
      </c>
      <c r="J47" s="73">
        <f>SUM(D47:I47)</f>
        <v>0</v>
      </c>
      <c r="K47" s="143">
        <v>0</v>
      </c>
      <c r="L47" s="111"/>
      <c r="M47" s="146"/>
      <c r="N47" s="56" t="s">
        <v>16</v>
      </c>
      <c r="O47" s="57" t="s">
        <v>13</v>
      </c>
      <c r="P47" s="70">
        <v>0</v>
      </c>
      <c r="Q47" s="71">
        <v>0</v>
      </c>
      <c r="R47" s="71">
        <v>0</v>
      </c>
      <c r="S47" s="71">
        <v>0</v>
      </c>
      <c r="T47" s="71">
        <v>0</v>
      </c>
      <c r="U47" s="72">
        <v>0</v>
      </c>
      <c r="V47" s="73">
        <f>SUM(P47:U47)</f>
        <v>0</v>
      </c>
      <c r="W47" s="143">
        <v>0</v>
      </c>
      <c r="X47" s="111"/>
      <c r="Y47" s="146"/>
      <c r="Z47" s="56" t="s">
        <v>16</v>
      </c>
      <c r="AA47" s="57" t="s">
        <v>13</v>
      </c>
      <c r="AB47" s="70">
        <v>0</v>
      </c>
      <c r="AC47" s="71">
        <v>0</v>
      </c>
      <c r="AD47" s="71">
        <v>0</v>
      </c>
      <c r="AE47" s="71">
        <v>0</v>
      </c>
      <c r="AF47" s="71">
        <v>0</v>
      </c>
      <c r="AG47" s="72">
        <v>0</v>
      </c>
      <c r="AH47" s="73">
        <f>SUM(AB47:AG47)</f>
        <v>0</v>
      </c>
      <c r="AI47" s="143">
        <v>0</v>
      </c>
      <c r="AJ47" s="111"/>
      <c r="AK47" s="146"/>
      <c r="AL47" s="56" t="s">
        <v>16</v>
      </c>
      <c r="AM47" s="57" t="s">
        <v>13</v>
      </c>
      <c r="AN47" s="70">
        <v>0</v>
      </c>
      <c r="AO47" s="71">
        <v>0</v>
      </c>
      <c r="AP47" s="71">
        <v>0</v>
      </c>
      <c r="AQ47" s="71">
        <v>0</v>
      </c>
      <c r="AR47" s="71">
        <v>0</v>
      </c>
      <c r="AS47" s="72">
        <v>0</v>
      </c>
      <c r="AT47" s="73">
        <f>SUM(AN47:AS47)</f>
        <v>0</v>
      </c>
      <c r="AU47" s="143">
        <v>0</v>
      </c>
      <c r="AV47" s="111"/>
      <c r="AW47" s="146"/>
      <c r="AX47" s="56" t="s">
        <v>16</v>
      </c>
      <c r="AY47" s="57" t="s">
        <v>13</v>
      </c>
      <c r="AZ47" s="70">
        <v>0</v>
      </c>
      <c r="BA47" s="71">
        <v>0</v>
      </c>
      <c r="BB47" s="71">
        <v>0</v>
      </c>
      <c r="BC47" s="71">
        <v>0</v>
      </c>
      <c r="BD47" s="71">
        <v>0</v>
      </c>
      <c r="BE47" s="72">
        <v>0</v>
      </c>
      <c r="BF47" s="73">
        <f>SUM(AZ47:BE47)</f>
        <v>0</v>
      </c>
      <c r="BG47" s="143">
        <v>0</v>
      </c>
      <c r="BH47" s="111"/>
      <c r="BI47" s="146"/>
      <c r="BJ47" s="56" t="s">
        <v>16</v>
      </c>
      <c r="BK47" s="57" t="s">
        <v>13</v>
      </c>
      <c r="BL47" s="70">
        <v>0</v>
      </c>
      <c r="BM47" s="71">
        <v>0</v>
      </c>
      <c r="BN47" s="71">
        <v>0</v>
      </c>
      <c r="BO47" s="71">
        <v>0</v>
      </c>
      <c r="BP47" s="71">
        <v>0</v>
      </c>
      <c r="BQ47" s="72">
        <v>0</v>
      </c>
      <c r="BR47" s="73">
        <f>SUM(BL47:BQ47)</f>
        <v>0</v>
      </c>
      <c r="BS47" s="143">
        <v>0</v>
      </c>
      <c r="BT47" s="111"/>
      <c r="BU47" s="146"/>
      <c r="BV47" s="56" t="s">
        <v>16</v>
      </c>
      <c r="BW47" s="57" t="s">
        <v>13</v>
      </c>
      <c r="BX47" s="70">
        <v>0</v>
      </c>
      <c r="BY47" s="71">
        <v>0</v>
      </c>
      <c r="BZ47" s="71">
        <v>0</v>
      </c>
      <c r="CA47" s="71">
        <v>0</v>
      </c>
      <c r="CB47" s="71">
        <v>0</v>
      </c>
      <c r="CC47" s="72">
        <v>0</v>
      </c>
      <c r="CD47" s="73">
        <f>SUM(BX47:CC47)</f>
        <v>0</v>
      </c>
      <c r="CE47" s="143">
        <v>0</v>
      </c>
      <c r="CF47" s="111"/>
      <c r="CG47" s="146"/>
      <c r="CH47" s="56" t="s">
        <v>16</v>
      </c>
      <c r="CI47" s="57" t="s">
        <v>13</v>
      </c>
      <c r="CJ47" s="70">
        <v>0</v>
      </c>
      <c r="CK47" s="71">
        <v>0</v>
      </c>
      <c r="CL47" s="71">
        <v>0</v>
      </c>
      <c r="CM47" s="71">
        <v>0</v>
      </c>
      <c r="CN47" s="71">
        <v>0</v>
      </c>
      <c r="CO47" s="72">
        <v>0</v>
      </c>
      <c r="CP47" s="73">
        <f>SUM(CJ47:CO47)</f>
        <v>0</v>
      </c>
      <c r="CQ47" s="143">
        <v>0</v>
      </c>
      <c r="CR47" s="111"/>
      <c r="CS47" s="146"/>
      <c r="CT47" s="56" t="s">
        <v>16</v>
      </c>
      <c r="CU47" s="57" t="s">
        <v>13</v>
      </c>
      <c r="CV47" s="70">
        <v>0</v>
      </c>
      <c r="CW47" s="71">
        <v>0</v>
      </c>
      <c r="CX47" s="71">
        <v>0</v>
      </c>
      <c r="CY47" s="71">
        <v>0</v>
      </c>
      <c r="CZ47" s="71">
        <v>0</v>
      </c>
      <c r="DA47" s="72">
        <v>0</v>
      </c>
      <c r="DB47" s="73">
        <f>SUM(CV47:DA47)</f>
        <v>0</v>
      </c>
      <c r="DC47" s="143">
        <v>0</v>
      </c>
      <c r="DD47" s="111"/>
      <c r="DE47" s="146"/>
      <c r="DF47" s="56" t="s">
        <v>16</v>
      </c>
      <c r="DG47" s="57" t="s">
        <v>13</v>
      </c>
      <c r="DH47" s="70">
        <v>0</v>
      </c>
      <c r="DI47" s="71">
        <v>0</v>
      </c>
      <c r="DJ47" s="71">
        <v>0</v>
      </c>
      <c r="DK47" s="71">
        <v>0</v>
      </c>
      <c r="DL47" s="71">
        <v>0</v>
      </c>
      <c r="DM47" s="72">
        <v>0</v>
      </c>
      <c r="DN47" s="73">
        <f>SUM(DH47:DM47)</f>
        <v>0</v>
      </c>
      <c r="DO47" s="143">
        <v>0</v>
      </c>
      <c r="DP47" s="111"/>
      <c r="DQ47" s="146"/>
      <c r="DR47" s="56" t="s">
        <v>16</v>
      </c>
      <c r="DS47" s="57" t="s">
        <v>13</v>
      </c>
      <c r="DT47" s="70">
        <v>0</v>
      </c>
      <c r="DU47" s="71">
        <v>0</v>
      </c>
      <c r="DV47" s="71">
        <v>0</v>
      </c>
      <c r="DW47" s="71">
        <v>0</v>
      </c>
      <c r="DX47" s="71">
        <v>0</v>
      </c>
      <c r="DY47" s="72">
        <v>0</v>
      </c>
      <c r="DZ47" s="73">
        <f>SUM(DT47:DY47)</f>
        <v>0</v>
      </c>
      <c r="EA47" s="143">
        <v>0</v>
      </c>
      <c r="EB47" s="111"/>
      <c r="EC47" s="146"/>
      <c r="ED47" s="56" t="s">
        <v>16</v>
      </c>
      <c r="EE47" s="57" t="s">
        <v>13</v>
      </c>
      <c r="EF47" s="70">
        <v>0</v>
      </c>
      <c r="EG47" s="71">
        <v>0</v>
      </c>
      <c r="EH47" s="71">
        <v>0</v>
      </c>
      <c r="EI47" s="71">
        <v>0</v>
      </c>
      <c r="EJ47" s="71">
        <v>0</v>
      </c>
      <c r="EK47" s="72">
        <v>0</v>
      </c>
      <c r="EL47" s="73">
        <f>SUM(EF47:EK47)</f>
        <v>0</v>
      </c>
      <c r="EM47" s="143">
        <v>0</v>
      </c>
      <c r="EN47" s="111"/>
      <c r="EO47" s="146"/>
      <c r="EP47" s="56" t="s">
        <v>16</v>
      </c>
      <c r="EQ47" s="57" t="s">
        <v>13</v>
      </c>
      <c r="ER47" s="80">
        <f t="shared" si="140"/>
        <v>0</v>
      </c>
      <c r="ES47" s="81">
        <f t="shared" si="140"/>
        <v>0</v>
      </c>
      <c r="ET47" s="81">
        <f t="shared" si="140"/>
        <v>0</v>
      </c>
      <c r="EU47" s="81">
        <f t="shared" si="140"/>
        <v>0</v>
      </c>
      <c r="EV47" s="81">
        <f t="shared" si="140"/>
        <v>0</v>
      </c>
      <c r="EW47" s="82">
        <f t="shared" si="140"/>
        <v>0</v>
      </c>
      <c r="EX47" s="74">
        <f>SUM(ER47:EW47)</f>
        <v>0</v>
      </c>
      <c r="EY47" s="143">
        <f>SUM(EM47)</f>
        <v>0</v>
      </c>
      <c r="EZ47" s="60"/>
    </row>
    <row r="48" spans="1:156" ht="15.95" customHeight="1" thickBot="1" x14ac:dyDescent="0.25">
      <c r="A48" s="146"/>
      <c r="B48" s="58" t="s">
        <v>14</v>
      </c>
      <c r="C48" s="59" t="s">
        <v>15</v>
      </c>
      <c r="D48" s="75">
        <v>0</v>
      </c>
      <c r="E48" s="76">
        <v>0</v>
      </c>
      <c r="F48" s="76">
        <v>0</v>
      </c>
      <c r="G48" s="76">
        <v>0</v>
      </c>
      <c r="H48" s="76">
        <v>0</v>
      </c>
      <c r="I48" s="77">
        <v>0</v>
      </c>
      <c r="J48" s="78">
        <f>SUM(D48:I48)</f>
        <v>0</v>
      </c>
      <c r="K48" s="144"/>
      <c r="L48" s="111"/>
      <c r="M48" s="146"/>
      <c r="N48" s="58" t="s">
        <v>14</v>
      </c>
      <c r="O48" s="59" t="s">
        <v>15</v>
      </c>
      <c r="P48" s="75">
        <v>0</v>
      </c>
      <c r="Q48" s="76">
        <v>0</v>
      </c>
      <c r="R48" s="76">
        <v>0</v>
      </c>
      <c r="S48" s="76">
        <v>0</v>
      </c>
      <c r="T48" s="76">
        <v>0</v>
      </c>
      <c r="U48" s="77">
        <v>0</v>
      </c>
      <c r="V48" s="78">
        <f>SUM(P48:U48)</f>
        <v>0</v>
      </c>
      <c r="W48" s="144"/>
      <c r="X48" s="111"/>
      <c r="Y48" s="146"/>
      <c r="Z48" s="58" t="s">
        <v>14</v>
      </c>
      <c r="AA48" s="59" t="s">
        <v>15</v>
      </c>
      <c r="AB48" s="75">
        <v>0</v>
      </c>
      <c r="AC48" s="76">
        <v>0</v>
      </c>
      <c r="AD48" s="76">
        <v>0</v>
      </c>
      <c r="AE48" s="76">
        <v>0</v>
      </c>
      <c r="AF48" s="76">
        <v>0</v>
      </c>
      <c r="AG48" s="77">
        <v>0</v>
      </c>
      <c r="AH48" s="78">
        <f>SUM(AB48:AG48)</f>
        <v>0</v>
      </c>
      <c r="AI48" s="144"/>
      <c r="AJ48" s="111"/>
      <c r="AK48" s="146"/>
      <c r="AL48" s="58" t="s">
        <v>14</v>
      </c>
      <c r="AM48" s="59" t="s">
        <v>15</v>
      </c>
      <c r="AN48" s="75">
        <v>0</v>
      </c>
      <c r="AO48" s="76">
        <v>0</v>
      </c>
      <c r="AP48" s="76">
        <v>0</v>
      </c>
      <c r="AQ48" s="76">
        <v>0</v>
      </c>
      <c r="AR48" s="76">
        <v>0</v>
      </c>
      <c r="AS48" s="77">
        <v>0</v>
      </c>
      <c r="AT48" s="78">
        <f>SUM(AN48:AS48)</f>
        <v>0</v>
      </c>
      <c r="AU48" s="144"/>
      <c r="AV48" s="111"/>
      <c r="AW48" s="146"/>
      <c r="AX48" s="58" t="s">
        <v>14</v>
      </c>
      <c r="AY48" s="59" t="s">
        <v>15</v>
      </c>
      <c r="AZ48" s="75">
        <v>0</v>
      </c>
      <c r="BA48" s="76">
        <v>0</v>
      </c>
      <c r="BB48" s="76">
        <v>0</v>
      </c>
      <c r="BC48" s="76">
        <v>0</v>
      </c>
      <c r="BD48" s="76">
        <v>0</v>
      </c>
      <c r="BE48" s="77">
        <v>0</v>
      </c>
      <c r="BF48" s="78">
        <f>SUM(AZ48:BE48)</f>
        <v>0</v>
      </c>
      <c r="BG48" s="144"/>
      <c r="BH48" s="111"/>
      <c r="BI48" s="146"/>
      <c r="BJ48" s="58" t="s">
        <v>14</v>
      </c>
      <c r="BK48" s="59" t="s">
        <v>15</v>
      </c>
      <c r="BL48" s="75">
        <v>0</v>
      </c>
      <c r="BM48" s="76">
        <v>0</v>
      </c>
      <c r="BN48" s="76">
        <v>0</v>
      </c>
      <c r="BO48" s="76">
        <v>0</v>
      </c>
      <c r="BP48" s="76">
        <v>0</v>
      </c>
      <c r="BQ48" s="77">
        <v>0</v>
      </c>
      <c r="BR48" s="78">
        <f>SUM(BL48:BQ48)</f>
        <v>0</v>
      </c>
      <c r="BS48" s="144"/>
      <c r="BT48" s="111"/>
      <c r="BU48" s="146"/>
      <c r="BV48" s="58" t="s">
        <v>14</v>
      </c>
      <c r="BW48" s="59" t="s">
        <v>15</v>
      </c>
      <c r="BX48" s="75">
        <v>0</v>
      </c>
      <c r="BY48" s="76">
        <v>0</v>
      </c>
      <c r="BZ48" s="76">
        <v>0</v>
      </c>
      <c r="CA48" s="76">
        <v>0</v>
      </c>
      <c r="CB48" s="76">
        <v>0</v>
      </c>
      <c r="CC48" s="77">
        <v>0</v>
      </c>
      <c r="CD48" s="78">
        <f>SUM(BX48:CC48)</f>
        <v>0</v>
      </c>
      <c r="CE48" s="144"/>
      <c r="CF48" s="111"/>
      <c r="CG48" s="146"/>
      <c r="CH48" s="58" t="s">
        <v>14</v>
      </c>
      <c r="CI48" s="59" t="s">
        <v>15</v>
      </c>
      <c r="CJ48" s="75">
        <v>0</v>
      </c>
      <c r="CK48" s="76">
        <v>0</v>
      </c>
      <c r="CL48" s="76">
        <v>0</v>
      </c>
      <c r="CM48" s="76">
        <v>0</v>
      </c>
      <c r="CN48" s="76">
        <v>0</v>
      </c>
      <c r="CO48" s="77">
        <v>0</v>
      </c>
      <c r="CP48" s="78">
        <f>SUM(CJ48:CO48)</f>
        <v>0</v>
      </c>
      <c r="CQ48" s="144"/>
      <c r="CR48" s="111"/>
      <c r="CS48" s="146"/>
      <c r="CT48" s="58" t="s">
        <v>14</v>
      </c>
      <c r="CU48" s="59" t="s">
        <v>15</v>
      </c>
      <c r="CV48" s="75">
        <v>0</v>
      </c>
      <c r="CW48" s="76">
        <v>0</v>
      </c>
      <c r="CX48" s="76">
        <v>0</v>
      </c>
      <c r="CY48" s="76">
        <v>0</v>
      </c>
      <c r="CZ48" s="76">
        <v>0</v>
      </c>
      <c r="DA48" s="77">
        <v>0</v>
      </c>
      <c r="DB48" s="78">
        <f>SUM(CV48:DA48)</f>
        <v>0</v>
      </c>
      <c r="DC48" s="144"/>
      <c r="DD48" s="111"/>
      <c r="DE48" s="146"/>
      <c r="DF48" s="58" t="s">
        <v>14</v>
      </c>
      <c r="DG48" s="59" t="s">
        <v>15</v>
      </c>
      <c r="DH48" s="75">
        <v>0</v>
      </c>
      <c r="DI48" s="76">
        <v>0</v>
      </c>
      <c r="DJ48" s="76">
        <v>0</v>
      </c>
      <c r="DK48" s="76">
        <v>0</v>
      </c>
      <c r="DL48" s="76">
        <v>0</v>
      </c>
      <c r="DM48" s="77">
        <v>0</v>
      </c>
      <c r="DN48" s="78">
        <f>SUM(DH48:DM48)</f>
        <v>0</v>
      </c>
      <c r="DO48" s="144"/>
      <c r="DP48" s="111"/>
      <c r="DQ48" s="146"/>
      <c r="DR48" s="58" t="s">
        <v>14</v>
      </c>
      <c r="DS48" s="59" t="s">
        <v>15</v>
      </c>
      <c r="DT48" s="75">
        <v>0</v>
      </c>
      <c r="DU48" s="76">
        <v>0</v>
      </c>
      <c r="DV48" s="76">
        <v>0</v>
      </c>
      <c r="DW48" s="76">
        <v>0</v>
      </c>
      <c r="DX48" s="76">
        <v>0</v>
      </c>
      <c r="DY48" s="77">
        <v>0</v>
      </c>
      <c r="DZ48" s="78">
        <f>SUM(DT48:DY48)</f>
        <v>0</v>
      </c>
      <c r="EA48" s="144"/>
      <c r="EB48" s="111"/>
      <c r="EC48" s="146"/>
      <c r="ED48" s="58" t="s">
        <v>14</v>
      </c>
      <c r="EE48" s="59" t="s">
        <v>15</v>
      </c>
      <c r="EF48" s="75">
        <v>0</v>
      </c>
      <c r="EG48" s="76">
        <v>0</v>
      </c>
      <c r="EH48" s="76">
        <v>0</v>
      </c>
      <c r="EI48" s="76">
        <v>0</v>
      </c>
      <c r="EJ48" s="76">
        <v>0</v>
      </c>
      <c r="EK48" s="77">
        <v>0</v>
      </c>
      <c r="EL48" s="78">
        <f>SUM(EF48:EK48)</f>
        <v>0</v>
      </c>
      <c r="EM48" s="144"/>
      <c r="EN48" s="111"/>
      <c r="EO48" s="146"/>
      <c r="EP48" s="58" t="s">
        <v>14</v>
      </c>
      <c r="EQ48" s="59" t="s">
        <v>15</v>
      </c>
      <c r="ER48" s="75">
        <f t="shared" si="140"/>
        <v>0</v>
      </c>
      <c r="ES48" s="76">
        <f t="shared" si="140"/>
        <v>0</v>
      </c>
      <c r="ET48" s="76">
        <f t="shared" si="140"/>
        <v>0</v>
      </c>
      <c r="EU48" s="76">
        <f t="shared" si="140"/>
        <v>0</v>
      </c>
      <c r="EV48" s="76">
        <f t="shared" si="140"/>
        <v>0</v>
      </c>
      <c r="EW48" s="77">
        <f t="shared" si="140"/>
        <v>0</v>
      </c>
      <c r="EX48" s="79">
        <f>SUM(ER48:EW48)</f>
        <v>0</v>
      </c>
      <c r="EY48" s="144"/>
      <c r="EZ48" s="60"/>
    </row>
    <row r="49" spans="1:156" ht="15.95" customHeight="1" thickBot="1" x14ac:dyDescent="0.25">
      <c r="A49" s="147"/>
      <c r="B49" s="107" t="s">
        <v>17</v>
      </c>
      <c r="C49" s="108"/>
      <c r="D49" s="83">
        <f t="shared" ref="D49:K49" si="141">SUM(D45:D48)</f>
        <v>0</v>
      </c>
      <c r="E49" s="84">
        <f t="shared" si="141"/>
        <v>0</v>
      </c>
      <c r="F49" s="84">
        <f t="shared" si="141"/>
        <v>0</v>
      </c>
      <c r="G49" s="84">
        <f t="shared" si="141"/>
        <v>0</v>
      </c>
      <c r="H49" s="84">
        <f t="shared" si="141"/>
        <v>0</v>
      </c>
      <c r="I49" s="85">
        <f t="shared" si="141"/>
        <v>0</v>
      </c>
      <c r="J49" s="1">
        <f t="shared" si="141"/>
        <v>0</v>
      </c>
      <c r="K49" s="86">
        <f t="shared" si="141"/>
        <v>0</v>
      </c>
      <c r="L49" s="111"/>
      <c r="M49" s="147"/>
      <c r="N49" s="107" t="s">
        <v>17</v>
      </c>
      <c r="O49" s="108"/>
      <c r="P49" s="83">
        <f t="shared" ref="P49:W49" si="142">SUM(P45:P48)</f>
        <v>0</v>
      </c>
      <c r="Q49" s="84">
        <f t="shared" si="142"/>
        <v>0</v>
      </c>
      <c r="R49" s="84">
        <f t="shared" si="142"/>
        <v>0</v>
      </c>
      <c r="S49" s="84">
        <f t="shared" si="142"/>
        <v>0</v>
      </c>
      <c r="T49" s="84">
        <f t="shared" si="142"/>
        <v>0</v>
      </c>
      <c r="U49" s="85">
        <f t="shared" si="142"/>
        <v>0</v>
      </c>
      <c r="V49" s="1">
        <f t="shared" si="142"/>
        <v>0</v>
      </c>
      <c r="W49" s="86">
        <f t="shared" si="142"/>
        <v>0</v>
      </c>
      <c r="X49" s="111"/>
      <c r="Y49" s="147"/>
      <c r="Z49" s="107" t="s">
        <v>17</v>
      </c>
      <c r="AA49" s="108"/>
      <c r="AB49" s="83">
        <f t="shared" ref="AB49:AI49" si="143">SUM(AB45:AB48)</f>
        <v>0</v>
      </c>
      <c r="AC49" s="84">
        <f t="shared" si="143"/>
        <v>0</v>
      </c>
      <c r="AD49" s="84">
        <f t="shared" si="143"/>
        <v>0</v>
      </c>
      <c r="AE49" s="84">
        <f t="shared" si="143"/>
        <v>0</v>
      </c>
      <c r="AF49" s="84">
        <f t="shared" si="143"/>
        <v>0</v>
      </c>
      <c r="AG49" s="85">
        <f t="shared" si="143"/>
        <v>0</v>
      </c>
      <c r="AH49" s="1">
        <f t="shared" si="143"/>
        <v>0</v>
      </c>
      <c r="AI49" s="86">
        <f t="shared" si="143"/>
        <v>0</v>
      </c>
      <c r="AJ49" s="111"/>
      <c r="AK49" s="147"/>
      <c r="AL49" s="107" t="s">
        <v>17</v>
      </c>
      <c r="AM49" s="108"/>
      <c r="AN49" s="83">
        <f t="shared" ref="AN49:AU49" si="144">SUM(AN45:AN48)</f>
        <v>0</v>
      </c>
      <c r="AO49" s="84">
        <f t="shared" si="144"/>
        <v>0</v>
      </c>
      <c r="AP49" s="84">
        <f t="shared" si="144"/>
        <v>0</v>
      </c>
      <c r="AQ49" s="84">
        <f t="shared" si="144"/>
        <v>0</v>
      </c>
      <c r="AR49" s="84">
        <f t="shared" si="144"/>
        <v>0</v>
      </c>
      <c r="AS49" s="85">
        <f t="shared" si="144"/>
        <v>0</v>
      </c>
      <c r="AT49" s="1">
        <f t="shared" si="144"/>
        <v>0</v>
      </c>
      <c r="AU49" s="86">
        <f t="shared" si="144"/>
        <v>0</v>
      </c>
      <c r="AV49" s="111"/>
      <c r="AW49" s="147"/>
      <c r="AX49" s="107" t="s">
        <v>17</v>
      </c>
      <c r="AY49" s="108"/>
      <c r="AZ49" s="83">
        <f t="shared" ref="AZ49:BE49" si="145">SUM(AZ45:AZ48)</f>
        <v>0</v>
      </c>
      <c r="BA49" s="84">
        <f t="shared" si="145"/>
        <v>0</v>
      </c>
      <c r="BB49" s="84">
        <f t="shared" si="145"/>
        <v>0</v>
      </c>
      <c r="BC49" s="84">
        <f t="shared" si="145"/>
        <v>0</v>
      </c>
      <c r="BD49" s="84">
        <f t="shared" si="145"/>
        <v>0</v>
      </c>
      <c r="BE49" s="85">
        <f t="shared" si="145"/>
        <v>0</v>
      </c>
      <c r="BF49" s="1">
        <f t="shared" ref="BF49:BG49" si="146">SUM(BF45:BF48)</f>
        <v>0</v>
      </c>
      <c r="BG49" s="86">
        <f t="shared" si="146"/>
        <v>0</v>
      </c>
      <c r="BH49" s="111"/>
      <c r="BI49" s="147"/>
      <c r="BJ49" s="107" t="s">
        <v>17</v>
      </c>
      <c r="BK49" s="108"/>
      <c r="BL49" s="83">
        <f t="shared" ref="BL49:BS49" si="147">SUM(BL45:BL48)</f>
        <v>0</v>
      </c>
      <c r="BM49" s="84">
        <f t="shared" si="147"/>
        <v>0</v>
      </c>
      <c r="BN49" s="84">
        <f t="shared" si="147"/>
        <v>0</v>
      </c>
      <c r="BO49" s="84">
        <f t="shared" si="147"/>
        <v>0</v>
      </c>
      <c r="BP49" s="84">
        <f t="shared" si="147"/>
        <v>0</v>
      </c>
      <c r="BQ49" s="85">
        <f t="shared" si="147"/>
        <v>0</v>
      </c>
      <c r="BR49" s="1">
        <f t="shared" si="147"/>
        <v>0</v>
      </c>
      <c r="BS49" s="86">
        <f t="shared" si="147"/>
        <v>0</v>
      </c>
      <c r="BT49" s="111"/>
      <c r="BU49" s="147"/>
      <c r="BV49" s="107" t="s">
        <v>17</v>
      </c>
      <c r="BW49" s="108"/>
      <c r="BX49" s="83">
        <f t="shared" ref="BX49:CE49" si="148">SUM(BX45:BX48)</f>
        <v>0</v>
      </c>
      <c r="BY49" s="84">
        <f t="shared" si="148"/>
        <v>0</v>
      </c>
      <c r="BZ49" s="84">
        <f t="shared" si="148"/>
        <v>0</v>
      </c>
      <c r="CA49" s="84">
        <f t="shared" si="148"/>
        <v>0</v>
      </c>
      <c r="CB49" s="84">
        <f t="shared" si="148"/>
        <v>0</v>
      </c>
      <c r="CC49" s="85">
        <f t="shared" si="148"/>
        <v>0</v>
      </c>
      <c r="CD49" s="1">
        <f t="shared" si="148"/>
        <v>0</v>
      </c>
      <c r="CE49" s="86">
        <f t="shared" si="148"/>
        <v>0</v>
      </c>
      <c r="CF49" s="111"/>
      <c r="CG49" s="147"/>
      <c r="CH49" s="107" t="s">
        <v>17</v>
      </c>
      <c r="CI49" s="108"/>
      <c r="CJ49" s="83">
        <f t="shared" ref="CJ49:CQ49" si="149">SUM(CJ45:CJ48)</f>
        <v>0</v>
      </c>
      <c r="CK49" s="84">
        <f t="shared" si="149"/>
        <v>0</v>
      </c>
      <c r="CL49" s="84">
        <f t="shared" si="149"/>
        <v>0</v>
      </c>
      <c r="CM49" s="84">
        <f t="shared" si="149"/>
        <v>0</v>
      </c>
      <c r="CN49" s="84">
        <f t="shared" si="149"/>
        <v>0</v>
      </c>
      <c r="CO49" s="85">
        <f t="shared" si="149"/>
        <v>0</v>
      </c>
      <c r="CP49" s="1">
        <f t="shared" si="149"/>
        <v>0</v>
      </c>
      <c r="CQ49" s="86">
        <f t="shared" si="149"/>
        <v>0</v>
      </c>
      <c r="CR49" s="111"/>
      <c r="CS49" s="147"/>
      <c r="CT49" s="107" t="s">
        <v>17</v>
      </c>
      <c r="CU49" s="108"/>
      <c r="CV49" s="83">
        <f t="shared" ref="CV49:DC49" si="150">SUM(CV45:CV48)</f>
        <v>0</v>
      </c>
      <c r="CW49" s="84">
        <f t="shared" si="150"/>
        <v>0</v>
      </c>
      <c r="CX49" s="84">
        <f t="shared" si="150"/>
        <v>0</v>
      </c>
      <c r="CY49" s="84">
        <f t="shared" si="150"/>
        <v>0</v>
      </c>
      <c r="CZ49" s="84">
        <f t="shared" si="150"/>
        <v>0</v>
      </c>
      <c r="DA49" s="85">
        <f t="shared" si="150"/>
        <v>0</v>
      </c>
      <c r="DB49" s="1">
        <f t="shared" si="150"/>
        <v>0</v>
      </c>
      <c r="DC49" s="86">
        <f t="shared" si="150"/>
        <v>0</v>
      </c>
      <c r="DD49" s="111"/>
      <c r="DE49" s="147"/>
      <c r="DF49" s="107" t="s">
        <v>17</v>
      </c>
      <c r="DG49" s="108"/>
      <c r="DH49" s="83">
        <f t="shared" ref="DH49:DO49" si="151">SUM(DH45:DH48)</f>
        <v>0</v>
      </c>
      <c r="DI49" s="84">
        <f t="shared" si="151"/>
        <v>0</v>
      </c>
      <c r="DJ49" s="84">
        <f t="shared" si="151"/>
        <v>0</v>
      </c>
      <c r="DK49" s="84">
        <f t="shared" si="151"/>
        <v>0</v>
      </c>
      <c r="DL49" s="84">
        <f t="shared" si="151"/>
        <v>0</v>
      </c>
      <c r="DM49" s="85">
        <f t="shared" si="151"/>
        <v>0</v>
      </c>
      <c r="DN49" s="1">
        <f t="shared" si="151"/>
        <v>0</v>
      </c>
      <c r="DO49" s="86">
        <f t="shared" si="151"/>
        <v>0</v>
      </c>
      <c r="DP49" s="111"/>
      <c r="DQ49" s="147"/>
      <c r="DR49" s="107" t="s">
        <v>17</v>
      </c>
      <c r="DS49" s="108"/>
      <c r="DT49" s="83">
        <f t="shared" ref="DT49:EA49" si="152">SUM(DT45:DT48)</f>
        <v>0</v>
      </c>
      <c r="DU49" s="84">
        <f t="shared" si="152"/>
        <v>0</v>
      </c>
      <c r="DV49" s="84">
        <f t="shared" si="152"/>
        <v>0</v>
      </c>
      <c r="DW49" s="84">
        <f t="shared" si="152"/>
        <v>0</v>
      </c>
      <c r="DX49" s="84">
        <f t="shared" si="152"/>
        <v>0</v>
      </c>
      <c r="DY49" s="85">
        <f t="shared" si="152"/>
        <v>0</v>
      </c>
      <c r="DZ49" s="1">
        <f t="shared" si="152"/>
        <v>0</v>
      </c>
      <c r="EA49" s="86">
        <f t="shared" si="152"/>
        <v>0</v>
      </c>
      <c r="EB49" s="111"/>
      <c r="EC49" s="147"/>
      <c r="ED49" s="107" t="s">
        <v>17</v>
      </c>
      <c r="EE49" s="108"/>
      <c r="EF49" s="83">
        <f t="shared" ref="EF49:EM49" si="153">SUM(EF45:EF48)</f>
        <v>0</v>
      </c>
      <c r="EG49" s="84">
        <f t="shared" si="153"/>
        <v>0</v>
      </c>
      <c r="EH49" s="84">
        <f t="shared" si="153"/>
        <v>0</v>
      </c>
      <c r="EI49" s="84">
        <f t="shared" si="153"/>
        <v>0</v>
      </c>
      <c r="EJ49" s="84">
        <f t="shared" si="153"/>
        <v>0</v>
      </c>
      <c r="EK49" s="85">
        <f t="shared" si="153"/>
        <v>0</v>
      </c>
      <c r="EL49" s="1">
        <f t="shared" si="153"/>
        <v>0</v>
      </c>
      <c r="EM49" s="86">
        <f t="shared" si="153"/>
        <v>0</v>
      </c>
      <c r="EN49" s="111"/>
      <c r="EO49" s="147"/>
      <c r="EP49" s="107" t="s">
        <v>17</v>
      </c>
      <c r="EQ49" s="108"/>
      <c r="ER49" s="83">
        <f t="shared" ref="ER49:EY49" si="154">SUM(ER45:ER48)</f>
        <v>0</v>
      </c>
      <c r="ES49" s="84">
        <f t="shared" si="154"/>
        <v>0</v>
      </c>
      <c r="ET49" s="84">
        <f t="shared" si="154"/>
        <v>0</v>
      </c>
      <c r="EU49" s="84">
        <f t="shared" si="154"/>
        <v>0</v>
      </c>
      <c r="EV49" s="84">
        <f t="shared" si="154"/>
        <v>0</v>
      </c>
      <c r="EW49" s="85">
        <f t="shared" si="154"/>
        <v>0</v>
      </c>
      <c r="EX49" s="1">
        <f t="shared" si="154"/>
        <v>0</v>
      </c>
      <c r="EY49" s="86">
        <f t="shared" si="154"/>
        <v>0</v>
      </c>
      <c r="EZ49" s="60"/>
    </row>
    <row r="50" spans="1:156" ht="15.95" customHeight="1" x14ac:dyDescent="0.2">
      <c r="A50" s="145">
        <v>0</v>
      </c>
      <c r="B50" s="152" t="s">
        <v>14</v>
      </c>
      <c r="C50" s="53" t="s">
        <v>13</v>
      </c>
      <c r="D50" s="70">
        <v>0</v>
      </c>
      <c r="E50" s="71">
        <v>0</v>
      </c>
      <c r="F50" s="71">
        <v>0</v>
      </c>
      <c r="G50" s="71">
        <v>0</v>
      </c>
      <c r="H50" s="71">
        <v>0</v>
      </c>
      <c r="I50" s="72">
        <v>0</v>
      </c>
      <c r="J50" s="73">
        <f>SUM(D50:I50)</f>
        <v>0</v>
      </c>
      <c r="K50" s="143">
        <v>0</v>
      </c>
      <c r="L50" s="111"/>
      <c r="M50" s="145">
        <v>0</v>
      </c>
      <c r="N50" s="152" t="s">
        <v>14</v>
      </c>
      <c r="O50" s="53" t="s">
        <v>13</v>
      </c>
      <c r="P50" s="70">
        <v>0</v>
      </c>
      <c r="Q50" s="71">
        <v>0</v>
      </c>
      <c r="R50" s="71">
        <v>0</v>
      </c>
      <c r="S50" s="71">
        <v>0</v>
      </c>
      <c r="T50" s="71">
        <v>0</v>
      </c>
      <c r="U50" s="72">
        <v>0</v>
      </c>
      <c r="V50" s="73">
        <f>SUM(P50:U50)</f>
        <v>0</v>
      </c>
      <c r="W50" s="143">
        <v>0</v>
      </c>
      <c r="X50" s="111"/>
      <c r="Y50" s="145">
        <v>0</v>
      </c>
      <c r="Z50" s="152" t="s">
        <v>14</v>
      </c>
      <c r="AA50" s="53" t="s">
        <v>13</v>
      </c>
      <c r="AB50" s="70">
        <v>0</v>
      </c>
      <c r="AC50" s="71">
        <v>0</v>
      </c>
      <c r="AD50" s="71">
        <v>0</v>
      </c>
      <c r="AE50" s="71">
        <v>0</v>
      </c>
      <c r="AF50" s="71">
        <v>0</v>
      </c>
      <c r="AG50" s="72">
        <v>0</v>
      </c>
      <c r="AH50" s="73">
        <f>SUM(AB50:AG50)</f>
        <v>0</v>
      </c>
      <c r="AI50" s="143">
        <v>0</v>
      </c>
      <c r="AJ50" s="111"/>
      <c r="AK50" s="145">
        <v>0</v>
      </c>
      <c r="AL50" s="152" t="s">
        <v>14</v>
      </c>
      <c r="AM50" s="53" t="s">
        <v>13</v>
      </c>
      <c r="AN50" s="70">
        <v>0</v>
      </c>
      <c r="AO50" s="71">
        <v>0</v>
      </c>
      <c r="AP50" s="71">
        <v>0</v>
      </c>
      <c r="AQ50" s="71">
        <v>0</v>
      </c>
      <c r="AR50" s="71">
        <v>0</v>
      </c>
      <c r="AS50" s="72">
        <v>0</v>
      </c>
      <c r="AT50" s="73">
        <f>SUM(AN50:AS50)</f>
        <v>0</v>
      </c>
      <c r="AU50" s="143">
        <v>0</v>
      </c>
      <c r="AV50" s="111"/>
      <c r="AW50" s="145">
        <v>0</v>
      </c>
      <c r="AX50" s="152" t="s">
        <v>14</v>
      </c>
      <c r="AY50" s="53" t="s">
        <v>13</v>
      </c>
      <c r="AZ50" s="70">
        <v>0</v>
      </c>
      <c r="BA50" s="71">
        <v>0</v>
      </c>
      <c r="BB50" s="71">
        <v>0</v>
      </c>
      <c r="BC50" s="71">
        <v>0</v>
      </c>
      <c r="BD50" s="71">
        <v>0</v>
      </c>
      <c r="BE50" s="72">
        <v>0</v>
      </c>
      <c r="BF50" s="73">
        <f>SUM(AZ50:BE50)</f>
        <v>0</v>
      </c>
      <c r="BG50" s="143">
        <v>0</v>
      </c>
      <c r="BH50" s="111"/>
      <c r="BI50" s="145">
        <v>0</v>
      </c>
      <c r="BJ50" s="152" t="s">
        <v>14</v>
      </c>
      <c r="BK50" s="53" t="s">
        <v>13</v>
      </c>
      <c r="BL50" s="70">
        <v>0</v>
      </c>
      <c r="BM50" s="71">
        <v>0</v>
      </c>
      <c r="BN50" s="71">
        <v>0</v>
      </c>
      <c r="BO50" s="71">
        <v>0</v>
      </c>
      <c r="BP50" s="71">
        <v>0</v>
      </c>
      <c r="BQ50" s="72">
        <v>0</v>
      </c>
      <c r="BR50" s="73">
        <f>SUM(BL50:BQ50)</f>
        <v>0</v>
      </c>
      <c r="BS50" s="143">
        <v>0</v>
      </c>
      <c r="BT50" s="111"/>
      <c r="BU50" s="145">
        <v>0</v>
      </c>
      <c r="BV50" s="152" t="s">
        <v>14</v>
      </c>
      <c r="BW50" s="53" t="s">
        <v>13</v>
      </c>
      <c r="BX50" s="70">
        <v>0</v>
      </c>
      <c r="BY50" s="71">
        <v>0</v>
      </c>
      <c r="BZ50" s="71">
        <v>0</v>
      </c>
      <c r="CA50" s="71">
        <v>0</v>
      </c>
      <c r="CB50" s="71">
        <v>0</v>
      </c>
      <c r="CC50" s="72">
        <v>0</v>
      </c>
      <c r="CD50" s="73">
        <f>SUM(BX50:CC50)</f>
        <v>0</v>
      </c>
      <c r="CE50" s="143">
        <v>0</v>
      </c>
      <c r="CF50" s="111"/>
      <c r="CG50" s="145">
        <v>0</v>
      </c>
      <c r="CH50" s="152" t="s">
        <v>14</v>
      </c>
      <c r="CI50" s="53" t="s">
        <v>13</v>
      </c>
      <c r="CJ50" s="70">
        <v>0</v>
      </c>
      <c r="CK50" s="71">
        <v>0</v>
      </c>
      <c r="CL50" s="71">
        <v>0</v>
      </c>
      <c r="CM50" s="71">
        <v>0</v>
      </c>
      <c r="CN50" s="71">
        <v>0</v>
      </c>
      <c r="CO50" s="72">
        <v>0</v>
      </c>
      <c r="CP50" s="73">
        <f>SUM(CJ50:CO50)</f>
        <v>0</v>
      </c>
      <c r="CQ50" s="143">
        <v>0</v>
      </c>
      <c r="CR50" s="111"/>
      <c r="CS50" s="145">
        <v>0</v>
      </c>
      <c r="CT50" s="152" t="s">
        <v>14</v>
      </c>
      <c r="CU50" s="53" t="s">
        <v>13</v>
      </c>
      <c r="CV50" s="70">
        <v>0</v>
      </c>
      <c r="CW50" s="71">
        <v>0</v>
      </c>
      <c r="CX50" s="71">
        <v>0</v>
      </c>
      <c r="CY50" s="71">
        <v>0</v>
      </c>
      <c r="CZ50" s="71">
        <v>0</v>
      </c>
      <c r="DA50" s="72">
        <v>0</v>
      </c>
      <c r="DB50" s="73">
        <f>SUM(CV50:DA50)</f>
        <v>0</v>
      </c>
      <c r="DC50" s="143">
        <v>0</v>
      </c>
      <c r="DD50" s="111"/>
      <c r="DE50" s="145">
        <v>0</v>
      </c>
      <c r="DF50" s="152" t="s">
        <v>14</v>
      </c>
      <c r="DG50" s="53" t="s">
        <v>13</v>
      </c>
      <c r="DH50" s="70">
        <v>0</v>
      </c>
      <c r="DI50" s="71">
        <v>0</v>
      </c>
      <c r="DJ50" s="71">
        <v>0</v>
      </c>
      <c r="DK50" s="71">
        <v>0</v>
      </c>
      <c r="DL50" s="71">
        <v>0</v>
      </c>
      <c r="DM50" s="72">
        <v>0</v>
      </c>
      <c r="DN50" s="73">
        <f>SUM(DH50:DM50)</f>
        <v>0</v>
      </c>
      <c r="DO50" s="143">
        <v>0</v>
      </c>
      <c r="DP50" s="111"/>
      <c r="DQ50" s="145">
        <v>0</v>
      </c>
      <c r="DR50" s="152" t="s">
        <v>14</v>
      </c>
      <c r="DS50" s="53" t="s">
        <v>13</v>
      </c>
      <c r="DT50" s="70">
        <v>0</v>
      </c>
      <c r="DU50" s="71">
        <v>0</v>
      </c>
      <c r="DV50" s="71">
        <v>0</v>
      </c>
      <c r="DW50" s="71">
        <v>0</v>
      </c>
      <c r="DX50" s="71">
        <v>0</v>
      </c>
      <c r="DY50" s="72">
        <v>0</v>
      </c>
      <c r="DZ50" s="73">
        <f>SUM(DT50:DY50)</f>
        <v>0</v>
      </c>
      <c r="EA50" s="143">
        <v>0</v>
      </c>
      <c r="EB50" s="111"/>
      <c r="EC50" s="145">
        <v>0</v>
      </c>
      <c r="ED50" s="152" t="s">
        <v>14</v>
      </c>
      <c r="EE50" s="53" t="s">
        <v>13</v>
      </c>
      <c r="EF50" s="70">
        <v>0</v>
      </c>
      <c r="EG50" s="71">
        <v>0</v>
      </c>
      <c r="EH50" s="71">
        <v>0</v>
      </c>
      <c r="EI50" s="71">
        <v>0</v>
      </c>
      <c r="EJ50" s="71">
        <v>0</v>
      </c>
      <c r="EK50" s="72">
        <v>0</v>
      </c>
      <c r="EL50" s="73">
        <f>SUM(EF50:EK50)</f>
        <v>0</v>
      </c>
      <c r="EM50" s="143">
        <v>0</v>
      </c>
      <c r="EN50" s="111"/>
      <c r="EO50" s="145">
        <f t="shared" ref="EO50" si="155">EC50</f>
        <v>0</v>
      </c>
      <c r="EP50" s="105" t="s">
        <v>14</v>
      </c>
      <c r="EQ50" s="53" t="s">
        <v>13</v>
      </c>
      <c r="ER50" s="70">
        <f t="shared" ref="ER50:EW53" si="156">SUM(EF50)</f>
        <v>0</v>
      </c>
      <c r="ES50" s="71">
        <f t="shared" si="156"/>
        <v>0</v>
      </c>
      <c r="ET50" s="71">
        <f t="shared" si="156"/>
        <v>0</v>
      </c>
      <c r="EU50" s="71">
        <f t="shared" si="156"/>
        <v>0</v>
      </c>
      <c r="EV50" s="71">
        <f t="shared" si="156"/>
        <v>0</v>
      </c>
      <c r="EW50" s="72">
        <f t="shared" si="156"/>
        <v>0</v>
      </c>
      <c r="EX50" s="74">
        <f>SUM(ER50:EW50)</f>
        <v>0</v>
      </c>
      <c r="EY50" s="143">
        <f>SUM(EM50)</f>
        <v>0</v>
      </c>
      <c r="EZ50" s="60"/>
    </row>
    <row r="51" spans="1:156" ht="15.95" customHeight="1" thickBot="1" x14ac:dyDescent="0.25">
      <c r="A51" s="146"/>
      <c r="B51" s="153"/>
      <c r="C51" s="55" t="s">
        <v>15</v>
      </c>
      <c r="D51" s="75">
        <v>0</v>
      </c>
      <c r="E51" s="76">
        <v>0</v>
      </c>
      <c r="F51" s="76">
        <v>0</v>
      </c>
      <c r="G51" s="76">
        <v>0</v>
      </c>
      <c r="H51" s="76">
        <v>0</v>
      </c>
      <c r="I51" s="77">
        <v>0</v>
      </c>
      <c r="J51" s="78">
        <f>SUM(D51:I51)</f>
        <v>0</v>
      </c>
      <c r="K51" s="144"/>
      <c r="L51" s="111"/>
      <c r="M51" s="146"/>
      <c r="N51" s="153"/>
      <c r="O51" s="55" t="s">
        <v>15</v>
      </c>
      <c r="P51" s="75">
        <v>0</v>
      </c>
      <c r="Q51" s="76">
        <v>0</v>
      </c>
      <c r="R51" s="76">
        <v>0</v>
      </c>
      <c r="S51" s="76">
        <v>0</v>
      </c>
      <c r="T51" s="76">
        <v>0</v>
      </c>
      <c r="U51" s="77">
        <v>0</v>
      </c>
      <c r="V51" s="78">
        <f>SUM(P51:U51)</f>
        <v>0</v>
      </c>
      <c r="W51" s="144"/>
      <c r="X51" s="111"/>
      <c r="Y51" s="146"/>
      <c r="Z51" s="153"/>
      <c r="AA51" s="55" t="s">
        <v>15</v>
      </c>
      <c r="AB51" s="75">
        <v>0</v>
      </c>
      <c r="AC51" s="76">
        <v>0</v>
      </c>
      <c r="AD51" s="76">
        <v>0</v>
      </c>
      <c r="AE51" s="76">
        <v>0</v>
      </c>
      <c r="AF51" s="76">
        <v>0</v>
      </c>
      <c r="AG51" s="77">
        <v>0</v>
      </c>
      <c r="AH51" s="78">
        <f>SUM(AB51:AG51)</f>
        <v>0</v>
      </c>
      <c r="AI51" s="144"/>
      <c r="AJ51" s="111"/>
      <c r="AK51" s="146"/>
      <c r="AL51" s="153"/>
      <c r="AM51" s="55" t="s">
        <v>15</v>
      </c>
      <c r="AN51" s="75">
        <v>0</v>
      </c>
      <c r="AO51" s="76">
        <v>0</v>
      </c>
      <c r="AP51" s="76">
        <v>0</v>
      </c>
      <c r="AQ51" s="76">
        <v>0</v>
      </c>
      <c r="AR51" s="76">
        <v>0</v>
      </c>
      <c r="AS51" s="77">
        <v>0</v>
      </c>
      <c r="AT51" s="78">
        <f>SUM(AN51:AS51)</f>
        <v>0</v>
      </c>
      <c r="AU51" s="144"/>
      <c r="AV51" s="111"/>
      <c r="AW51" s="146"/>
      <c r="AX51" s="153"/>
      <c r="AY51" s="55" t="s">
        <v>15</v>
      </c>
      <c r="AZ51" s="75">
        <v>0</v>
      </c>
      <c r="BA51" s="76">
        <v>0</v>
      </c>
      <c r="BB51" s="76">
        <v>0</v>
      </c>
      <c r="BC51" s="76">
        <v>0</v>
      </c>
      <c r="BD51" s="76">
        <v>0</v>
      </c>
      <c r="BE51" s="77">
        <v>0</v>
      </c>
      <c r="BF51" s="78">
        <f>SUM(AZ51:BE51)</f>
        <v>0</v>
      </c>
      <c r="BG51" s="144"/>
      <c r="BH51" s="111"/>
      <c r="BI51" s="146"/>
      <c r="BJ51" s="153"/>
      <c r="BK51" s="55" t="s">
        <v>15</v>
      </c>
      <c r="BL51" s="75">
        <v>0</v>
      </c>
      <c r="BM51" s="76">
        <v>0</v>
      </c>
      <c r="BN51" s="76">
        <v>0</v>
      </c>
      <c r="BO51" s="76">
        <v>0</v>
      </c>
      <c r="BP51" s="76">
        <v>0</v>
      </c>
      <c r="BQ51" s="77">
        <v>0</v>
      </c>
      <c r="BR51" s="78">
        <f>SUM(BL51:BQ51)</f>
        <v>0</v>
      </c>
      <c r="BS51" s="144"/>
      <c r="BT51" s="111"/>
      <c r="BU51" s="146"/>
      <c r="BV51" s="153"/>
      <c r="BW51" s="55" t="s">
        <v>15</v>
      </c>
      <c r="BX51" s="75">
        <v>0</v>
      </c>
      <c r="BY51" s="76">
        <v>0</v>
      </c>
      <c r="BZ51" s="76">
        <v>0</v>
      </c>
      <c r="CA51" s="76">
        <v>0</v>
      </c>
      <c r="CB51" s="76">
        <v>0</v>
      </c>
      <c r="CC51" s="77">
        <v>0</v>
      </c>
      <c r="CD51" s="78">
        <f>SUM(BX51:CC51)</f>
        <v>0</v>
      </c>
      <c r="CE51" s="144"/>
      <c r="CF51" s="111"/>
      <c r="CG51" s="146"/>
      <c r="CH51" s="153"/>
      <c r="CI51" s="55" t="s">
        <v>15</v>
      </c>
      <c r="CJ51" s="75">
        <v>0</v>
      </c>
      <c r="CK51" s="76">
        <v>0</v>
      </c>
      <c r="CL51" s="76">
        <v>0</v>
      </c>
      <c r="CM51" s="76">
        <v>0</v>
      </c>
      <c r="CN51" s="76">
        <v>0</v>
      </c>
      <c r="CO51" s="77">
        <v>0</v>
      </c>
      <c r="CP51" s="78">
        <f>SUM(CJ51:CO51)</f>
        <v>0</v>
      </c>
      <c r="CQ51" s="144"/>
      <c r="CR51" s="111"/>
      <c r="CS51" s="146"/>
      <c r="CT51" s="153"/>
      <c r="CU51" s="55" t="s">
        <v>15</v>
      </c>
      <c r="CV51" s="75">
        <v>0</v>
      </c>
      <c r="CW51" s="76">
        <v>0</v>
      </c>
      <c r="CX51" s="76">
        <v>0</v>
      </c>
      <c r="CY51" s="76">
        <v>0</v>
      </c>
      <c r="CZ51" s="76">
        <v>0</v>
      </c>
      <c r="DA51" s="77">
        <v>0</v>
      </c>
      <c r="DB51" s="78">
        <f>SUM(CV51:DA51)</f>
        <v>0</v>
      </c>
      <c r="DC51" s="144"/>
      <c r="DD51" s="111"/>
      <c r="DE51" s="146"/>
      <c r="DF51" s="153"/>
      <c r="DG51" s="55" t="s">
        <v>15</v>
      </c>
      <c r="DH51" s="75">
        <v>0</v>
      </c>
      <c r="DI51" s="76">
        <v>0</v>
      </c>
      <c r="DJ51" s="76">
        <v>0</v>
      </c>
      <c r="DK51" s="76">
        <v>0</v>
      </c>
      <c r="DL51" s="76">
        <v>0</v>
      </c>
      <c r="DM51" s="77">
        <v>0</v>
      </c>
      <c r="DN51" s="78">
        <f>SUM(DH51:DM51)</f>
        <v>0</v>
      </c>
      <c r="DO51" s="144"/>
      <c r="DP51" s="111"/>
      <c r="DQ51" s="146"/>
      <c r="DR51" s="153"/>
      <c r="DS51" s="55" t="s">
        <v>15</v>
      </c>
      <c r="DT51" s="75">
        <v>0</v>
      </c>
      <c r="DU51" s="76">
        <v>0</v>
      </c>
      <c r="DV51" s="76">
        <v>0</v>
      </c>
      <c r="DW51" s="76">
        <v>0</v>
      </c>
      <c r="DX51" s="76">
        <v>0</v>
      </c>
      <c r="DY51" s="77">
        <v>0</v>
      </c>
      <c r="DZ51" s="78">
        <f>SUM(DT51:DY51)</f>
        <v>0</v>
      </c>
      <c r="EA51" s="144"/>
      <c r="EB51" s="111"/>
      <c r="EC51" s="146"/>
      <c r="ED51" s="153"/>
      <c r="EE51" s="55" t="s">
        <v>15</v>
      </c>
      <c r="EF51" s="75">
        <v>0</v>
      </c>
      <c r="EG51" s="76">
        <v>0</v>
      </c>
      <c r="EH51" s="76">
        <v>0</v>
      </c>
      <c r="EI51" s="76">
        <v>0</v>
      </c>
      <c r="EJ51" s="76">
        <v>0</v>
      </c>
      <c r="EK51" s="77">
        <v>0</v>
      </c>
      <c r="EL51" s="78">
        <f>SUM(EF51:EK51)</f>
        <v>0</v>
      </c>
      <c r="EM51" s="144"/>
      <c r="EN51" s="111"/>
      <c r="EO51" s="146"/>
      <c r="EP51" s="106"/>
      <c r="EQ51" s="55" t="s">
        <v>15</v>
      </c>
      <c r="ER51" s="75">
        <f t="shared" si="156"/>
        <v>0</v>
      </c>
      <c r="ES51" s="76">
        <f t="shared" si="156"/>
        <v>0</v>
      </c>
      <c r="ET51" s="76">
        <f t="shared" si="156"/>
        <v>0</v>
      </c>
      <c r="EU51" s="76">
        <f t="shared" si="156"/>
        <v>0</v>
      </c>
      <c r="EV51" s="76">
        <f t="shared" si="156"/>
        <v>0</v>
      </c>
      <c r="EW51" s="77">
        <f t="shared" si="156"/>
        <v>0</v>
      </c>
      <c r="EX51" s="79">
        <f>SUM(ER51:EW51)</f>
        <v>0</v>
      </c>
      <c r="EY51" s="144"/>
      <c r="EZ51" s="60"/>
    </row>
    <row r="52" spans="1:156" ht="15.95" customHeight="1" x14ac:dyDescent="0.2">
      <c r="A52" s="146"/>
      <c r="B52" s="56" t="s">
        <v>16</v>
      </c>
      <c r="C52" s="57" t="s">
        <v>13</v>
      </c>
      <c r="D52" s="70">
        <v>0</v>
      </c>
      <c r="E52" s="71">
        <v>0</v>
      </c>
      <c r="F52" s="71">
        <v>0</v>
      </c>
      <c r="G52" s="71">
        <v>0</v>
      </c>
      <c r="H52" s="71">
        <v>0</v>
      </c>
      <c r="I52" s="72">
        <v>0</v>
      </c>
      <c r="J52" s="73">
        <f>SUM(D52:I52)</f>
        <v>0</v>
      </c>
      <c r="K52" s="143">
        <v>0</v>
      </c>
      <c r="L52" s="111"/>
      <c r="M52" s="146"/>
      <c r="N52" s="56" t="s">
        <v>16</v>
      </c>
      <c r="O52" s="57" t="s">
        <v>13</v>
      </c>
      <c r="P52" s="70">
        <v>0</v>
      </c>
      <c r="Q52" s="71">
        <v>0</v>
      </c>
      <c r="R52" s="71">
        <v>0</v>
      </c>
      <c r="S52" s="71">
        <v>0</v>
      </c>
      <c r="T52" s="71">
        <v>0</v>
      </c>
      <c r="U52" s="72">
        <v>0</v>
      </c>
      <c r="V52" s="73">
        <f>SUM(P52:U52)</f>
        <v>0</v>
      </c>
      <c r="W52" s="143">
        <v>0</v>
      </c>
      <c r="X52" s="111"/>
      <c r="Y52" s="146"/>
      <c r="Z52" s="56" t="s">
        <v>16</v>
      </c>
      <c r="AA52" s="57" t="s">
        <v>13</v>
      </c>
      <c r="AB52" s="70">
        <v>0</v>
      </c>
      <c r="AC52" s="71">
        <v>0</v>
      </c>
      <c r="AD52" s="71">
        <v>0</v>
      </c>
      <c r="AE52" s="71">
        <v>0</v>
      </c>
      <c r="AF52" s="71">
        <v>0</v>
      </c>
      <c r="AG52" s="72">
        <v>0</v>
      </c>
      <c r="AH52" s="73">
        <f>SUM(AB52:AG52)</f>
        <v>0</v>
      </c>
      <c r="AI52" s="143">
        <v>0</v>
      </c>
      <c r="AJ52" s="111"/>
      <c r="AK52" s="146"/>
      <c r="AL52" s="56" t="s">
        <v>16</v>
      </c>
      <c r="AM52" s="57" t="s">
        <v>13</v>
      </c>
      <c r="AN52" s="70">
        <v>0</v>
      </c>
      <c r="AO52" s="71">
        <v>0</v>
      </c>
      <c r="AP52" s="71">
        <v>0</v>
      </c>
      <c r="AQ52" s="71">
        <v>0</v>
      </c>
      <c r="AR52" s="71">
        <v>0</v>
      </c>
      <c r="AS52" s="72">
        <v>0</v>
      </c>
      <c r="AT52" s="73">
        <f>SUM(AN52:AS52)</f>
        <v>0</v>
      </c>
      <c r="AU52" s="143">
        <v>0</v>
      </c>
      <c r="AV52" s="111"/>
      <c r="AW52" s="146"/>
      <c r="AX52" s="56" t="s">
        <v>16</v>
      </c>
      <c r="AY52" s="57" t="s">
        <v>13</v>
      </c>
      <c r="AZ52" s="70">
        <v>0</v>
      </c>
      <c r="BA52" s="71">
        <v>0</v>
      </c>
      <c r="BB52" s="71">
        <v>0</v>
      </c>
      <c r="BC52" s="71">
        <v>0</v>
      </c>
      <c r="BD52" s="71">
        <v>0</v>
      </c>
      <c r="BE52" s="72">
        <v>0</v>
      </c>
      <c r="BF52" s="73">
        <f>SUM(AZ52:BE52)</f>
        <v>0</v>
      </c>
      <c r="BG52" s="143">
        <v>0</v>
      </c>
      <c r="BH52" s="111"/>
      <c r="BI52" s="146"/>
      <c r="BJ52" s="56" t="s">
        <v>16</v>
      </c>
      <c r="BK52" s="57" t="s">
        <v>13</v>
      </c>
      <c r="BL52" s="70">
        <v>0</v>
      </c>
      <c r="BM52" s="71">
        <v>0</v>
      </c>
      <c r="BN52" s="71">
        <v>0</v>
      </c>
      <c r="BO52" s="71">
        <v>0</v>
      </c>
      <c r="BP52" s="71">
        <v>0</v>
      </c>
      <c r="BQ52" s="72">
        <v>0</v>
      </c>
      <c r="BR52" s="73">
        <f>SUM(BL52:BQ52)</f>
        <v>0</v>
      </c>
      <c r="BS52" s="143">
        <v>0</v>
      </c>
      <c r="BT52" s="111"/>
      <c r="BU52" s="146"/>
      <c r="BV52" s="56" t="s">
        <v>16</v>
      </c>
      <c r="BW52" s="57" t="s">
        <v>13</v>
      </c>
      <c r="BX52" s="70">
        <v>0</v>
      </c>
      <c r="BY52" s="71">
        <v>0</v>
      </c>
      <c r="BZ52" s="71">
        <v>0</v>
      </c>
      <c r="CA52" s="71">
        <v>0</v>
      </c>
      <c r="CB52" s="71">
        <v>0</v>
      </c>
      <c r="CC52" s="72">
        <v>0</v>
      </c>
      <c r="CD52" s="73">
        <f>SUM(BX52:CC52)</f>
        <v>0</v>
      </c>
      <c r="CE52" s="143">
        <v>0</v>
      </c>
      <c r="CF52" s="111"/>
      <c r="CG52" s="146"/>
      <c r="CH52" s="56" t="s">
        <v>16</v>
      </c>
      <c r="CI52" s="57" t="s">
        <v>13</v>
      </c>
      <c r="CJ52" s="70">
        <v>0</v>
      </c>
      <c r="CK52" s="71">
        <v>0</v>
      </c>
      <c r="CL52" s="71">
        <v>0</v>
      </c>
      <c r="CM52" s="71">
        <v>0</v>
      </c>
      <c r="CN52" s="71">
        <v>0</v>
      </c>
      <c r="CO52" s="72">
        <v>0</v>
      </c>
      <c r="CP52" s="73">
        <f>SUM(CJ52:CO52)</f>
        <v>0</v>
      </c>
      <c r="CQ52" s="143">
        <v>0</v>
      </c>
      <c r="CR52" s="111"/>
      <c r="CS52" s="146"/>
      <c r="CT52" s="56" t="s">
        <v>16</v>
      </c>
      <c r="CU52" s="57" t="s">
        <v>13</v>
      </c>
      <c r="CV52" s="70">
        <v>0</v>
      </c>
      <c r="CW52" s="71">
        <v>0</v>
      </c>
      <c r="CX52" s="71">
        <v>0</v>
      </c>
      <c r="CY52" s="71">
        <v>0</v>
      </c>
      <c r="CZ52" s="71">
        <v>0</v>
      </c>
      <c r="DA52" s="72">
        <v>0</v>
      </c>
      <c r="DB52" s="73">
        <f>SUM(CV52:DA52)</f>
        <v>0</v>
      </c>
      <c r="DC52" s="143">
        <v>0</v>
      </c>
      <c r="DD52" s="111"/>
      <c r="DE52" s="146"/>
      <c r="DF52" s="56" t="s">
        <v>16</v>
      </c>
      <c r="DG52" s="57" t="s">
        <v>13</v>
      </c>
      <c r="DH52" s="70">
        <v>0</v>
      </c>
      <c r="DI52" s="71">
        <v>0</v>
      </c>
      <c r="DJ52" s="71">
        <v>0</v>
      </c>
      <c r="DK52" s="71">
        <v>0</v>
      </c>
      <c r="DL52" s="71">
        <v>0</v>
      </c>
      <c r="DM52" s="72">
        <v>0</v>
      </c>
      <c r="DN52" s="73">
        <f>SUM(DH52:DM52)</f>
        <v>0</v>
      </c>
      <c r="DO52" s="143">
        <v>0</v>
      </c>
      <c r="DP52" s="111"/>
      <c r="DQ52" s="146"/>
      <c r="DR52" s="56" t="s">
        <v>16</v>
      </c>
      <c r="DS52" s="57" t="s">
        <v>13</v>
      </c>
      <c r="DT52" s="70">
        <v>0</v>
      </c>
      <c r="DU52" s="71">
        <v>0</v>
      </c>
      <c r="DV52" s="71">
        <v>0</v>
      </c>
      <c r="DW52" s="71">
        <v>0</v>
      </c>
      <c r="DX52" s="71">
        <v>0</v>
      </c>
      <c r="DY52" s="72">
        <v>0</v>
      </c>
      <c r="DZ52" s="73">
        <f>SUM(DT52:DY52)</f>
        <v>0</v>
      </c>
      <c r="EA52" s="143">
        <v>0</v>
      </c>
      <c r="EB52" s="111"/>
      <c r="EC52" s="146"/>
      <c r="ED52" s="56" t="s">
        <v>16</v>
      </c>
      <c r="EE52" s="57" t="s">
        <v>13</v>
      </c>
      <c r="EF52" s="70">
        <v>0</v>
      </c>
      <c r="EG52" s="71">
        <v>0</v>
      </c>
      <c r="EH52" s="71">
        <v>0</v>
      </c>
      <c r="EI52" s="71">
        <v>0</v>
      </c>
      <c r="EJ52" s="71">
        <v>0</v>
      </c>
      <c r="EK52" s="72">
        <v>0</v>
      </c>
      <c r="EL52" s="73">
        <f>SUM(EF52:EK52)</f>
        <v>0</v>
      </c>
      <c r="EM52" s="143">
        <v>0</v>
      </c>
      <c r="EN52" s="111"/>
      <c r="EO52" s="146"/>
      <c r="EP52" s="56" t="s">
        <v>16</v>
      </c>
      <c r="EQ52" s="57" t="s">
        <v>13</v>
      </c>
      <c r="ER52" s="80">
        <f t="shared" si="156"/>
        <v>0</v>
      </c>
      <c r="ES52" s="81">
        <f t="shared" si="156"/>
        <v>0</v>
      </c>
      <c r="ET52" s="81">
        <f t="shared" si="156"/>
        <v>0</v>
      </c>
      <c r="EU52" s="81">
        <f t="shared" si="156"/>
        <v>0</v>
      </c>
      <c r="EV52" s="81">
        <f t="shared" si="156"/>
        <v>0</v>
      </c>
      <c r="EW52" s="82">
        <f t="shared" si="156"/>
        <v>0</v>
      </c>
      <c r="EX52" s="74">
        <f>SUM(ER52:EW52)</f>
        <v>0</v>
      </c>
      <c r="EY52" s="143">
        <f>SUM(EM52)</f>
        <v>0</v>
      </c>
      <c r="EZ52" s="60"/>
    </row>
    <row r="53" spans="1:156" ht="15.95" customHeight="1" thickBot="1" x14ac:dyDescent="0.25">
      <c r="A53" s="146"/>
      <c r="B53" s="58" t="s">
        <v>14</v>
      </c>
      <c r="C53" s="59" t="s">
        <v>15</v>
      </c>
      <c r="D53" s="75">
        <v>0</v>
      </c>
      <c r="E53" s="76">
        <v>0</v>
      </c>
      <c r="F53" s="76">
        <v>0</v>
      </c>
      <c r="G53" s="76">
        <v>0</v>
      </c>
      <c r="H53" s="76">
        <v>0</v>
      </c>
      <c r="I53" s="77">
        <v>0</v>
      </c>
      <c r="J53" s="78">
        <f>SUM(D53:I53)</f>
        <v>0</v>
      </c>
      <c r="K53" s="144"/>
      <c r="L53" s="111"/>
      <c r="M53" s="146"/>
      <c r="N53" s="58" t="s">
        <v>14</v>
      </c>
      <c r="O53" s="59" t="s">
        <v>15</v>
      </c>
      <c r="P53" s="75">
        <v>0</v>
      </c>
      <c r="Q53" s="76">
        <v>0</v>
      </c>
      <c r="R53" s="76">
        <v>0</v>
      </c>
      <c r="S53" s="76">
        <v>0</v>
      </c>
      <c r="T53" s="76">
        <v>0</v>
      </c>
      <c r="U53" s="77">
        <v>0</v>
      </c>
      <c r="V53" s="78">
        <f>SUM(P53:U53)</f>
        <v>0</v>
      </c>
      <c r="W53" s="144"/>
      <c r="X53" s="111"/>
      <c r="Y53" s="146"/>
      <c r="Z53" s="58" t="s">
        <v>14</v>
      </c>
      <c r="AA53" s="59" t="s">
        <v>15</v>
      </c>
      <c r="AB53" s="75">
        <v>0</v>
      </c>
      <c r="AC53" s="76">
        <v>0</v>
      </c>
      <c r="AD53" s="76">
        <v>0</v>
      </c>
      <c r="AE53" s="76">
        <v>0</v>
      </c>
      <c r="AF53" s="76">
        <v>0</v>
      </c>
      <c r="AG53" s="77">
        <v>0</v>
      </c>
      <c r="AH53" s="78">
        <f>SUM(AB53:AG53)</f>
        <v>0</v>
      </c>
      <c r="AI53" s="144"/>
      <c r="AJ53" s="111"/>
      <c r="AK53" s="146"/>
      <c r="AL53" s="58" t="s">
        <v>14</v>
      </c>
      <c r="AM53" s="59" t="s">
        <v>15</v>
      </c>
      <c r="AN53" s="75">
        <v>0</v>
      </c>
      <c r="AO53" s="76">
        <v>0</v>
      </c>
      <c r="AP53" s="76">
        <v>0</v>
      </c>
      <c r="AQ53" s="76">
        <v>0</v>
      </c>
      <c r="AR53" s="76">
        <v>0</v>
      </c>
      <c r="AS53" s="77">
        <v>0</v>
      </c>
      <c r="AT53" s="78">
        <f>SUM(AN53:AS53)</f>
        <v>0</v>
      </c>
      <c r="AU53" s="144"/>
      <c r="AV53" s="111"/>
      <c r="AW53" s="146"/>
      <c r="AX53" s="58" t="s">
        <v>14</v>
      </c>
      <c r="AY53" s="59" t="s">
        <v>15</v>
      </c>
      <c r="AZ53" s="75">
        <v>0</v>
      </c>
      <c r="BA53" s="76">
        <v>0</v>
      </c>
      <c r="BB53" s="76">
        <v>0</v>
      </c>
      <c r="BC53" s="76">
        <v>0</v>
      </c>
      <c r="BD53" s="76">
        <v>0</v>
      </c>
      <c r="BE53" s="77">
        <v>0</v>
      </c>
      <c r="BF53" s="78">
        <f>SUM(AZ53:BE53)</f>
        <v>0</v>
      </c>
      <c r="BG53" s="144"/>
      <c r="BH53" s="111"/>
      <c r="BI53" s="146"/>
      <c r="BJ53" s="58" t="s">
        <v>14</v>
      </c>
      <c r="BK53" s="59" t="s">
        <v>15</v>
      </c>
      <c r="BL53" s="75">
        <v>0</v>
      </c>
      <c r="BM53" s="76">
        <v>0</v>
      </c>
      <c r="BN53" s="76">
        <v>0</v>
      </c>
      <c r="BO53" s="76">
        <v>0</v>
      </c>
      <c r="BP53" s="76">
        <v>0</v>
      </c>
      <c r="BQ53" s="77">
        <v>0</v>
      </c>
      <c r="BR53" s="78">
        <f>SUM(BL53:BQ53)</f>
        <v>0</v>
      </c>
      <c r="BS53" s="144"/>
      <c r="BT53" s="111"/>
      <c r="BU53" s="146"/>
      <c r="BV53" s="58" t="s">
        <v>14</v>
      </c>
      <c r="BW53" s="59" t="s">
        <v>15</v>
      </c>
      <c r="BX53" s="75">
        <v>0</v>
      </c>
      <c r="BY53" s="76">
        <v>0</v>
      </c>
      <c r="BZ53" s="76">
        <v>0</v>
      </c>
      <c r="CA53" s="76">
        <v>0</v>
      </c>
      <c r="CB53" s="76">
        <v>0</v>
      </c>
      <c r="CC53" s="77">
        <v>0</v>
      </c>
      <c r="CD53" s="78">
        <f>SUM(BX53:CC53)</f>
        <v>0</v>
      </c>
      <c r="CE53" s="144"/>
      <c r="CF53" s="111"/>
      <c r="CG53" s="146"/>
      <c r="CH53" s="58" t="s">
        <v>14</v>
      </c>
      <c r="CI53" s="59" t="s">
        <v>15</v>
      </c>
      <c r="CJ53" s="75">
        <v>0</v>
      </c>
      <c r="CK53" s="76">
        <v>0</v>
      </c>
      <c r="CL53" s="76">
        <v>0</v>
      </c>
      <c r="CM53" s="76">
        <v>0</v>
      </c>
      <c r="CN53" s="76">
        <v>0</v>
      </c>
      <c r="CO53" s="77">
        <v>0</v>
      </c>
      <c r="CP53" s="78">
        <f>SUM(CJ53:CO53)</f>
        <v>0</v>
      </c>
      <c r="CQ53" s="144"/>
      <c r="CR53" s="111"/>
      <c r="CS53" s="146"/>
      <c r="CT53" s="58" t="s">
        <v>14</v>
      </c>
      <c r="CU53" s="59" t="s">
        <v>15</v>
      </c>
      <c r="CV53" s="75">
        <v>0</v>
      </c>
      <c r="CW53" s="76">
        <v>0</v>
      </c>
      <c r="CX53" s="76">
        <v>0</v>
      </c>
      <c r="CY53" s="76">
        <v>0</v>
      </c>
      <c r="CZ53" s="76">
        <v>0</v>
      </c>
      <c r="DA53" s="77">
        <v>0</v>
      </c>
      <c r="DB53" s="78">
        <f>SUM(CV53:DA53)</f>
        <v>0</v>
      </c>
      <c r="DC53" s="144"/>
      <c r="DD53" s="111"/>
      <c r="DE53" s="146"/>
      <c r="DF53" s="58" t="s">
        <v>14</v>
      </c>
      <c r="DG53" s="59" t="s">
        <v>15</v>
      </c>
      <c r="DH53" s="75">
        <v>0</v>
      </c>
      <c r="DI53" s="76">
        <v>0</v>
      </c>
      <c r="DJ53" s="76">
        <v>0</v>
      </c>
      <c r="DK53" s="76">
        <v>0</v>
      </c>
      <c r="DL53" s="76">
        <v>0</v>
      </c>
      <c r="DM53" s="77">
        <v>0</v>
      </c>
      <c r="DN53" s="78">
        <f>SUM(DH53:DM53)</f>
        <v>0</v>
      </c>
      <c r="DO53" s="144"/>
      <c r="DP53" s="111"/>
      <c r="DQ53" s="146"/>
      <c r="DR53" s="58" t="s">
        <v>14</v>
      </c>
      <c r="DS53" s="59" t="s">
        <v>15</v>
      </c>
      <c r="DT53" s="75">
        <v>0</v>
      </c>
      <c r="DU53" s="76">
        <v>0</v>
      </c>
      <c r="DV53" s="76">
        <v>0</v>
      </c>
      <c r="DW53" s="76">
        <v>0</v>
      </c>
      <c r="DX53" s="76">
        <v>0</v>
      </c>
      <c r="DY53" s="77">
        <v>0</v>
      </c>
      <c r="DZ53" s="78">
        <f>SUM(DT53:DY53)</f>
        <v>0</v>
      </c>
      <c r="EA53" s="144"/>
      <c r="EB53" s="111"/>
      <c r="EC53" s="146"/>
      <c r="ED53" s="58" t="s">
        <v>14</v>
      </c>
      <c r="EE53" s="59" t="s">
        <v>15</v>
      </c>
      <c r="EF53" s="75">
        <v>0</v>
      </c>
      <c r="EG53" s="76">
        <v>0</v>
      </c>
      <c r="EH53" s="76">
        <v>0</v>
      </c>
      <c r="EI53" s="76">
        <v>0</v>
      </c>
      <c r="EJ53" s="76">
        <v>0</v>
      </c>
      <c r="EK53" s="77">
        <v>0</v>
      </c>
      <c r="EL53" s="78">
        <f>SUM(EF53:EK53)</f>
        <v>0</v>
      </c>
      <c r="EM53" s="144"/>
      <c r="EN53" s="111"/>
      <c r="EO53" s="146"/>
      <c r="EP53" s="58" t="s">
        <v>14</v>
      </c>
      <c r="EQ53" s="59" t="s">
        <v>15</v>
      </c>
      <c r="ER53" s="75">
        <f t="shared" si="156"/>
        <v>0</v>
      </c>
      <c r="ES53" s="76">
        <f t="shared" si="156"/>
        <v>0</v>
      </c>
      <c r="ET53" s="76">
        <f t="shared" si="156"/>
        <v>0</v>
      </c>
      <c r="EU53" s="76">
        <f t="shared" si="156"/>
        <v>0</v>
      </c>
      <c r="EV53" s="76">
        <f t="shared" si="156"/>
        <v>0</v>
      </c>
      <c r="EW53" s="77">
        <f t="shared" si="156"/>
        <v>0</v>
      </c>
      <c r="EX53" s="79">
        <f>SUM(ER53:EW53)</f>
        <v>0</v>
      </c>
      <c r="EY53" s="144"/>
      <c r="EZ53" s="60"/>
    </row>
    <row r="54" spans="1:156" s="110" customFormat="1" ht="15.75" customHeight="1" thickBot="1" x14ac:dyDescent="0.25">
      <c r="A54" s="147"/>
      <c r="B54" s="150" t="s">
        <v>17</v>
      </c>
      <c r="C54" s="151"/>
      <c r="D54" s="83">
        <f t="shared" ref="D54:K54" si="157">SUM(D50:D53)</f>
        <v>0</v>
      </c>
      <c r="E54" s="84">
        <f t="shared" si="157"/>
        <v>0</v>
      </c>
      <c r="F54" s="84">
        <f t="shared" si="157"/>
        <v>0</v>
      </c>
      <c r="G54" s="84">
        <f t="shared" si="157"/>
        <v>0</v>
      </c>
      <c r="H54" s="84">
        <f t="shared" si="157"/>
        <v>0</v>
      </c>
      <c r="I54" s="85">
        <f t="shared" si="157"/>
        <v>0</v>
      </c>
      <c r="J54" s="1">
        <f t="shared" si="157"/>
        <v>0</v>
      </c>
      <c r="K54" s="86">
        <f t="shared" si="157"/>
        <v>0</v>
      </c>
      <c r="L54" s="112"/>
      <c r="M54" s="147"/>
      <c r="N54" s="150" t="s">
        <v>17</v>
      </c>
      <c r="O54" s="151"/>
      <c r="P54" s="83">
        <f t="shared" ref="P54:W54" si="158">SUM(P50:P53)</f>
        <v>0</v>
      </c>
      <c r="Q54" s="84">
        <f t="shared" si="158"/>
        <v>0</v>
      </c>
      <c r="R54" s="84">
        <f t="shared" si="158"/>
        <v>0</v>
      </c>
      <c r="S54" s="84">
        <f t="shared" si="158"/>
        <v>0</v>
      </c>
      <c r="T54" s="84">
        <f t="shared" si="158"/>
        <v>0</v>
      </c>
      <c r="U54" s="85">
        <f t="shared" si="158"/>
        <v>0</v>
      </c>
      <c r="V54" s="1">
        <f t="shared" si="158"/>
        <v>0</v>
      </c>
      <c r="W54" s="86">
        <f t="shared" si="158"/>
        <v>0</v>
      </c>
      <c r="X54" s="112"/>
      <c r="Y54" s="147"/>
      <c r="Z54" s="150" t="s">
        <v>17</v>
      </c>
      <c r="AA54" s="151"/>
      <c r="AB54" s="83">
        <f t="shared" ref="AB54:AI54" si="159">SUM(AB50:AB53)</f>
        <v>0</v>
      </c>
      <c r="AC54" s="84">
        <f t="shared" si="159"/>
        <v>0</v>
      </c>
      <c r="AD54" s="84">
        <f t="shared" si="159"/>
        <v>0</v>
      </c>
      <c r="AE54" s="84">
        <f t="shared" si="159"/>
        <v>0</v>
      </c>
      <c r="AF54" s="84">
        <f t="shared" si="159"/>
        <v>0</v>
      </c>
      <c r="AG54" s="85">
        <f t="shared" si="159"/>
        <v>0</v>
      </c>
      <c r="AH54" s="1">
        <f t="shared" si="159"/>
        <v>0</v>
      </c>
      <c r="AI54" s="86">
        <f t="shared" si="159"/>
        <v>0</v>
      </c>
      <c r="AJ54" s="112"/>
      <c r="AK54" s="147"/>
      <c r="AL54" s="150" t="s">
        <v>17</v>
      </c>
      <c r="AM54" s="151"/>
      <c r="AN54" s="83">
        <f t="shared" ref="AN54:AU54" si="160">SUM(AN50:AN53)</f>
        <v>0</v>
      </c>
      <c r="AO54" s="84">
        <f t="shared" si="160"/>
        <v>0</v>
      </c>
      <c r="AP54" s="84">
        <f t="shared" si="160"/>
        <v>0</v>
      </c>
      <c r="AQ54" s="84">
        <f t="shared" si="160"/>
        <v>0</v>
      </c>
      <c r="AR54" s="84">
        <f t="shared" si="160"/>
        <v>0</v>
      </c>
      <c r="AS54" s="85">
        <f t="shared" si="160"/>
        <v>0</v>
      </c>
      <c r="AT54" s="1">
        <f t="shared" si="160"/>
        <v>0</v>
      </c>
      <c r="AU54" s="86">
        <f t="shared" si="160"/>
        <v>0</v>
      </c>
      <c r="AV54" s="112"/>
      <c r="AW54" s="147"/>
      <c r="AX54" s="150" t="s">
        <v>17</v>
      </c>
      <c r="AY54" s="151"/>
      <c r="AZ54" s="83">
        <f t="shared" ref="AZ54:BE54" si="161">SUM(AZ50:AZ53)</f>
        <v>0</v>
      </c>
      <c r="BA54" s="84">
        <f t="shared" si="161"/>
        <v>0</v>
      </c>
      <c r="BB54" s="84">
        <f t="shared" si="161"/>
        <v>0</v>
      </c>
      <c r="BC54" s="84">
        <f t="shared" si="161"/>
        <v>0</v>
      </c>
      <c r="BD54" s="84">
        <f t="shared" si="161"/>
        <v>0</v>
      </c>
      <c r="BE54" s="85">
        <f t="shared" si="161"/>
        <v>0</v>
      </c>
      <c r="BF54" s="1">
        <f t="shared" ref="BF54:BG54" si="162">SUM(BF50:BF53)</f>
        <v>0</v>
      </c>
      <c r="BG54" s="86">
        <f t="shared" si="162"/>
        <v>0</v>
      </c>
      <c r="BH54" s="112"/>
      <c r="BI54" s="147"/>
      <c r="BJ54" s="150" t="s">
        <v>17</v>
      </c>
      <c r="BK54" s="151"/>
      <c r="BL54" s="83">
        <f t="shared" ref="BL54:BS54" si="163">SUM(BL50:BL53)</f>
        <v>0</v>
      </c>
      <c r="BM54" s="84">
        <f t="shared" si="163"/>
        <v>0</v>
      </c>
      <c r="BN54" s="84">
        <f t="shared" si="163"/>
        <v>0</v>
      </c>
      <c r="BO54" s="84">
        <f t="shared" si="163"/>
        <v>0</v>
      </c>
      <c r="BP54" s="84">
        <f t="shared" si="163"/>
        <v>0</v>
      </c>
      <c r="BQ54" s="85">
        <f t="shared" si="163"/>
        <v>0</v>
      </c>
      <c r="BR54" s="1">
        <f t="shared" si="163"/>
        <v>0</v>
      </c>
      <c r="BS54" s="86">
        <f t="shared" si="163"/>
        <v>0</v>
      </c>
      <c r="BT54" s="112"/>
      <c r="BU54" s="147"/>
      <c r="BV54" s="150" t="s">
        <v>17</v>
      </c>
      <c r="BW54" s="151"/>
      <c r="BX54" s="83">
        <f t="shared" ref="BX54:CE54" si="164">SUM(BX50:BX53)</f>
        <v>0</v>
      </c>
      <c r="BY54" s="84">
        <f t="shared" si="164"/>
        <v>0</v>
      </c>
      <c r="BZ54" s="84">
        <f t="shared" si="164"/>
        <v>0</v>
      </c>
      <c r="CA54" s="84">
        <f t="shared" si="164"/>
        <v>0</v>
      </c>
      <c r="CB54" s="84">
        <f t="shared" si="164"/>
        <v>0</v>
      </c>
      <c r="CC54" s="85">
        <f t="shared" si="164"/>
        <v>0</v>
      </c>
      <c r="CD54" s="1">
        <f t="shared" si="164"/>
        <v>0</v>
      </c>
      <c r="CE54" s="86">
        <f t="shared" si="164"/>
        <v>0</v>
      </c>
      <c r="CF54" s="112"/>
      <c r="CG54" s="147"/>
      <c r="CH54" s="150" t="s">
        <v>17</v>
      </c>
      <c r="CI54" s="151"/>
      <c r="CJ54" s="83">
        <f t="shared" ref="CJ54:CQ54" si="165">SUM(CJ50:CJ53)</f>
        <v>0</v>
      </c>
      <c r="CK54" s="84">
        <f t="shared" si="165"/>
        <v>0</v>
      </c>
      <c r="CL54" s="84">
        <f t="shared" si="165"/>
        <v>0</v>
      </c>
      <c r="CM54" s="84">
        <f t="shared" si="165"/>
        <v>0</v>
      </c>
      <c r="CN54" s="84">
        <f t="shared" si="165"/>
        <v>0</v>
      </c>
      <c r="CO54" s="85">
        <f t="shared" si="165"/>
        <v>0</v>
      </c>
      <c r="CP54" s="1">
        <f t="shared" si="165"/>
        <v>0</v>
      </c>
      <c r="CQ54" s="86">
        <f t="shared" si="165"/>
        <v>0</v>
      </c>
      <c r="CR54" s="112"/>
      <c r="CS54" s="147"/>
      <c r="CT54" s="150" t="s">
        <v>17</v>
      </c>
      <c r="CU54" s="151"/>
      <c r="CV54" s="83">
        <f t="shared" ref="CV54:DC54" si="166">SUM(CV50:CV53)</f>
        <v>0</v>
      </c>
      <c r="CW54" s="84">
        <f t="shared" si="166"/>
        <v>0</v>
      </c>
      <c r="CX54" s="84">
        <f t="shared" si="166"/>
        <v>0</v>
      </c>
      <c r="CY54" s="84">
        <f t="shared" si="166"/>
        <v>0</v>
      </c>
      <c r="CZ54" s="84">
        <f t="shared" si="166"/>
        <v>0</v>
      </c>
      <c r="DA54" s="85">
        <f t="shared" si="166"/>
        <v>0</v>
      </c>
      <c r="DB54" s="1">
        <f t="shared" si="166"/>
        <v>0</v>
      </c>
      <c r="DC54" s="86">
        <f t="shared" si="166"/>
        <v>0</v>
      </c>
      <c r="DD54" s="112"/>
      <c r="DE54" s="147"/>
      <c r="DF54" s="150" t="s">
        <v>17</v>
      </c>
      <c r="DG54" s="151"/>
      <c r="DH54" s="83">
        <f t="shared" ref="DH54:DO54" si="167">SUM(DH50:DH53)</f>
        <v>0</v>
      </c>
      <c r="DI54" s="84">
        <f t="shared" si="167"/>
        <v>0</v>
      </c>
      <c r="DJ54" s="84">
        <f t="shared" si="167"/>
        <v>0</v>
      </c>
      <c r="DK54" s="84">
        <f t="shared" si="167"/>
        <v>0</v>
      </c>
      <c r="DL54" s="84">
        <f t="shared" si="167"/>
        <v>0</v>
      </c>
      <c r="DM54" s="85">
        <f t="shared" si="167"/>
        <v>0</v>
      </c>
      <c r="DN54" s="1">
        <f t="shared" si="167"/>
        <v>0</v>
      </c>
      <c r="DO54" s="86">
        <f t="shared" si="167"/>
        <v>0</v>
      </c>
      <c r="DP54" s="112"/>
      <c r="DQ54" s="147"/>
      <c r="DR54" s="150" t="s">
        <v>17</v>
      </c>
      <c r="DS54" s="151"/>
      <c r="DT54" s="83">
        <f t="shared" ref="DT54:EA54" si="168">SUM(DT50:DT53)</f>
        <v>0</v>
      </c>
      <c r="DU54" s="84">
        <f t="shared" si="168"/>
        <v>0</v>
      </c>
      <c r="DV54" s="84">
        <f t="shared" si="168"/>
        <v>0</v>
      </c>
      <c r="DW54" s="84">
        <f t="shared" si="168"/>
        <v>0</v>
      </c>
      <c r="DX54" s="84">
        <f t="shared" si="168"/>
        <v>0</v>
      </c>
      <c r="DY54" s="85">
        <f t="shared" si="168"/>
        <v>0</v>
      </c>
      <c r="DZ54" s="1">
        <f t="shared" si="168"/>
        <v>0</v>
      </c>
      <c r="EA54" s="86">
        <f t="shared" si="168"/>
        <v>0</v>
      </c>
      <c r="EB54" s="112"/>
      <c r="EC54" s="147"/>
      <c r="ED54" s="150" t="s">
        <v>17</v>
      </c>
      <c r="EE54" s="151"/>
      <c r="EF54" s="83">
        <f t="shared" ref="EF54:EM54" si="169">SUM(EF50:EF53)</f>
        <v>0</v>
      </c>
      <c r="EG54" s="84">
        <f t="shared" si="169"/>
        <v>0</v>
      </c>
      <c r="EH54" s="84">
        <f t="shared" si="169"/>
        <v>0</v>
      </c>
      <c r="EI54" s="84">
        <f t="shared" si="169"/>
        <v>0</v>
      </c>
      <c r="EJ54" s="84">
        <f t="shared" si="169"/>
        <v>0</v>
      </c>
      <c r="EK54" s="85">
        <f t="shared" si="169"/>
        <v>0</v>
      </c>
      <c r="EL54" s="1">
        <f t="shared" si="169"/>
        <v>0</v>
      </c>
      <c r="EM54" s="86">
        <f t="shared" si="169"/>
        <v>0</v>
      </c>
      <c r="EN54" s="112"/>
      <c r="EO54" s="147"/>
      <c r="EP54" s="107" t="s">
        <v>17</v>
      </c>
      <c r="EQ54" s="108"/>
      <c r="ER54" s="83">
        <f t="shared" ref="ER54:EY54" si="170">SUM(ER50:ER53)</f>
        <v>0</v>
      </c>
      <c r="ES54" s="84">
        <f t="shared" si="170"/>
        <v>0</v>
      </c>
      <c r="ET54" s="84">
        <f t="shared" si="170"/>
        <v>0</v>
      </c>
      <c r="EU54" s="84">
        <f t="shared" si="170"/>
        <v>0</v>
      </c>
      <c r="EV54" s="84">
        <f t="shared" si="170"/>
        <v>0</v>
      </c>
      <c r="EW54" s="85">
        <f t="shared" si="170"/>
        <v>0</v>
      </c>
      <c r="EX54" s="1">
        <f t="shared" si="170"/>
        <v>0</v>
      </c>
      <c r="EY54" s="86">
        <f t="shared" si="170"/>
        <v>0</v>
      </c>
      <c r="EZ54" s="109"/>
    </row>
    <row r="55" spans="1:156" ht="15.95" customHeight="1" x14ac:dyDescent="0.2">
      <c r="A55" s="145"/>
      <c r="B55" s="152" t="s">
        <v>14</v>
      </c>
      <c r="C55" s="53" t="s">
        <v>13</v>
      </c>
      <c r="D55" s="70">
        <v>0</v>
      </c>
      <c r="E55" s="71">
        <v>0</v>
      </c>
      <c r="F55" s="71">
        <v>0</v>
      </c>
      <c r="G55" s="71">
        <v>0</v>
      </c>
      <c r="H55" s="71">
        <v>0</v>
      </c>
      <c r="I55" s="72">
        <v>0</v>
      </c>
      <c r="J55" s="73">
        <f>SUM(D55:I55)</f>
        <v>0</v>
      </c>
      <c r="K55" s="143">
        <v>0</v>
      </c>
      <c r="L55" s="111"/>
      <c r="M55" s="145"/>
      <c r="N55" s="152" t="s">
        <v>14</v>
      </c>
      <c r="O55" s="53" t="s">
        <v>13</v>
      </c>
      <c r="P55" s="70">
        <v>0</v>
      </c>
      <c r="Q55" s="71">
        <v>0</v>
      </c>
      <c r="R55" s="71">
        <v>0</v>
      </c>
      <c r="S55" s="71">
        <v>0</v>
      </c>
      <c r="T55" s="71">
        <v>0</v>
      </c>
      <c r="U55" s="72">
        <v>0</v>
      </c>
      <c r="V55" s="73">
        <f>SUM(P55:U55)</f>
        <v>0</v>
      </c>
      <c r="W55" s="143">
        <v>0</v>
      </c>
      <c r="X55" s="111"/>
      <c r="Y55" s="145"/>
      <c r="Z55" s="152" t="s">
        <v>14</v>
      </c>
      <c r="AA55" s="53" t="s">
        <v>13</v>
      </c>
      <c r="AB55" s="70">
        <v>0</v>
      </c>
      <c r="AC55" s="71">
        <v>0</v>
      </c>
      <c r="AD55" s="71">
        <v>0</v>
      </c>
      <c r="AE55" s="71">
        <v>0</v>
      </c>
      <c r="AF55" s="71">
        <v>0</v>
      </c>
      <c r="AG55" s="72">
        <v>0</v>
      </c>
      <c r="AH55" s="73">
        <f>SUM(AB55:AG55)</f>
        <v>0</v>
      </c>
      <c r="AI55" s="143">
        <v>0</v>
      </c>
      <c r="AJ55" s="111"/>
      <c r="AK55" s="145"/>
      <c r="AL55" s="152" t="s">
        <v>14</v>
      </c>
      <c r="AM55" s="53" t="s">
        <v>13</v>
      </c>
      <c r="AN55" s="70">
        <v>0</v>
      </c>
      <c r="AO55" s="71">
        <v>0</v>
      </c>
      <c r="AP55" s="71">
        <v>0</v>
      </c>
      <c r="AQ55" s="71">
        <v>0</v>
      </c>
      <c r="AR55" s="71">
        <v>0</v>
      </c>
      <c r="AS55" s="72">
        <v>0</v>
      </c>
      <c r="AT55" s="73">
        <f>SUM(AN55:AS55)</f>
        <v>0</v>
      </c>
      <c r="AU55" s="143">
        <v>0</v>
      </c>
      <c r="AV55" s="111"/>
      <c r="AW55" s="145"/>
      <c r="AX55" s="152" t="s">
        <v>14</v>
      </c>
      <c r="AY55" s="53" t="s">
        <v>13</v>
      </c>
      <c r="AZ55" s="70">
        <v>0</v>
      </c>
      <c r="BA55" s="71">
        <v>0</v>
      </c>
      <c r="BB55" s="71">
        <v>0</v>
      </c>
      <c r="BC55" s="71">
        <v>0</v>
      </c>
      <c r="BD55" s="71">
        <v>0</v>
      </c>
      <c r="BE55" s="72">
        <v>0</v>
      </c>
      <c r="BF55" s="73">
        <f>SUM(AZ55:BE55)</f>
        <v>0</v>
      </c>
      <c r="BG55" s="143">
        <v>0</v>
      </c>
      <c r="BH55" s="111"/>
      <c r="BI55" s="145"/>
      <c r="BJ55" s="152" t="s">
        <v>14</v>
      </c>
      <c r="BK55" s="53" t="s">
        <v>13</v>
      </c>
      <c r="BL55" s="70">
        <v>0</v>
      </c>
      <c r="BM55" s="71">
        <v>0</v>
      </c>
      <c r="BN55" s="71">
        <v>0</v>
      </c>
      <c r="BO55" s="71">
        <v>0</v>
      </c>
      <c r="BP55" s="71">
        <v>0</v>
      </c>
      <c r="BQ55" s="72">
        <v>0</v>
      </c>
      <c r="BR55" s="73">
        <f>SUM(BL55:BQ55)</f>
        <v>0</v>
      </c>
      <c r="BS55" s="143">
        <v>0</v>
      </c>
      <c r="BT55" s="111"/>
      <c r="BU55" s="145"/>
      <c r="BV55" s="152" t="s">
        <v>14</v>
      </c>
      <c r="BW55" s="53" t="s">
        <v>13</v>
      </c>
      <c r="BX55" s="70">
        <v>0</v>
      </c>
      <c r="BY55" s="71">
        <v>0</v>
      </c>
      <c r="BZ55" s="71">
        <v>0</v>
      </c>
      <c r="CA55" s="71">
        <v>0</v>
      </c>
      <c r="CB55" s="71">
        <v>0</v>
      </c>
      <c r="CC55" s="72">
        <v>0</v>
      </c>
      <c r="CD55" s="73">
        <f>SUM(BX55:CC55)</f>
        <v>0</v>
      </c>
      <c r="CE55" s="143">
        <v>0</v>
      </c>
      <c r="CF55" s="111"/>
      <c r="CG55" s="145"/>
      <c r="CH55" s="152" t="s">
        <v>14</v>
      </c>
      <c r="CI55" s="53" t="s">
        <v>13</v>
      </c>
      <c r="CJ55" s="70">
        <v>0</v>
      </c>
      <c r="CK55" s="71">
        <v>0</v>
      </c>
      <c r="CL55" s="71">
        <v>0</v>
      </c>
      <c r="CM55" s="71">
        <v>0</v>
      </c>
      <c r="CN55" s="71">
        <v>0</v>
      </c>
      <c r="CO55" s="72">
        <v>0</v>
      </c>
      <c r="CP55" s="73">
        <f>SUM(CJ55:CO55)</f>
        <v>0</v>
      </c>
      <c r="CQ55" s="143">
        <v>0</v>
      </c>
      <c r="CR55" s="111"/>
      <c r="CS55" s="145"/>
      <c r="CT55" s="152" t="s">
        <v>14</v>
      </c>
      <c r="CU55" s="53" t="s">
        <v>13</v>
      </c>
      <c r="CV55" s="70">
        <v>0</v>
      </c>
      <c r="CW55" s="71">
        <v>0</v>
      </c>
      <c r="CX55" s="71">
        <v>0</v>
      </c>
      <c r="CY55" s="71">
        <v>0</v>
      </c>
      <c r="CZ55" s="71">
        <v>0</v>
      </c>
      <c r="DA55" s="72">
        <v>0</v>
      </c>
      <c r="DB55" s="73">
        <f>SUM(CV55:DA55)</f>
        <v>0</v>
      </c>
      <c r="DC55" s="143">
        <v>0</v>
      </c>
      <c r="DD55" s="111"/>
      <c r="DE55" s="145"/>
      <c r="DF55" s="152" t="s">
        <v>14</v>
      </c>
      <c r="DG55" s="53" t="s">
        <v>13</v>
      </c>
      <c r="DH55" s="70">
        <v>0</v>
      </c>
      <c r="DI55" s="71">
        <v>0</v>
      </c>
      <c r="DJ55" s="71">
        <v>0</v>
      </c>
      <c r="DK55" s="71">
        <v>0</v>
      </c>
      <c r="DL55" s="71">
        <v>0</v>
      </c>
      <c r="DM55" s="72">
        <v>0</v>
      </c>
      <c r="DN55" s="73">
        <f>SUM(DH55:DM55)</f>
        <v>0</v>
      </c>
      <c r="DO55" s="143">
        <v>0</v>
      </c>
      <c r="DP55" s="111"/>
      <c r="DQ55" s="145"/>
      <c r="DR55" s="152" t="s">
        <v>14</v>
      </c>
      <c r="DS55" s="53" t="s">
        <v>13</v>
      </c>
      <c r="DT55" s="70">
        <v>0</v>
      </c>
      <c r="DU55" s="71">
        <v>0</v>
      </c>
      <c r="DV55" s="71">
        <v>0</v>
      </c>
      <c r="DW55" s="71">
        <v>0</v>
      </c>
      <c r="DX55" s="71">
        <v>0</v>
      </c>
      <c r="DY55" s="72">
        <v>0</v>
      </c>
      <c r="DZ55" s="73">
        <f>SUM(DT55:DY55)</f>
        <v>0</v>
      </c>
      <c r="EA55" s="143">
        <v>0</v>
      </c>
      <c r="EB55" s="111"/>
      <c r="EC55" s="145"/>
      <c r="ED55" s="152" t="s">
        <v>14</v>
      </c>
      <c r="EE55" s="53" t="s">
        <v>13</v>
      </c>
      <c r="EF55" s="70">
        <v>0</v>
      </c>
      <c r="EG55" s="71">
        <v>0</v>
      </c>
      <c r="EH55" s="71">
        <v>0</v>
      </c>
      <c r="EI55" s="71">
        <v>0</v>
      </c>
      <c r="EJ55" s="71">
        <v>0</v>
      </c>
      <c r="EK55" s="72">
        <v>0</v>
      </c>
      <c r="EL55" s="73">
        <f>SUM(EF55:EK55)</f>
        <v>0</v>
      </c>
      <c r="EM55" s="143">
        <v>0</v>
      </c>
      <c r="EN55" s="111"/>
      <c r="EO55" s="145">
        <f t="shared" ref="EO55" si="171">EC55</f>
        <v>0</v>
      </c>
      <c r="EP55" s="105" t="s">
        <v>14</v>
      </c>
      <c r="EQ55" s="53" t="s">
        <v>13</v>
      </c>
      <c r="ER55" s="70">
        <f t="shared" ref="ER55:ER58" si="172">SUM(EF55)</f>
        <v>0</v>
      </c>
      <c r="ES55" s="71">
        <f t="shared" ref="ES55:ES58" si="173">SUM(EG55)</f>
        <v>0</v>
      </c>
      <c r="ET55" s="71">
        <f t="shared" ref="ET55:ET58" si="174">SUM(EH55)</f>
        <v>0</v>
      </c>
      <c r="EU55" s="71">
        <f t="shared" ref="EU55:EU58" si="175">SUM(EI55)</f>
        <v>0</v>
      </c>
      <c r="EV55" s="71">
        <f t="shared" ref="EV55:EV58" si="176">SUM(EJ55)</f>
        <v>0</v>
      </c>
      <c r="EW55" s="72">
        <f t="shared" ref="EW55:EW58" si="177">SUM(EK55)</f>
        <v>0</v>
      </c>
      <c r="EX55" s="74">
        <f>SUM(ER55:EW55)</f>
        <v>0</v>
      </c>
      <c r="EY55" s="143">
        <f>SUM(EM55)</f>
        <v>0</v>
      </c>
      <c r="EZ55" s="60"/>
    </row>
    <row r="56" spans="1:156" ht="15.95" customHeight="1" thickBot="1" x14ac:dyDescent="0.25">
      <c r="A56" s="146"/>
      <c r="B56" s="153"/>
      <c r="C56" s="55" t="s">
        <v>15</v>
      </c>
      <c r="D56" s="75">
        <v>0</v>
      </c>
      <c r="E56" s="76">
        <v>0</v>
      </c>
      <c r="F56" s="76">
        <v>0</v>
      </c>
      <c r="G56" s="76">
        <v>0</v>
      </c>
      <c r="H56" s="76">
        <v>0</v>
      </c>
      <c r="I56" s="77">
        <v>0</v>
      </c>
      <c r="J56" s="78">
        <f>SUM(D56:I56)</f>
        <v>0</v>
      </c>
      <c r="K56" s="144"/>
      <c r="L56" s="111"/>
      <c r="M56" s="146"/>
      <c r="N56" s="153"/>
      <c r="O56" s="55" t="s">
        <v>15</v>
      </c>
      <c r="P56" s="75">
        <v>0</v>
      </c>
      <c r="Q56" s="76">
        <v>0</v>
      </c>
      <c r="R56" s="76">
        <v>0</v>
      </c>
      <c r="S56" s="76">
        <v>0</v>
      </c>
      <c r="T56" s="76">
        <v>0</v>
      </c>
      <c r="U56" s="77">
        <v>0</v>
      </c>
      <c r="V56" s="78">
        <f>SUM(P56:U56)</f>
        <v>0</v>
      </c>
      <c r="W56" s="144"/>
      <c r="X56" s="111"/>
      <c r="Y56" s="146"/>
      <c r="Z56" s="153"/>
      <c r="AA56" s="55" t="s">
        <v>15</v>
      </c>
      <c r="AB56" s="75">
        <v>0</v>
      </c>
      <c r="AC56" s="76">
        <v>0</v>
      </c>
      <c r="AD56" s="76">
        <v>0</v>
      </c>
      <c r="AE56" s="76">
        <v>0</v>
      </c>
      <c r="AF56" s="76">
        <v>0</v>
      </c>
      <c r="AG56" s="77">
        <v>0</v>
      </c>
      <c r="AH56" s="78">
        <f>SUM(AB56:AG56)</f>
        <v>0</v>
      </c>
      <c r="AI56" s="144"/>
      <c r="AJ56" s="111"/>
      <c r="AK56" s="146"/>
      <c r="AL56" s="153"/>
      <c r="AM56" s="55" t="s">
        <v>15</v>
      </c>
      <c r="AN56" s="75">
        <v>0</v>
      </c>
      <c r="AO56" s="76">
        <v>0</v>
      </c>
      <c r="AP56" s="76">
        <v>0</v>
      </c>
      <c r="AQ56" s="76">
        <v>0</v>
      </c>
      <c r="AR56" s="76">
        <v>0</v>
      </c>
      <c r="AS56" s="77">
        <v>0</v>
      </c>
      <c r="AT56" s="78">
        <f>SUM(AN56:AS56)</f>
        <v>0</v>
      </c>
      <c r="AU56" s="144"/>
      <c r="AV56" s="111"/>
      <c r="AW56" s="146"/>
      <c r="AX56" s="153"/>
      <c r="AY56" s="55" t="s">
        <v>15</v>
      </c>
      <c r="AZ56" s="75">
        <v>0</v>
      </c>
      <c r="BA56" s="76">
        <v>0</v>
      </c>
      <c r="BB56" s="76">
        <v>0</v>
      </c>
      <c r="BC56" s="76">
        <v>0</v>
      </c>
      <c r="BD56" s="76">
        <v>0</v>
      </c>
      <c r="BE56" s="77">
        <v>0</v>
      </c>
      <c r="BF56" s="78">
        <f>SUM(AZ56:BE56)</f>
        <v>0</v>
      </c>
      <c r="BG56" s="144"/>
      <c r="BH56" s="111"/>
      <c r="BI56" s="146"/>
      <c r="BJ56" s="153"/>
      <c r="BK56" s="55" t="s">
        <v>15</v>
      </c>
      <c r="BL56" s="75">
        <v>0</v>
      </c>
      <c r="BM56" s="76">
        <v>0</v>
      </c>
      <c r="BN56" s="76">
        <v>0</v>
      </c>
      <c r="BO56" s="76">
        <v>0</v>
      </c>
      <c r="BP56" s="76">
        <v>0</v>
      </c>
      <c r="BQ56" s="77">
        <v>0</v>
      </c>
      <c r="BR56" s="78">
        <f>SUM(BL56:BQ56)</f>
        <v>0</v>
      </c>
      <c r="BS56" s="144"/>
      <c r="BT56" s="111"/>
      <c r="BU56" s="146"/>
      <c r="BV56" s="153"/>
      <c r="BW56" s="55" t="s">
        <v>15</v>
      </c>
      <c r="BX56" s="75">
        <v>0</v>
      </c>
      <c r="BY56" s="76">
        <v>0</v>
      </c>
      <c r="BZ56" s="76">
        <v>0</v>
      </c>
      <c r="CA56" s="76">
        <v>0</v>
      </c>
      <c r="CB56" s="76">
        <v>0</v>
      </c>
      <c r="CC56" s="77">
        <v>0</v>
      </c>
      <c r="CD56" s="78">
        <f>SUM(BX56:CC56)</f>
        <v>0</v>
      </c>
      <c r="CE56" s="144"/>
      <c r="CF56" s="111"/>
      <c r="CG56" s="146"/>
      <c r="CH56" s="153"/>
      <c r="CI56" s="55" t="s">
        <v>15</v>
      </c>
      <c r="CJ56" s="75">
        <v>0</v>
      </c>
      <c r="CK56" s="76">
        <v>0</v>
      </c>
      <c r="CL56" s="76">
        <v>0</v>
      </c>
      <c r="CM56" s="76">
        <v>0</v>
      </c>
      <c r="CN56" s="76">
        <v>0</v>
      </c>
      <c r="CO56" s="77">
        <v>0</v>
      </c>
      <c r="CP56" s="78">
        <f>SUM(CJ56:CO56)</f>
        <v>0</v>
      </c>
      <c r="CQ56" s="144"/>
      <c r="CR56" s="111"/>
      <c r="CS56" s="146"/>
      <c r="CT56" s="153"/>
      <c r="CU56" s="55" t="s">
        <v>15</v>
      </c>
      <c r="CV56" s="75">
        <v>0</v>
      </c>
      <c r="CW56" s="76">
        <v>0</v>
      </c>
      <c r="CX56" s="76">
        <v>0</v>
      </c>
      <c r="CY56" s="76">
        <v>0</v>
      </c>
      <c r="CZ56" s="76">
        <v>0</v>
      </c>
      <c r="DA56" s="77">
        <v>0</v>
      </c>
      <c r="DB56" s="78">
        <f>SUM(CV56:DA56)</f>
        <v>0</v>
      </c>
      <c r="DC56" s="144"/>
      <c r="DD56" s="111"/>
      <c r="DE56" s="146"/>
      <c r="DF56" s="153"/>
      <c r="DG56" s="55" t="s">
        <v>15</v>
      </c>
      <c r="DH56" s="75">
        <v>0</v>
      </c>
      <c r="DI56" s="76">
        <v>0</v>
      </c>
      <c r="DJ56" s="76">
        <v>0</v>
      </c>
      <c r="DK56" s="76">
        <v>0</v>
      </c>
      <c r="DL56" s="76">
        <v>0</v>
      </c>
      <c r="DM56" s="77">
        <v>0</v>
      </c>
      <c r="DN56" s="78">
        <f>SUM(DH56:DM56)</f>
        <v>0</v>
      </c>
      <c r="DO56" s="144"/>
      <c r="DP56" s="111"/>
      <c r="DQ56" s="146"/>
      <c r="DR56" s="153"/>
      <c r="DS56" s="55" t="s">
        <v>15</v>
      </c>
      <c r="DT56" s="75">
        <v>0</v>
      </c>
      <c r="DU56" s="76">
        <v>0</v>
      </c>
      <c r="DV56" s="76">
        <v>0</v>
      </c>
      <c r="DW56" s="76">
        <v>0</v>
      </c>
      <c r="DX56" s="76">
        <v>0</v>
      </c>
      <c r="DY56" s="77">
        <v>0</v>
      </c>
      <c r="DZ56" s="78">
        <f>SUM(DT56:DY56)</f>
        <v>0</v>
      </c>
      <c r="EA56" s="144"/>
      <c r="EB56" s="111"/>
      <c r="EC56" s="146"/>
      <c r="ED56" s="153"/>
      <c r="EE56" s="55" t="s">
        <v>15</v>
      </c>
      <c r="EF56" s="75">
        <v>0</v>
      </c>
      <c r="EG56" s="76">
        <v>0</v>
      </c>
      <c r="EH56" s="76">
        <v>0</v>
      </c>
      <c r="EI56" s="76">
        <v>0</v>
      </c>
      <c r="EJ56" s="76">
        <v>0</v>
      </c>
      <c r="EK56" s="77">
        <v>0</v>
      </c>
      <c r="EL56" s="78">
        <f>SUM(EF56:EK56)</f>
        <v>0</v>
      </c>
      <c r="EM56" s="144"/>
      <c r="EN56" s="111"/>
      <c r="EO56" s="146"/>
      <c r="EP56" s="106"/>
      <c r="EQ56" s="55" t="s">
        <v>15</v>
      </c>
      <c r="ER56" s="75">
        <f t="shared" si="172"/>
        <v>0</v>
      </c>
      <c r="ES56" s="76">
        <f t="shared" si="173"/>
        <v>0</v>
      </c>
      <c r="ET56" s="76">
        <f t="shared" si="174"/>
        <v>0</v>
      </c>
      <c r="EU56" s="76">
        <f t="shared" si="175"/>
        <v>0</v>
      </c>
      <c r="EV56" s="76">
        <f t="shared" si="176"/>
        <v>0</v>
      </c>
      <c r="EW56" s="77">
        <f t="shared" si="177"/>
        <v>0</v>
      </c>
      <c r="EX56" s="79">
        <f>SUM(ER56:EW56)</f>
        <v>0</v>
      </c>
      <c r="EY56" s="144"/>
      <c r="EZ56" s="60"/>
    </row>
    <row r="57" spans="1:156" ht="15.95" customHeight="1" x14ac:dyDescent="0.2">
      <c r="A57" s="146"/>
      <c r="B57" s="56" t="s">
        <v>16</v>
      </c>
      <c r="C57" s="57" t="s">
        <v>13</v>
      </c>
      <c r="D57" s="70">
        <v>0</v>
      </c>
      <c r="E57" s="71">
        <v>0</v>
      </c>
      <c r="F57" s="71">
        <v>0</v>
      </c>
      <c r="G57" s="71">
        <v>0</v>
      </c>
      <c r="H57" s="71">
        <v>0</v>
      </c>
      <c r="I57" s="72">
        <v>0</v>
      </c>
      <c r="J57" s="73">
        <f>SUM(D57:I57)</f>
        <v>0</v>
      </c>
      <c r="K57" s="143">
        <v>0</v>
      </c>
      <c r="L57" s="111"/>
      <c r="M57" s="146"/>
      <c r="N57" s="56" t="s">
        <v>16</v>
      </c>
      <c r="O57" s="57" t="s">
        <v>13</v>
      </c>
      <c r="P57" s="70">
        <v>0</v>
      </c>
      <c r="Q57" s="71">
        <v>0</v>
      </c>
      <c r="R57" s="71">
        <v>0</v>
      </c>
      <c r="S57" s="71">
        <v>0</v>
      </c>
      <c r="T57" s="71">
        <v>0</v>
      </c>
      <c r="U57" s="72">
        <v>0</v>
      </c>
      <c r="V57" s="73">
        <f>SUM(P57:U57)</f>
        <v>0</v>
      </c>
      <c r="W57" s="143">
        <v>0</v>
      </c>
      <c r="X57" s="111"/>
      <c r="Y57" s="146"/>
      <c r="Z57" s="56" t="s">
        <v>16</v>
      </c>
      <c r="AA57" s="57" t="s">
        <v>13</v>
      </c>
      <c r="AB57" s="70">
        <v>0</v>
      </c>
      <c r="AC57" s="71">
        <v>0</v>
      </c>
      <c r="AD57" s="71">
        <v>0</v>
      </c>
      <c r="AE57" s="71">
        <v>0</v>
      </c>
      <c r="AF57" s="71">
        <v>0</v>
      </c>
      <c r="AG57" s="72">
        <v>0</v>
      </c>
      <c r="AH57" s="73">
        <f>SUM(AB57:AG57)</f>
        <v>0</v>
      </c>
      <c r="AI57" s="143">
        <v>0</v>
      </c>
      <c r="AJ57" s="111"/>
      <c r="AK57" s="146"/>
      <c r="AL57" s="56" t="s">
        <v>16</v>
      </c>
      <c r="AM57" s="57" t="s">
        <v>13</v>
      </c>
      <c r="AN57" s="70">
        <v>0</v>
      </c>
      <c r="AO57" s="71">
        <v>0</v>
      </c>
      <c r="AP57" s="71">
        <v>0</v>
      </c>
      <c r="AQ57" s="71">
        <v>0</v>
      </c>
      <c r="AR57" s="71">
        <v>0</v>
      </c>
      <c r="AS57" s="72">
        <v>0</v>
      </c>
      <c r="AT57" s="73">
        <f>SUM(AN57:AS57)</f>
        <v>0</v>
      </c>
      <c r="AU57" s="143">
        <v>0</v>
      </c>
      <c r="AV57" s="111"/>
      <c r="AW57" s="146"/>
      <c r="AX57" s="56" t="s">
        <v>16</v>
      </c>
      <c r="AY57" s="57" t="s">
        <v>13</v>
      </c>
      <c r="AZ57" s="70">
        <v>0</v>
      </c>
      <c r="BA57" s="71">
        <v>0</v>
      </c>
      <c r="BB57" s="71">
        <v>0</v>
      </c>
      <c r="BC57" s="71">
        <v>0</v>
      </c>
      <c r="BD57" s="71">
        <v>0</v>
      </c>
      <c r="BE57" s="72">
        <v>0</v>
      </c>
      <c r="BF57" s="73">
        <f>SUM(AZ57:BE57)</f>
        <v>0</v>
      </c>
      <c r="BG57" s="143">
        <v>0</v>
      </c>
      <c r="BH57" s="111"/>
      <c r="BI57" s="146"/>
      <c r="BJ57" s="56" t="s">
        <v>16</v>
      </c>
      <c r="BK57" s="57" t="s">
        <v>13</v>
      </c>
      <c r="BL57" s="70">
        <v>0</v>
      </c>
      <c r="BM57" s="71">
        <v>0</v>
      </c>
      <c r="BN57" s="71">
        <v>0</v>
      </c>
      <c r="BO57" s="71">
        <v>0</v>
      </c>
      <c r="BP57" s="71">
        <v>0</v>
      </c>
      <c r="BQ57" s="72">
        <v>0</v>
      </c>
      <c r="BR57" s="73">
        <f>SUM(BL57:BQ57)</f>
        <v>0</v>
      </c>
      <c r="BS57" s="143">
        <v>0</v>
      </c>
      <c r="BT57" s="111"/>
      <c r="BU57" s="146"/>
      <c r="BV57" s="56" t="s">
        <v>16</v>
      </c>
      <c r="BW57" s="57" t="s">
        <v>13</v>
      </c>
      <c r="BX57" s="70">
        <v>0</v>
      </c>
      <c r="BY57" s="71">
        <v>0</v>
      </c>
      <c r="BZ57" s="71">
        <v>0</v>
      </c>
      <c r="CA57" s="71">
        <v>0</v>
      </c>
      <c r="CB57" s="71">
        <v>0</v>
      </c>
      <c r="CC57" s="72">
        <v>0</v>
      </c>
      <c r="CD57" s="73">
        <f>SUM(BX57:CC57)</f>
        <v>0</v>
      </c>
      <c r="CE57" s="143">
        <v>0</v>
      </c>
      <c r="CF57" s="111"/>
      <c r="CG57" s="146"/>
      <c r="CH57" s="56" t="s">
        <v>16</v>
      </c>
      <c r="CI57" s="57" t="s">
        <v>13</v>
      </c>
      <c r="CJ57" s="70">
        <v>0</v>
      </c>
      <c r="CK57" s="71">
        <v>0</v>
      </c>
      <c r="CL57" s="71">
        <v>0</v>
      </c>
      <c r="CM57" s="71">
        <v>0</v>
      </c>
      <c r="CN57" s="71">
        <v>0</v>
      </c>
      <c r="CO57" s="72">
        <v>0</v>
      </c>
      <c r="CP57" s="73">
        <f>SUM(CJ57:CO57)</f>
        <v>0</v>
      </c>
      <c r="CQ57" s="143">
        <v>0</v>
      </c>
      <c r="CR57" s="111"/>
      <c r="CS57" s="146"/>
      <c r="CT57" s="56" t="s">
        <v>16</v>
      </c>
      <c r="CU57" s="57" t="s">
        <v>13</v>
      </c>
      <c r="CV57" s="70">
        <v>0</v>
      </c>
      <c r="CW57" s="71">
        <v>0</v>
      </c>
      <c r="CX57" s="71">
        <v>0</v>
      </c>
      <c r="CY57" s="71">
        <v>0</v>
      </c>
      <c r="CZ57" s="71">
        <v>0</v>
      </c>
      <c r="DA57" s="72">
        <v>0</v>
      </c>
      <c r="DB57" s="73">
        <f>SUM(CV57:DA57)</f>
        <v>0</v>
      </c>
      <c r="DC57" s="143">
        <v>0</v>
      </c>
      <c r="DD57" s="111"/>
      <c r="DE57" s="146"/>
      <c r="DF57" s="56" t="s">
        <v>16</v>
      </c>
      <c r="DG57" s="57" t="s">
        <v>13</v>
      </c>
      <c r="DH57" s="70">
        <v>0</v>
      </c>
      <c r="DI57" s="71">
        <v>0</v>
      </c>
      <c r="DJ57" s="71">
        <v>0</v>
      </c>
      <c r="DK57" s="71">
        <v>0</v>
      </c>
      <c r="DL57" s="71">
        <v>0</v>
      </c>
      <c r="DM57" s="72">
        <v>0</v>
      </c>
      <c r="DN57" s="73">
        <f>SUM(DH57:DM57)</f>
        <v>0</v>
      </c>
      <c r="DO57" s="143">
        <v>0</v>
      </c>
      <c r="DP57" s="111"/>
      <c r="DQ57" s="146"/>
      <c r="DR57" s="56" t="s">
        <v>16</v>
      </c>
      <c r="DS57" s="57" t="s">
        <v>13</v>
      </c>
      <c r="DT57" s="70">
        <v>0</v>
      </c>
      <c r="DU57" s="71">
        <v>0</v>
      </c>
      <c r="DV57" s="71">
        <v>0</v>
      </c>
      <c r="DW57" s="71">
        <v>0</v>
      </c>
      <c r="DX57" s="71">
        <v>0</v>
      </c>
      <c r="DY57" s="72">
        <v>0</v>
      </c>
      <c r="DZ57" s="73">
        <f>SUM(DT57:DY57)</f>
        <v>0</v>
      </c>
      <c r="EA57" s="143">
        <v>0</v>
      </c>
      <c r="EB57" s="111"/>
      <c r="EC57" s="146"/>
      <c r="ED57" s="56" t="s">
        <v>16</v>
      </c>
      <c r="EE57" s="57" t="s">
        <v>13</v>
      </c>
      <c r="EF57" s="70">
        <v>0</v>
      </c>
      <c r="EG57" s="71">
        <v>0</v>
      </c>
      <c r="EH57" s="71">
        <v>0</v>
      </c>
      <c r="EI57" s="71">
        <v>0</v>
      </c>
      <c r="EJ57" s="71">
        <v>0</v>
      </c>
      <c r="EK57" s="72">
        <v>0</v>
      </c>
      <c r="EL57" s="73">
        <f>SUM(EF57:EK57)</f>
        <v>0</v>
      </c>
      <c r="EM57" s="143">
        <v>0</v>
      </c>
      <c r="EN57" s="111"/>
      <c r="EO57" s="146"/>
      <c r="EP57" s="56" t="s">
        <v>16</v>
      </c>
      <c r="EQ57" s="57" t="s">
        <v>13</v>
      </c>
      <c r="ER57" s="80">
        <f t="shared" si="172"/>
        <v>0</v>
      </c>
      <c r="ES57" s="81">
        <f t="shared" si="173"/>
        <v>0</v>
      </c>
      <c r="ET57" s="81">
        <f t="shared" si="174"/>
        <v>0</v>
      </c>
      <c r="EU57" s="81">
        <f t="shared" si="175"/>
        <v>0</v>
      </c>
      <c r="EV57" s="81">
        <f t="shared" si="176"/>
        <v>0</v>
      </c>
      <c r="EW57" s="82">
        <f t="shared" si="177"/>
        <v>0</v>
      </c>
      <c r="EX57" s="74">
        <f>SUM(ER57:EW57)</f>
        <v>0</v>
      </c>
      <c r="EY57" s="143">
        <f>SUM(EM57)</f>
        <v>0</v>
      </c>
      <c r="EZ57" s="60"/>
    </row>
    <row r="58" spans="1:156" ht="15.95" customHeight="1" thickBot="1" x14ac:dyDescent="0.25">
      <c r="A58" s="146"/>
      <c r="B58" s="58" t="s">
        <v>14</v>
      </c>
      <c r="C58" s="59" t="s">
        <v>15</v>
      </c>
      <c r="D58" s="75">
        <v>0</v>
      </c>
      <c r="E58" s="76">
        <v>0</v>
      </c>
      <c r="F58" s="76">
        <v>0</v>
      </c>
      <c r="G58" s="76">
        <v>0</v>
      </c>
      <c r="H58" s="76">
        <v>0</v>
      </c>
      <c r="I58" s="77">
        <v>0</v>
      </c>
      <c r="J58" s="78">
        <f>SUM(D58:I58)</f>
        <v>0</v>
      </c>
      <c r="K58" s="144"/>
      <c r="L58" s="111"/>
      <c r="M58" s="146"/>
      <c r="N58" s="58" t="s">
        <v>14</v>
      </c>
      <c r="O58" s="59" t="s">
        <v>15</v>
      </c>
      <c r="P58" s="75">
        <v>0</v>
      </c>
      <c r="Q58" s="76">
        <v>0</v>
      </c>
      <c r="R58" s="76">
        <v>0</v>
      </c>
      <c r="S58" s="76">
        <v>0</v>
      </c>
      <c r="T58" s="76">
        <v>0</v>
      </c>
      <c r="U58" s="77">
        <v>0</v>
      </c>
      <c r="V58" s="78">
        <f>SUM(P58:U58)</f>
        <v>0</v>
      </c>
      <c r="W58" s="144"/>
      <c r="X58" s="111"/>
      <c r="Y58" s="146"/>
      <c r="Z58" s="58" t="s">
        <v>14</v>
      </c>
      <c r="AA58" s="59" t="s">
        <v>15</v>
      </c>
      <c r="AB58" s="75">
        <v>0</v>
      </c>
      <c r="AC58" s="76">
        <v>0</v>
      </c>
      <c r="AD58" s="76">
        <v>0</v>
      </c>
      <c r="AE58" s="76">
        <v>0</v>
      </c>
      <c r="AF58" s="76">
        <v>0</v>
      </c>
      <c r="AG58" s="77">
        <v>0</v>
      </c>
      <c r="AH58" s="78">
        <f>SUM(AB58:AG58)</f>
        <v>0</v>
      </c>
      <c r="AI58" s="144"/>
      <c r="AJ58" s="111"/>
      <c r="AK58" s="146"/>
      <c r="AL58" s="58" t="s">
        <v>14</v>
      </c>
      <c r="AM58" s="59" t="s">
        <v>15</v>
      </c>
      <c r="AN58" s="75">
        <v>0</v>
      </c>
      <c r="AO58" s="76">
        <v>0</v>
      </c>
      <c r="AP58" s="76">
        <v>0</v>
      </c>
      <c r="AQ58" s="76">
        <v>0</v>
      </c>
      <c r="AR58" s="76">
        <v>0</v>
      </c>
      <c r="AS58" s="77">
        <v>0</v>
      </c>
      <c r="AT58" s="78">
        <f>SUM(AN58:AS58)</f>
        <v>0</v>
      </c>
      <c r="AU58" s="144"/>
      <c r="AV58" s="111"/>
      <c r="AW58" s="146"/>
      <c r="AX58" s="58" t="s">
        <v>14</v>
      </c>
      <c r="AY58" s="59" t="s">
        <v>15</v>
      </c>
      <c r="AZ58" s="75">
        <v>0</v>
      </c>
      <c r="BA58" s="76">
        <v>0</v>
      </c>
      <c r="BB58" s="76">
        <v>0</v>
      </c>
      <c r="BC58" s="76">
        <v>0</v>
      </c>
      <c r="BD58" s="76">
        <v>0</v>
      </c>
      <c r="BE58" s="77">
        <v>0</v>
      </c>
      <c r="BF58" s="78">
        <f>SUM(AZ58:BE58)</f>
        <v>0</v>
      </c>
      <c r="BG58" s="144"/>
      <c r="BH58" s="111"/>
      <c r="BI58" s="146"/>
      <c r="BJ58" s="58" t="s">
        <v>14</v>
      </c>
      <c r="BK58" s="59" t="s">
        <v>15</v>
      </c>
      <c r="BL58" s="75">
        <v>0</v>
      </c>
      <c r="BM58" s="76">
        <v>0</v>
      </c>
      <c r="BN58" s="76">
        <v>0</v>
      </c>
      <c r="BO58" s="76">
        <v>0</v>
      </c>
      <c r="BP58" s="76">
        <v>0</v>
      </c>
      <c r="BQ58" s="77">
        <v>0</v>
      </c>
      <c r="BR58" s="78">
        <f>SUM(BL58:BQ58)</f>
        <v>0</v>
      </c>
      <c r="BS58" s="144"/>
      <c r="BT58" s="111"/>
      <c r="BU58" s="146"/>
      <c r="BV58" s="58" t="s">
        <v>14</v>
      </c>
      <c r="BW58" s="59" t="s">
        <v>15</v>
      </c>
      <c r="BX58" s="75">
        <v>0</v>
      </c>
      <c r="BY58" s="76">
        <v>0</v>
      </c>
      <c r="BZ58" s="76">
        <v>0</v>
      </c>
      <c r="CA58" s="76">
        <v>0</v>
      </c>
      <c r="CB58" s="76">
        <v>0</v>
      </c>
      <c r="CC58" s="77">
        <v>0</v>
      </c>
      <c r="CD58" s="78">
        <f>SUM(BX58:CC58)</f>
        <v>0</v>
      </c>
      <c r="CE58" s="144"/>
      <c r="CF58" s="111"/>
      <c r="CG58" s="146"/>
      <c r="CH58" s="58" t="s">
        <v>14</v>
      </c>
      <c r="CI58" s="59" t="s">
        <v>15</v>
      </c>
      <c r="CJ58" s="75">
        <v>0</v>
      </c>
      <c r="CK58" s="76">
        <v>0</v>
      </c>
      <c r="CL58" s="76">
        <v>0</v>
      </c>
      <c r="CM58" s="76">
        <v>0</v>
      </c>
      <c r="CN58" s="76">
        <v>0</v>
      </c>
      <c r="CO58" s="77">
        <v>0</v>
      </c>
      <c r="CP58" s="78">
        <f>SUM(CJ58:CO58)</f>
        <v>0</v>
      </c>
      <c r="CQ58" s="144"/>
      <c r="CR58" s="111"/>
      <c r="CS58" s="146"/>
      <c r="CT58" s="58" t="s">
        <v>14</v>
      </c>
      <c r="CU58" s="59" t="s">
        <v>15</v>
      </c>
      <c r="CV58" s="75">
        <v>0</v>
      </c>
      <c r="CW58" s="76">
        <v>0</v>
      </c>
      <c r="CX58" s="76">
        <v>0</v>
      </c>
      <c r="CY58" s="76">
        <v>0</v>
      </c>
      <c r="CZ58" s="76">
        <v>0</v>
      </c>
      <c r="DA58" s="77">
        <v>0</v>
      </c>
      <c r="DB58" s="78">
        <f>SUM(CV58:DA58)</f>
        <v>0</v>
      </c>
      <c r="DC58" s="144"/>
      <c r="DD58" s="111"/>
      <c r="DE58" s="146"/>
      <c r="DF58" s="58" t="s">
        <v>14</v>
      </c>
      <c r="DG58" s="59" t="s">
        <v>15</v>
      </c>
      <c r="DH58" s="75">
        <v>0</v>
      </c>
      <c r="DI58" s="76">
        <v>0</v>
      </c>
      <c r="DJ58" s="76">
        <v>0</v>
      </c>
      <c r="DK58" s="76">
        <v>0</v>
      </c>
      <c r="DL58" s="76">
        <v>0</v>
      </c>
      <c r="DM58" s="77">
        <v>0</v>
      </c>
      <c r="DN58" s="78">
        <f>SUM(DH58:DM58)</f>
        <v>0</v>
      </c>
      <c r="DO58" s="144"/>
      <c r="DP58" s="111"/>
      <c r="DQ58" s="146"/>
      <c r="DR58" s="58" t="s">
        <v>14</v>
      </c>
      <c r="DS58" s="59" t="s">
        <v>15</v>
      </c>
      <c r="DT58" s="75">
        <v>0</v>
      </c>
      <c r="DU58" s="76">
        <v>0</v>
      </c>
      <c r="DV58" s="76">
        <v>0</v>
      </c>
      <c r="DW58" s="76">
        <v>0</v>
      </c>
      <c r="DX58" s="76">
        <v>0</v>
      </c>
      <c r="DY58" s="77">
        <v>0</v>
      </c>
      <c r="DZ58" s="78">
        <f>SUM(DT58:DY58)</f>
        <v>0</v>
      </c>
      <c r="EA58" s="144"/>
      <c r="EB58" s="111"/>
      <c r="EC58" s="146"/>
      <c r="ED58" s="58" t="s">
        <v>14</v>
      </c>
      <c r="EE58" s="59" t="s">
        <v>15</v>
      </c>
      <c r="EF58" s="75">
        <v>0</v>
      </c>
      <c r="EG58" s="76">
        <v>0</v>
      </c>
      <c r="EH58" s="76">
        <v>0</v>
      </c>
      <c r="EI58" s="76">
        <v>0</v>
      </c>
      <c r="EJ58" s="76">
        <v>0</v>
      </c>
      <c r="EK58" s="77">
        <v>0</v>
      </c>
      <c r="EL58" s="78">
        <f>SUM(EF58:EK58)</f>
        <v>0</v>
      </c>
      <c r="EM58" s="144"/>
      <c r="EN58" s="111"/>
      <c r="EO58" s="146"/>
      <c r="EP58" s="58" t="s">
        <v>14</v>
      </c>
      <c r="EQ58" s="59" t="s">
        <v>15</v>
      </c>
      <c r="ER58" s="75">
        <f t="shared" si="172"/>
        <v>0</v>
      </c>
      <c r="ES58" s="76">
        <f t="shared" si="173"/>
        <v>0</v>
      </c>
      <c r="ET58" s="76">
        <f t="shared" si="174"/>
        <v>0</v>
      </c>
      <c r="EU58" s="76">
        <f t="shared" si="175"/>
        <v>0</v>
      </c>
      <c r="EV58" s="76">
        <f t="shared" si="176"/>
        <v>0</v>
      </c>
      <c r="EW58" s="77">
        <f t="shared" si="177"/>
        <v>0</v>
      </c>
      <c r="EX58" s="79">
        <f>SUM(ER58:EW58)</f>
        <v>0</v>
      </c>
      <c r="EY58" s="144"/>
      <c r="EZ58" s="60"/>
    </row>
    <row r="59" spans="1:156" ht="15" customHeight="1" thickBot="1" x14ac:dyDescent="0.25">
      <c r="A59" s="147"/>
      <c r="B59" s="150" t="s">
        <v>17</v>
      </c>
      <c r="C59" s="151"/>
      <c r="D59" s="83">
        <f t="shared" ref="D59:K59" si="178">SUM(D55:D58)</f>
        <v>0</v>
      </c>
      <c r="E59" s="84">
        <f t="shared" si="178"/>
        <v>0</v>
      </c>
      <c r="F59" s="84">
        <f t="shared" si="178"/>
        <v>0</v>
      </c>
      <c r="G59" s="84">
        <f t="shared" si="178"/>
        <v>0</v>
      </c>
      <c r="H59" s="84">
        <f t="shared" si="178"/>
        <v>0</v>
      </c>
      <c r="I59" s="85">
        <f t="shared" si="178"/>
        <v>0</v>
      </c>
      <c r="J59" s="1">
        <f t="shared" si="178"/>
        <v>0</v>
      </c>
      <c r="K59" s="86">
        <f t="shared" si="178"/>
        <v>0</v>
      </c>
      <c r="L59" s="111"/>
      <c r="M59" s="147"/>
      <c r="N59" s="150" t="s">
        <v>17</v>
      </c>
      <c r="O59" s="151"/>
      <c r="P59" s="83">
        <f t="shared" ref="P59:W59" si="179">SUM(P55:P58)</f>
        <v>0</v>
      </c>
      <c r="Q59" s="84">
        <f t="shared" si="179"/>
        <v>0</v>
      </c>
      <c r="R59" s="84">
        <f t="shared" si="179"/>
        <v>0</v>
      </c>
      <c r="S59" s="84">
        <f t="shared" si="179"/>
        <v>0</v>
      </c>
      <c r="T59" s="84">
        <f t="shared" si="179"/>
        <v>0</v>
      </c>
      <c r="U59" s="85">
        <f t="shared" si="179"/>
        <v>0</v>
      </c>
      <c r="V59" s="1">
        <f t="shared" si="179"/>
        <v>0</v>
      </c>
      <c r="W59" s="86">
        <f t="shared" si="179"/>
        <v>0</v>
      </c>
      <c r="X59" s="111"/>
      <c r="Y59" s="147"/>
      <c r="Z59" s="150" t="s">
        <v>17</v>
      </c>
      <c r="AA59" s="151"/>
      <c r="AB59" s="83">
        <f t="shared" ref="AB59:AI59" si="180">SUM(AB55:AB58)</f>
        <v>0</v>
      </c>
      <c r="AC59" s="84">
        <f t="shared" si="180"/>
        <v>0</v>
      </c>
      <c r="AD59" s="84">
        <f t="shared" si="180"/>
        <v>0</v>
      </c>
      <c r="AE59" s="84">
        <f t="shared" si="180"/>
        <v>0</v>
      </c>
      <c r="AF59" s="84">
        <f t="shared" si="180"/>
        <v>0</v>
      </c>
      <c r="AG59" s="85">
        <f t="shared" si="180"/>
        <v>0</v>
      </c>
      <c r="AH59" s="1">
        <f t="shared" si="180"/>
        <v>0</v>
      </c>
      <c r="AI59" s="86">
        <f t="shared" si="180"/>
        <v>0</v>
      </c>
      <c r="AJ59" s="111"/>
      <c r="AK59" s="147"/>
      <c r="AL59" s="150" t="s">
        <v>17</v>
      </c>
      <c r="AM59" s="151"/>
      <c r="AN59" s="83">
        <f t="shared" ref="AN59:AU59" si="181">SUM(AN55:AN58)</f>
        <v>0</v>
      </c>
      <c r="AO59" s="84">
        <f t="shared" si="181"/>
        <v>0</v>
      </c>
      <c r="AP59" s="84">
        <f t="shared" si="181"/>
        <v>0</v>
      </c>
      <c r="AQ59" s="84">
        <f t="shared" si="181"/>
        <v>0</v>
      </c>
      <c r="AR59" s="84">
        <f t="shared" si="181"/>
        <v>0</v>
      </c>
      <c r="AS59" s="85">
        <f t="shared" si="181"/>
        <v>0</v>
      </c>
      <c r="AT59" s="1">
        <f t="shared" si="181"/>
        <v>0</v>
      </c>
      <c r="AU59" s="86">
        <f t="shared" si="181"/>
        <v>0</v>
      </c>
      <c r="AV59" s="111"/>
      <c r="AW59" s="147"/>
      <c r="AX59" s="150" t="s">
        <v>17</v>
      </c>
      <c r="AY59" s="151"/>
      <c r="AZ59" s="83">
        <f t="shared" ref="AZ59:BE59" si="182">SUM(AZ55:AZ58)</f>
        <v>0</v>
      </c>
      <c r="BA59" s="84">
        <f t="shared" si="182"/>
        <v>0</v>
      </c>
      <c r="BB59" s="84">
        <f t="shared" si="182"/>
        <v>0</v>
      </c>
      <c r="BC59" s="84">
        <f t="shared" si="182"/>
        <v>0</v>
      </c>
      <c r="BD59" s="84">
        <f t="shared" si="182"/>
        <v>0</v>
      </c>
      <c r="BE59" s="85">
        <f t="shared" si="182"/>
        <v>0</v>
      </c>
      <c r="BF59" s="1">
        <f t="shared" ref="BF59:BG59" si="183">SUM(BF55:BF58)</f>
        <v>0</v>
      </c>
      <c r="BG59" s="86">
        <f t="shared" si="183"/>
        <v>0</v>
      </c>
      <c r="BH59" s="111"/>
      <c r="BI59" s="147"/>
      <c r="BJ59" s="150" t="s">
        <v>17</v>
      </c>
      <c r="BK59" s="151"/>
      <c r="BL59" s="83">
        <f t="shared" ref="BL59:BS59" si="184">SUM(BL55:BL58)</f>
        <v>0</v>
      </c>
      <c r="BM59" s="84">
        <f t="shared" si="184"/>
        <v>0</v>
      </c>
      <c r="BN59" s="84">
        <f t="shared" si="184"/>
        <v>0</v>
      </c>
      <c r="BO59" s="84">
        <f t="shared" si="184"/>
        <v>0</v>
      </c>
      <c r="BP59" s="84">
        <f t="shared" si="184"/>
        <v>0</v>
      </c>
      <c r="BQ59" s="85">
        <f t="shared" si="184"/>
        <v>0</v>
      </c>
      <c r="BR59" s="1">
        <f t="shared" si="184"/>
        <v>0</v>
      </c>
      <c r="BS59" s="86">
        <f t="shared" si="184"/>
        <v>0</v>
      </c>
      <c r="BT59" s="111"/>
      <c r="BU59" s="147"/>
      <c r="BV59" s="150" t="s">
        <v>17</v>
      </c>
      <c r="BW59" s="151"/>
      <c r="BX59" s="83">
        <f t="shared" ref="BX59:CE59" si="185">SUM(BX55:BX58)</f>
        <v>0</v>
      </c>
      <c r="BY59" s="84">
        <f t="shared" si="185"/>
        <v>0</v>
      </c>
      <c r="BZ59" s="84">
        <f t="shared" si="185"/>
        <v>0</v>
      </c>
      <c r="CA59" s="84">
        <f t="shared" si="185"/>
        <v>0</v>
      </c>
      <c r="CB59" s="84">
        <f t="shared" si="185"/>
        <v>0</v>
      </c>
      <c r="CC59" s="85">
        <f t="shared" si="185"/>
        <v>0</v>
      </c>
      <c r="CD59" s="1">
        <f t="shared" si="185"/>
        <v>0</v>
      </c>
      <c r="CE59" s="86">
        <f t="shared" si="185"/>
        <v>0</v>
      </c>
      <c r="CF59" s="111"/>
      <c r="CG59" s="147"/>
      <c r="CH59" s="150" t="s">
        <v>17</v>
      </c>
      <c r="CI59" s="151"/>
      <c r="CJ59" s="83">
        <f t="shared" ref="CJ59:CQ59" si="186">SUM(CJ55:CJ58)</f>
        <v>0</v>
      </c>
      <c r="CK59" s="84">
        <f t="shared" si="186"/>
        <v>0</v>
      </c>
      <c r="CL59" s="84">
        <f t="shared" si="186"/>
        <v>0</v>
      </c>
      <c r="CM59" s="84">
        <f t="shared" si="186"/>
        <v>0</v>
      </c>
      <c r="CN59" s="84">
        <f t="shared" si="186"/>
        <v>0</v>
      </c>
      <c r="CO59" s="85">
        <f t="shared" si="186"/>
        <v>0</v>
      </c>
      <c r="CP59" s="1">
        <f t="shared" si="186"/>
        <v>0</v>
      </c>
      <c r="CQ59" s="86">
        <f t="shared" si="186"/>
        <v>0</v>
      </c>
      <c r="CR59" s="111"/>
      <c r="CS59" s="147"/>
      <c r="CT59" s="150" t="s">
        <v>17</v>
      </c>
      <c r="CU59" s="151"/>
      <c r="CV59" s="83">
        <f t="shared" ref="CV59:DC59" si="187">SUM(CV55:CV58)</f>
        <v>0</v>
      </c>
      <c r="CW59" s="84">
        <f t="shared" si="187"/>
        <v>0</v>
      </c>
      <c r="CX59" s="84">
        <f t="shared" si="187"/>
        <v>0</v>
      </c>
      <c r="CY59" s="84">
        <f t="shared" si="187"/>
        <v>0</v>
      </c>
      <c r="CZ59" s="84">
        <f t="shared" si="187"/>
        <v>0</v>
      </c>
      <c r="DA59" s="85">
        <f t="shared" si="187"/>
        <v>0</v>
      </c>
      <c r="DB59" s="1">
        <f t="shared" si="187"/>
        <v>0</v>
      </c>
      <c r="DC59" s="86">
        <f t="shared" si="187"/>
        <v>0</v>
      </c>
      <c r="DD59" s="111"/>
      <c r="DE59" s="147"/>
      <c r="DF59" s="150" t="s">
        <v>17</v>
      </c>
      <c r="DG59" s="151"/>
      <c r="DH59" s="83">
        <f t="shared" ref="DH59:DO59" si="188">SUM(DH55:DH58)</f>
        <v>0</v>
      </c>
      <c r="DI59" s="84">
        <f t="shared" si="188"/>
        <v>0</v>
      </c>
      <c r="DJ59" s="84">
        <f t="shared" si="188"/>
        <v>0</v>
      </c>
      <c r="DK59" s="84">
        <f t="shared" si="188"/>
        <v>0</v>
      </c>
      <c r="DL59" s="84">
        <f t="shared" si="188"/>
        <v>0</v>
      </c>
      <c r="DM59" s="85">
        <f t="shared" si="188"/>
        <v>0</v>
      </c>
      <c r="DN59" s="1">
        <f t="shared" si="188"/>
        <v>0</v>
      </c>
      <c r="DO59" s="86">
        <f t="shared" si="188"/>
        <v>0</v>
      </c>
      <c r="DP59" s="111"/>
      <c r="DQ59" s="147"/>
      <c r="DR59" s="150" t="s">
        <v>17</v>
      </c>
      <c r="DS59" s="151"/>
      <c r="DT59" s="83">
        <f t="shared" ref="DT59:EA59" si="189">SUM(DT55:DT58)</f>
        <v>0</v>
      </c>
      <c r="DU59" s="84">
        <f t="shared" si="189"/>
        <v>0</v>
      </c>
      <c r="DV59" s="84">
        <f t="shared" si="189"/>
        <v>0</v>
      </c>
      <c r="DW59" s="84">
        <f t="shared" si="189"/>
        <v>0</v>
      </c>
      <c r="DX59" s="84">
        <f t="shared" si="189"/>
        <v>0</v>
      </c>
      <c r="DY59" s="85">
        <f t="shared" si="189"/>
        <v>0</v>
      </c>
      <c r="DZ59" s="1">
        <f t="shared" si="189"/>
        <v>0</v>
      </c>
      <c r="EA59" s="86">
        <f t="shared" si="189"/>
        <v>0</v>
      </c>
      <c r="EB59" s="111"/>
      <c r="EC59" s="147"/>
      <c r="ED59" s="150" t="s">
        <v>17</v>
      </c>
      <c r="EE59" s="151"/>
      <c r="EF59" s="83">
        <f t="shared" ref="EF59:EM59" si="190">SUM(EF55:EF58)</f>
        <v>0</v>
      </c>
      <c r="EG59" s="84">
        <f t="shared" si="190"/>
        <v>0</v>
      </c>
      <c r="EH59" s="84">
        <f t="shared" si="190"/>
        <v>0</v>
      </c>
      <c r="EI59" s="84">
        <f t="shared" si="190"/>
        <v>0</v>
      </c>
      <c r="EJ59" s="84">
        <f t="shared" si="190"/>
        <v>0</v>
      </c>
      <c r="EK59" s="85">
        <f t="shared" si="190"/>
        <v>0</v>
      </c>
      <c r="EL59" s="1">
        <f t="shared" si="190"/>
        <v>0</v>
      </c>
      <c r="EM59" s="86">
        <f t="shared" si="190"/>
        <v>0</v>
      </c>
      <c r="EN59" s="111"/>
      <c r="EO59" s="147"/>
      <c r="EP59" s="107" t="s">
        <v>17</v>
      </c>
      <c r="EQ59" s="108"/>
      <c r="ER59" s="83">
        <f t="shared" ref="ER59:EY59" si="191">SUM(ER55:ER58)</f>
        <v>0</v>
      </c>
      <c r="ES59" s="84">
        <f t="shared" si="191"/>
        <v>0</v>
      </c>
      <c r="ET59" s="84">
        <f t="shared" si="191"/>
        <v>0</v>
      </c>
      <c r="EU59" s="84">
        <f t="shared" si="191"/>
        <v>0</v>
      </c>
      <c r="EV59" s="84">
        <f t="shared" si="191"/>
        <v>0</v>
      </c>
      <c r="EW59" s="85">
        <f t="shared" si="191"/>
        <v>0</v>
      </c>
      <c r="EX59" s="1">
        <f t="shared" si="191"/>
        <v>0</v>
      </c>
      <c r="EY59" s="86">
        <f t="shared" si="191"/>
        <v>0</v>
      </c>
      <c r="EZ59" s="60"/>
    </row>
    <row r="60" spans="1:156" ht="15.95" customHeight="1" x14ac:dyDescent="0.2">
      <c r="A60" s="145"/>
      <c r="B60" s="152" t="s">
        <v>14</v>
      </c>
      <c r="C60" s="53" t="s">
        <v>13</v>
      </c>
      <c r="D60" s="70">
        <v>0</v>
      </c>
      <c r="E60" s="71">
        <v>0</v>
      </c>
      <c r="F60" s="71">
        <v>0</v>
      </c>
      <c r="G60" s="71">
        <v>0</v>
      </c>
      <c r="H60" s="71">
        <v>0</v>
      </c>
      <c r="I60" s="72">
        <v>0</v>
      </c>
      <c r="J60" s="73">
        <f>SUM(D60:I60)</f>
        <v>0</v>
      </c>
      <c r="K60" s="143">
        <v>0</v>
      </c>
      <c r="L60" s="111"/>
      <c r="M60" s="145">
        <f>A60</f>
        <v>0</v>
      </c>
      <c r="N60" s="152" t="s">
        <v>14</v>
      </c>
      <c r="O60" s="53" t="s">
        <v>13</v>
      </c>
      <c r="P60" s="70">
        <v>0</v>
      </c>
      <c r="Q60" s="71">
        <v>0</v>
      </c>
      <c r="R60" s="71">
        <v>0</v>
      </c>
      <c r="S60" s="71">
        <v>0</v>
      </c>
      <c r="T60" s="71">
        <v>0</v>
      </c>
      <c r="U60" s="72">
        <v>0</v>
      </c>
      <c r="V60" s="73">
        <f>SUM(P60:U60)</f>
        <v>0</v>
      </c>
      <c r="W60" s="143">
        <v>0</v>
      </c>
      <c r="X60" s="111"/>
      <c r="Y60" s="145">
        <f>M60</f>
        <v>0</v>
      </c>
      <c r="Z60" s="152" t="s">
        <v>14</v>
      </c>
      <c r="AA60" s="53" t="s">
        <v>13</v>
      </c>
      <c r="AB60" s="70">
        <v>0</v>
      </c>
      <c r="AC60" s="71">
        <v>0</v>
      </c>
      <c r="AD60" s="71">
        <v>0</v>
      </c>
      <c r="AE60" s="71">
        <v>0</v>
      </c>
      <c r="AF60" s="71">
        <v>0</v>
      </c>
      <c r="AG60" s="72">
        <v>0</v>
      </c>
      <c r="AH60" s="73">
        <f>SUM(AB60:AG60)</f>
        <v>0</v>
      </c>
      <c r="AI60" s="143">
        <v>0</v>
      </c>
      <c r="AJ60" s="111"/>
      <c r="AK60" s="145">
        <f>Y60</f>
        <v>0</v>
      </c>
      <c r="AL60" s="152" t="s">
        <v>14</v>
      </c>
      <c r="AM60" s="53" t="s">
        <v>13</v>
      </c>
      <c r="AN60" s="70">
        <v>0</v>
      </c>
      <c r="AO60" s="71">
        <v>0</v>
      </c>
      <c r="AP60" s="71">
        <v>0</v>
      </c>
      <c r="AQ60" s="71">
        <v>0</v>
      </c>
      <c r="AR60" s="71">
        <v>0</v>
      </c>
      <c r="AS60" s="72">
        <v>0</v>
      </c>
      <c r="AT60" s="73">
        <f>SUM(AN60:AS60)</f>
        <v>0</v>
      </c>
      <c r="AU60" s="143">
        <v>0</v>
      </c>
      <c r="AV60" s="111"/>
      <c r="AW60" s="145">
        <f>AK60</f>
        <v>0</v>
      </c>
      <c r="AX60" s="152" t="s">
        <v>14</v>
      </c>
      <c r="AY60" s="53" t="s">
        <v>13</v>
      </c>
      <c r="AZ60" s="70">
        <v>0</v>
      </c>
      <c r="BA60" s="71">
        <v>0</v>
      </c>
      <c r="BB60" s="71">
        <v>0</v>
      </c>
      <c r="BC60" s="71">
        <v>0</v>
      </c>
      <c r="BD60" s="71">
        <v>0</v>
      </c>
      <c r="BE60" s="72">
        <v>0</v>
      </c>
      <c r="BF60" s="73">
        <f>SUM(AZ60:BE60)</f>
        <v>0</v>
      </c>
      <c r="BG60" s="143">
        <v>0</v>
      </c>
      <c r="BH60" s="111"/>
      <c r="BI60" s="145">
        <f>AW60</f>
        <v>0</v>
      </c>
      <c r="BJ60" s="152" t="s">
        <v>14</v>
      </c>
      <c r="BK60" s="53" t="s">
        <v>13</v>
      </c>
      <c r="BL60" s="70">
        <v>0</v>
      </c>
      <c r="BM60" s="71">
        <v>0</v>
      </c>
      <c r="BN60" s="71">
        <v>0</v>
      </c>
      <c r="BO60" s="71">
        <v>0</v>
      </c>
      <c r="BP60" s="71">
        <v>0</v>
      </c>
      <c r="BQ60" s="72">
        <v>0</v>
      </c>
      <c r="BR60" s="73">
        <f>SUM(BL60:BQ60)</f>
        <v>0</v>
      </c>
      <c r="BS60" s="143">
        <v>0</v>
      </c>
      <c r="BT60" s="111"/>
      <c r="BU60" s="145">
        <f>BI60</f>
        <v>0</v>
      </c>
      <c r="BV60" s="152" t="s">
        <v>14</v>
      </c>
      <c r="BW60" s="53" t="s">
        <v>13</v>
      </c>
      <c r="BX60" s="70">
        <v>0</v>
      </c>
      <c r="BY60" s="71">
        <v>0</v>
      </c>
      <c r="BZ60" s="71">
        <v>0</v>
      </c>
      <c r="CA60" s="71">
        <v>0</v>
      </c>
      <c r="CB60" s="71">
        <v>0</v>
      </c>
      <c r="CC60" s="72">
        <v>0</v>
      </c>
      <c r="CD60" s="73">
        <f>SUM(BX60:CC60)</f>
        <v>0</v>
      </c>
      <c r="CE60" s="143">
        <v>0</v>
      </c>
      <c r="CF60" s="111"/>
      <c r="CG60" s="145">
        <f>BU60</f>
        <v>0</v>
      </c>
      <c r="CH60" s="152" t="s">
        <v>14</v>
      </c>
      <c r="CI60" s="53" t="s">
        <v>13</v>
      </c>
      <c r="CJ60" s="70">
        <v>0</v>
      </c>
      <c r="CK60" s="71">
        <v>0</v>
      </c>
      <c r="CL60" s="71">
        <v>0</v>
      </c>
      <c r="CM60" s="71">
        <v>0</v>
      </c>
      <c r="CN60" s="71">
        <v>0</v>
      </c>
      <c r="CO60" s="72">
        <v>0</v>
      </c>
      <c r="CP60" s="73">
        <f>SUM(CJ60:CO60)</f>
        <v>0</v>
      </c>
      <c r="CQ60" s="143">
        <v>0</v>
      </c>
      <c r="CR60" s="111"/>
      <c r="CS60" s="145">
        <f>CG60</f>
        <v>0</v>
      </c>
      <c r="CT60" s="152" t="s">
        <v>14</v>
      </c>
      <c r="CU60" s="53" t="s">
        <v>13</v>
      </c>
      <c r="CV60" s="70">
        <v>0</v>
      </c>
      <c r="CW60" s="71">
        <v>0</v>
      </c>
      <c r="CX60" s="71">
        <v>0</v>
      </c>
      <c r="CY60" s="71">
        <v>0</v>
      </c>
      <c r="CZ60" s="71">
        <v>0</v>
      </c>
      <c r="DA60" s="72">
        <v>0</v>
      </c>
      <c r="DB60" s="73">
        <f>SUM(CV60:DA60)</f>
        <v>0</v>
      </c>
      <c r="DC60" s="143">
        <v>0</v>
      </c>
      <c r="DD60" s="111"/>
      <c r="DE60" s="145">
        <f>CS60</f>
        <v>0</v>
      </c>
      <c r="DF60" s="152" t="s">
        <v>14</v>
      </c>
      <c r="DG60" s="53" t="s">
        <v>13</v>
      </c>
      <c r="DH60" s="70">
        <v>0</v>
      </c>
      <c r="DI60" s="71">
        <v>0</v>
      </c>
      <c r="DJ60" s="71">
        <v>0</v>
      </c>
      <c r="DK60" s="71">
        <v>0</v>
      </c>
      <c r="DL60" s="71">
        <v>0</v>
      </c>
      <c r="DM60" s="72">
        <v>0</v>
      </c>
      <c r="DN60" s="73">
        <f>SUM(DH60:DM60)</f>
        <v>0</v>
      </c>
      <c r="DO60" s="143">
        <v>0</v>
      </c>
      <c r="DP60" s="111"/>
      <c r="DQ60" s="145">
        <f>DE60</f>
        <v>0</v>
      </c>
      <c r="DR60" s="152" t="s">
        <v>14</v>
      </c>
      <c r="DS60" s="53" t="s">
        <v>13</v>
      </c>
      <c r="DT60" s="70">
        <v>0</v>
      </c>
      <c r="DU60" s="71">
        <v>0</v>
      </c>
      <c r="DV60" s="71">
        <v>0</v>
      </c>
      <c r="DW60" s="71">
        <v>0</v>
      </c>
      <c r="DX60" s="71">
        <v>0</v>
      </c>
      <c r="DY60" s="72">
        <v>0</v>
      </c>
      <c r="DZ60" s="73">
        <f>SUM(DT60:DY60)</f>
        <v>0</v>
      </c>
      <c r="EA60" s="143">
        <v>0</v>
      </c>
      <c r="EB60" s="111"/>
      <c r="EC60" s="145">
        <f>DQ60</f>
        <v>0</v>
      </c>
      <c r="ED60" s="152" t="s">
        <v>14</v>
      </c>
      <c r="EE60" s="53" t="s">
        <v>13</v>
      </c>
      <c r="EF60" s="70">
        <v>0</v>
      </c>
      <c r="EG60" s="71">
        <v>0</v>
      </c>
      <c r="EH60" s="71">
        <v>0</v>
      </c>
      <c r="EI60" s="71">
        <v>0</v>
      </c>
      <c r="EJ60" s="71">
        <v>0</v>
      </c>
      <c r="EK60" s="72">
        <v>0</v>
      </c>
      <c r="EL60" s="73">
        <f>SUM(EF60:EK60)</f>
        <v>0</v>
      </c>
      <c r="EM60" s="143">
        <v>0</v>
      </c>
      <c r="EN60" s="111"/>
      <c r="EO60" s="145">
        <f t="shared" ref="EO60" si="192">EC60</f>
        <v>0</v>
      </c>
      <c r="EP60" s="105" t="s">
        <v>14</v>
      </c>
      <c r="EQ60" s="53" t="s">
        <v>13</v>
      </c>
      <c r="ER60" s="70">
        <f t="shared" ref="ER60:ER63" si="193">SUM(EF60)</f>
        <v>0</v>
      </c>
      <c r="ES60" s="71">
        <f t="shared" ref="ES60:ES63" si="194">SUM(EG60)</f>
        <v>0</v>
      </c>
      <c r="ET60" s="71">
        <f t="shared" ref="ET60:ET63" si="195">SUM(EH60)</f>
        <v>0</v>
      </c>
      <c r="EU60" s="71">
        <f t="shared" ref="EU60:EU63" si="196">SUM(EI60)</f>
        <v>0</v>
      </c>
      <c r="EV60" s="71">
        <f t="shared" ref="EV60:EV63" si="197">SUM(EJ60)</f>
        <v>0</v>
      </c>
      <c r="EW60" s="72">
        <f t="shared" ref="EW60:EW63" si="198">SUM(EK60)</f>
        <v>0</v>
      </c>
      <c r="EX60" s="74">
        <f>SUM(ER60:EW60)</f>
        <v>0</v>
      </c>
      <c r="EY60" s="143">
        <f>SUM(EM60)</f>
        <v>0</v>
      </c>
      <c r="EZ60" s="60"/>
    </row>
    <row r="61" spans="1:156" ht="15.95" customHeight="1" thickBot="1" x14ac:dyDescent="0.25">
      <c r="A61" s="146"/>
      <c r="B61" s="153"/>
      <c r="C61" s="55" t="s">
        <v>15</v>
      </c>
      <c r="D61" s="75">
        <v>0</v>
      </c>
      <c r="E61" s="76">
        <v>0</v>
      </c>
      <c r="F61" s="76">
        <v>0</v>
      </c>
      <c r="G61" s="76">
        <v>0</v>
      </c>
      <c r="H61" s="76">
        <v>0</v>
      </c>
      <c r="I61" s="77">
        <v>0</v>
      </c>
      <c r="J61" s="78">
        <f>SUM(D61:I61)</f>
        <v>0</v>
      </c>
      <c r="K61" s="144"/>
      <c r="L61" s="111"/>
      <c r="M61" s="146"/>
      <c r="N61" s="153"/>
      <c r="O61" s="55" t="s">
        <v>15</v>
      </c>
      <c r="P61" s="75">
        <v>0</v>
      </c>
      <c r="Q61" s="76">
        <v>0</v>
      </c>
      <c r="R61" s="76">
        <v>0</v>
      </c>
      <c r="S61" s="76">
        <v>0</v>
      </c>
      <c r="T61" s="76">
        <v>0</v>
      </c>
      <c r="U61" s="77">
        <v>0</v>
      </c>
      <c r="V61" s="78">
        <f>SUM(P61:U61)</f>
        <v>0</v>
      </c>
      <c r="W61" s="144"/>
      <c r="X61" s="111"/>
      <c r="Y61" s="146"/>
      <c r="Z61" s="153"/>
      <c r="AA61" s="55" t="s">
        <v>15</v>
      </c>
      <c r="AB61" s="75">
        <v>0</v>
      </c>
      <c r="AC61" s="76">
        <v>0</v>
      </c>
      <c r="AD61" s="76">
        <v>0</v>
      </c>
      <c r="AE61" s="76">
        <v>0</v>
      </c>
      <c r="AF61" s="76">
        <v>0</v>
      </c>
      <c r="AG61" s="77">
        <v>0</v>
      </c>
      <c r="AH61" s="78">
        <f>SUM(AB61:AG61)</f>
        <v>0</v>
      </c>
      <c r="AI61" s="144"/>
      <c r="AJ61" s="111"/>
      <c r="AK61" s="146"/>
      <c r="AL61" s="153"/>
      <c r="AM61" s="55" t="s">
        <v>15</v>
      </c>
      <c r="AN61" s="75">
        <v>0</v>
      </c>
      <c r="AO61" s="76">
        <v>0</v>
      </c>
      <c r="AP61" s="76">
        <v>0</v>
      </c>
      <c r="AQ61" s="76">
        <v>0</v>
      </c>
      <c r="AR61" s="76">
        <v>0</v>
      </c>
      <c r="AS61" s="77">
        <v>0</v>
      </c>
      <c r="AT61" s="78">
        <f>SUM(AN61:AS61)</f>
        <v>0</v>
      </c>
      <c r="AU61" s="144"/>
      <c r="AV61" s="111"/>
      <c r="AW61" s="146"/>
      <c r="AX61" s="153"/>
      <c r="AY61" s="55" t="s">
        <v>15</v>
      </c>
      <c r="AZ61" s="75">
        <v>0</v>
      </c>
      <c r="BA61" s="76">
        <v>0</v>
      </c>
      <c r="BB61" s="76">
        <v>0</v>
      </c>
      <c r="BC61" s="76">
        <v>0</v>
      </c>
      <c r="BD61" s="76">
        <v>0</v>
      </c>
      <c r="BE61" s="77">
        <v>0</v>
      </c>
      <c r="BF61" s="78">
        <f>SUM(AZ61:BE61)</f>
        <v>0</v>
      </c>
      <c r="BG61" s="144"/>
      <c r="BH61" s="111"/>
      <c r="BI61" s="146"/>
      <c r="BJ61" s="153"/>
      <c r="BK61" s="55" t="s">
        <v>15</v>
      </c>
      <c r="BL61" s="75">
        <v>0</v>
      </c>
      <c r="BM61" s="76">
        <v>0</v>
      </c>
      <c r="BN61" s="76">
        <v>0</v>
      </c>
      <c r="BO61" s="76">
        <v>0</v>
      </c>
      <c r="BP61" s="76">
        <v>0</v>
      </c>
      <c r="BQ61" s="77">
        <v>0</v>
      </c>
      <c r="BR61" s="78">
        <f>SUM(BL61:BQ61)</f>
        <v>0</v>
      </c>
      <c r="BS61" s="144"/>
      <c r="BT61" s="111"/>
      <c r="BU61" s="146"/>
      <c r="BV61" s="153"/>
      <c r="BW61" s="55" t="s">
        <v>15</v>
      </c>
      <c r="BX61" s="75">
        <v>0</v>
      </c>
      <c r="BY61" s="76">
        <v>0</v>
      </c>
      <c r="BZ61" s="76">
        <v>0</v>
      </c>
      <c r="CA61" s="76">
        <v>0</v>
      </c>
      <c r="CB61" s="76">
        <v>0</v>
      </c>
      <c r="CC61" s="77">
        <v>0</v>
      </c>
      <c r="CD61" s="78">
        <f>SUM(BX61:CC61)</f>
        <v>0</v>
      </c>
      <c r="CE61" s="144"/>
      <c r="CF61" s="111"/>
      <c r="CG61" s="146"/>
      <c r="CH61" s="153"/>
      <c r="CI61" s="55" t="s">
        <v>15</v>
      </c>
      <c r="CJ61" s="75">
        <v>0</v>
      </c>
      <c r="CK61" s="76">
        <v>0</v>
      </c>
      <c r="CL61" s="76">
        <v>0</v>
      </c>
      <c r="CM61" s="76">
        <v>0</v>
      </c>
      <c r="CN61" s="76">
        <v>0</v>
      </c>
      <c r="CO61" s="77">
        <v>0</v>
      </c>
      <c r="CP61" s="78">
        <f>SUM(CJ61:CO61)</f>
        <v>0</v>
      </c>
      <c r="CQ61" s="144"/>
      <c r="CR61" s="111"/>
      <c r="CS61" s="146"/>
      <c r="CT61" s="153"/>
      <c r="CU61" s="55" t="s">
        <v>15</v>
      </c>
      <c r="CV61" s="75">
        <v>0</v>
      </c>
      <c r="CW61" s="76">
        <v>0</v>
      </c>
      <c r="CX61" s="76">
        <v>0</v>
      </c>
      <c r="CY61" s="76">
        <v>0</v>
      </c>
      <c r="CZ61" s="76">
        <v>0</v>
      </c>
      <c r="DA61" s="77">
        <v>0</v>
      </c>
      <c r="DB61" s="78">
        <f>SUM(CV61:DA61)</f>
        <v>0</v>
      </c>
      <c r="DC61" s="144"/>
      <c r="DD61" s="111"/>
      <c r="DE61" s="146"/>
      <c r="DF61" s="153"/>
      <c r="DG61" s="55" t="s">
        <v>15</v>
      </c>
      <c r="DH61" s="75">
        <v>0</v>
      </c>
      <c r="DI61" s="76">
        <v>0</v>
      </c>
      <c r="DJ61" s="76">
        <v>0</v>
      </c>
      <c r="DK61" s="76">
        <v>0</v>
      </c>
      <c r="DL61" s="76">
        <v>0</v>
      </c>
      <c r="DM61" s="77">
        <v>0</v>
      </c>
      <c r="DN61" s="78">
        <f>SUM(DH61:DM61)</f>
        <v>0</v>
      </c>
      <c r="DO61" s="144"/>
      <c r="DP61" s="111"/>
      <c r="DQ61" s="146"/>
      <c r="DR61" s="153"/>
      <c r="DS61" s="55" t="s">
        <v>15</v>
      </c>
      <c r="DT61" s="75">
        <v>0</v>
      </c>
      <c r="DU61" s="76">
        <v>0</v>
      </c>
      <c r="DV61" s="76">
        <v>0</v>
      </c>
      <c r="DW61" s="76">
        <v>0</v>
      </c>
      <c r="DX61" s="76">
        <v>0</v>
      </c>
      <c r="DY61" s="77">
        <v>0</v>
      </c>
      <c r="DZ61" s="78">
        <f>SUM(DT61:DY61)</f>
        <v>0</v>
      </c>
      <c r="EA61" s="144"/>
      <c r="EB61" s="111"/>
      <c r="EC61" s="146"/>
      <c r="ED61" s="153"/>
      <c r="EE61" s="55" t="s">
        <v>15</v>
      </c>
      <c r="EF61" s="75">
        <v>0</v>
      </c>
      <c r="EG61" s="76">
        <v>0</v>
      </c>
      <c r="EH61" s="76">
        <v>0</v>
      </c>
      <c r="EI61" s="76">
        <v>0</v>
      </c>
      <c r="EJ61" s="76">
        <v>0</v>
      </c>
      <c r="EK61" s="77">
        <v>0</v>
      </c>
      <c r="EL61" s="78">
        <f>SUM(EF61:EK61)</f>
        <v>0</v>
      </c>
      <c r="EM61" s="144"/>
      <c r="EN61" s="111"/>
      <c r="EO61" s="146"/>
      <c r="EP61" s="106"/>
      <c r="EQ61" s="55" t="s">
        <v>15</v>
      </c>
      <c r="ER61" s="75">
        <f t="shared" si="193"/>
        <v>0</v>
      </c>
      <c r="ES61" s="76">
        <f t="shared" si="194"/>
        <v>0</v>
      </c>
      <c r="ET61" s="76">
        <f t="shared" si="195"/>
        <v>0</v>
      </c>
      <c r="EU61" s="76">
        <f t="shared" si="196"/>
        <v>0</v>
      </c>
      <c r="EV61" s="76">
        <f t="shared" si="197"/>
        <v>0</v>
      </c>
      <c r="EW61" s="77">
        <f t="shared" si="198"/>
        <v>0</v>
      </c>
      <c r="EX61" s="79">
        <f>SUM(ER61:EW61)</f>
        <v>0</v>
      </c>
      <c r="EY61" s="144"/>
      <c r="EZ61" s="60"/>
    </row>
    <row r="62" spans="1:156" ht="15.95" customHeight="1" x14ac:dyDescent="0.2">
      <c r="A62" s="146"/>
      <c r="B62" s="56" t="s">
        <v>16</v>
      </c>
      <c r="C62" s="57" t="s">
        <v>13</v>
      </c>
      <c r="D62" s="70">
        <v>0</v>
      </c>
      <c r="E62" s="71">
        <v>0</v>
      </c>
      <c r="F62" s="71">
        <v>0</v>
      </c>
      <c r="G62" s="71">
        <v>0</v>
      </c>
      <c r="H62" s="71">
        <v>0</v>
      </c>
      <c r="I62" s="72">
        <v>0</v>
      </c>
      <c r="J62" s="73">
        <f>SUM(D62:I62)</f>
        <v>0</v>
      </c>
      <c r="K62" s="143">
        <v>0</v>
      </c>
      <c r="L62" s="111"/>
      <c r="M62" s="146"/>
      <c r="N62" s="56" t="s">
        <v>16</v>
      </c>
      <c r="O62" s="57" t="s">
        <v>13</v>
      </c>
      <c r="P62" s="70">
        <v>0</v>
      </c>
      <c r="Q62" s="71">
        <v>0</v>
      </c>
      <c r="R62" s="71">
        <v>0</v>
      </c>
      <c r="S62" s="71">
        <v>0</v>
      </c>
      <c r="T62" s="71">
        <v>0</v>
      </c>
      <c r="U62" s="72">
        <v>0</v>
      </c>
      <c r="V62" s="73">
        <f>SUM(P62:U62)</f>
        <v>0</v>
      </c>
      <c r="W62" s="143">
        <v>0</v>
      </c>
      <c r="X62" s="111"/>
      <c r="Y62" s="146"/>
      <c r="Z62" s="56" t="s">
        <v>16</v>
      </c>
      <c r="AA62" s="57" t="s">
        <v>13</v>
      </c>
      <c r="AB62" s="70">
        <v>0</v>
      </c>
      <c r="AC62" s="71">
        <v>0</v>
      </c>
      <c r="AD62" s="71">
        <v>0</v>
      </c>
      <c r="AE62" s="71">
        <v>0</v>
      </c>
      <c r="AF62" s="71">
        <v>0</v>
      </c>
      <c r="AG62" s="72">
        <v>0</v>
      </c>
      <c r="AH62" s="73">
        <f>SUM(AB62:AG62)</f>
        <v>0</v>
      </c>
      <c r="AI62" s="143">
        <v>0</v>
      </c>
      <c r="AJ62" s="111"/>
      <c r="AK62" s="146"/>
      <c r="AL62" s="56" t="s">
        <v>16</v>
      </c>
      <c r="AM62" s="57" t="s">
        <v>13</v>
      </c>
      <c r="AN62" s="70">
        <v>0</v>
      </c>
      <c r="AO62" s="71">
        <v>0</v>
      </c>
      <c r="AP62" s="71">
        <v>0</v>
      </c>
      <c r="AQ62" s="71">
        <v>0</v>
      </c>
      <c r="AR62" s="71">
        <v>0</v>
      </c>
      <c r="AS62" s="72">
        <v>0</v>
      </c>
      <c r="AT62" s="73">
        <f>SUM(AN62:AS62)</f>
        <v>0</v>
      </c>
      <c r="AU62" s="143">
        <v>0</v>
      </c>
      <c r="AV62" s="111"/>
      <c r="AW62" s="146"/>
      <c r="AX62" s="56" t="s">
        <v>16</v>
      </c>
      <c r="AY62" s="57" t="s">
        <v>13</v>
      </c>
      <c r="AZ62" s="70">
        <v>0</v>
      </c>
      <c r="BA62" s="71">
        <v>0</v>
      </c>
      <c r="BB62" s="71">
        <v>0</v>
      </c>
      <c r="BC62" s="71">
        <v>0</v>
      </c>
      <c r="BD62" s="71">
        <v>0</v>
      </c>
      <c r="BE62" s="72">
        <v>0</v>
      </c>
      <c r="BF62" s="73">
        <f>SUM(AZ62:BE62)</f>
        <v>0</v>
      </c>
      <c r="BG62" s="143">
        <v>0</v>
      </c>
      <c r="BH62" s="111"/>
      <c r="BI62" s="146"/>
      <c r="BJ62" s="56" t="s">
        <v>16</v>
      </c>
      <c r="BK62" s="57" t="s">
        <v>13</v>
      </c>
      <c r="BL62" s="70">
        <v>0</v>
      </c>
      <c r="BM62" s="71">
        <v>0</v>
      </c>
      <c r="BN62" s="71">
        <v>0</v>
      </c>
      <c r="BO62" s="71">
        <v>0</v>
      </c>
      <c r="BP62" s="71">
        <v>0</v>
      </c>
      <c r="BQ62" s="72">
        <v>0</v>
      </c>
      <c r="BR62" s="73">
        <f>SUM(BL62:BQ62)</f>
        <v>0</v>
      </c>
      <c r="BS62" s="143">
        <v>0</v>
      </c>
      <c r="BT62" s="111"/>
      <c r="BU62" s="146"/>
      <c r="BV62" s="56" t="s">
        <v>16</v>
      </c>
      <c r="BW62" s="57" t="s">
        <v>13</v>
      </c>
      <c r="BX62" s="70">
        <v>0</v>
      </c>
      <c r="BY62" s="71">
        <v>0</v>
      </c>
      <c r="BZ62" s="71">
        <v>0</v>
      </c>
      <c r="CA62" s="71">
        <v>0</v>
      </c>
      <c r="CB62" s="71">
        <v>0</v>
      </c>
      <c r="CC62" s="72">
        <v>0</v>
      </c>
      <c r="CD62" s="73">
        <f>SUM(BX62:CC62)</f>
        <v>0</v>
      </c>
      <c r="CE62" s="143">
        <v>0</v>
      </c>
      <c r="CF62" s="111"/>
      <c r="CG62" s="146"/>
      <c r="CH62" s="56" t="s">
        <v>16</v>
      </c>
      <c r="CI62" s="57" t="s">
        <v>13</v>
      </c>
      <c r="CJ62" s="70">
        <v>0</v>
      </c>
      <c r="CK62" s="71">
        <v>0</v>
      </c>
      <c r="CL62" s="71">
        <v>0</v>
      </c>
      <c r="CM62" s="71">
        <v>0</v>
      </c>
      <c r="CN62" s="71">
        <v>0</v>
      </c>
      <c r="CO62" s="72">
        <v>0</v>
      </c>
      <c r="CP62" s="73">
        <f>SUM(CJ62:CO62)</f>
        <v>0</v>
      </c>
      <c r="CQ62" s="143">
        <v>0</v>
      </c>
      <c r="CR62" s="111"/>
      <c r="CS62" s="146"/>
      <c r="CT62" s="56" t="s">
        <v>16</v>
      </c>
      <c r="CU62" s="57" t="s">
        <v>13</v>
      </c>
      <c r="CV62" s="70">
        <v>0</v>
      </c>
      <c r="CW62" s="71">
        <v>0</v>
      </c>
      <c r="CX62" s="71">
        <v>0</v>
      </c>
      <c r="CY62" s="71">
        <v>0</v>
      </c>
      <c r="CZ62" s="71">
        <v>0</v>
      </c>
      <c r="DA62" s="72">
        <v>0</v>
      </c>
      <c r="DB62" s="73">
        <f>SUM(CV62:DA62)</f>
        <v>0</v>
      </c>
      <c r="DC62" s="143">
        <v>0</v>
      </c>
      <c r="DD62" s="111"/>
      <c r="DE62" s="146"/>
      <c r="DF62" s="56" t="s">
        <v>16</v>
      </c>
      <c r="DG62" s="57" t="s">
        <v>13</v>
      </c>
      <c r="DH62" s="70">
        <v>0</v>
      </c>
      <c r="DI62" s="71">
        <v>0</v>
      </c>
      <c r="DJ62" s="71">
        <v>0</v>
      </c>
      <c r="DK62" s="71">
        <v>0</v>
      </c>
      <c r="DL62" s="71">
        <v>0</v>
      </c>
      <c r="DM62" s="72">
        <v>0</v>
      </c>
      <c r="DN62" s="73">
        <f>SUM(DH62:DM62)</f>
        <v>0</v>
      </c>
      <c r="DO62" s="143">
        <v>0</v>
      </c>
      <c r="DP62" s="111"/>
      <c r="DQ62" s="146"/>
      <c r="DR62" s="56" t="s">
        <v>16</v>
      </c>
      <c r="DS62" s="57" t="s">
        <v>13</v>
      </c>
      <c r="DT62" s="70">
        <v>0</v>
      </c>
      <c r="DU62" s="71">
        <v>0</v>
      </c>
      <c r="DV62" s="71">
        <v>0</v>
      </c>
      <c r="DW62" s="71">
        <v>0</v>
      </c>
      <c r="DX62" s="71">
        <v>0</v>
      </c>
      <c r="DY62" s="72">
        <v>0</v>
      </c>
      <c r="DZ62" s="73">
        <f>SUM(DT62:DY62)</f>
        <v>0</v>
      </c>
      <c r="EA62" s="143">
        <v>0</v>
      </c>
      <c r="EB62" s="111"/>
      <c r="EC62" s="146"/>
      <c r="ED62" s="56" t="s">
        <v>16</v>
      </c>
      <c r="EE62" s="57" t="s">
        <v>13</v>
      </c>
      <c r="EF62" s="70">
        <v>0</v>
      </c>
      <c r="EG62" s="71">
        <v>0</v>
      </c>
      <c r="EH62" s="71">
        <v>0</v>
      </c>
      <c r="EI62" s="71">
        <v>0</v>
      </c>
      <c r="EJ62" s="71">
        <v>0</v>
      </c>
      <c r="EK62" s="72">
        <v>0</v>
      </c>
      <c r="EL62" s="73">
        <f>SUM(EF62:EK62)</f>
        <v>0</v>
      </c>
      <c r="EM62" s="143">
        <v>0</v>
      </c>
      <c r="EN62" s="111"/>
      <c r="EO62" s="146"/>
      <c r="EP62" s="56" t="s">
        <v>16</v>
      </c>
      <c r="EQ62" s="57" t="s">
        <v>13</v>
      </c>
      <c r="ER62" s="80">
        <f t="shared" si="193"/>
        <v>0</v>
      </c>
      <c r="ES62" s="81">
        <f t="shared" si="194"/>
        <v>0</v>
      </c>
      <c r="ET62" s="81">
        <f t="shared" si="195"/>
        <v>0</v>
      </c>
      <c r="EU62" s="81">
        <f t="shared" si="196"/>
        <v>0</v>
      </c>
      <c r="EV62" s="81">
        <f t="shared" si="197"/>
        <v>0</v>
      </c>
      <c r="EW62" s="82">
        <f t="shared" si="198"/>
        <v>0</v>
      </c>
      <c r="EX62" s="74">
        <f>SUM(ER62:EW62)</f>
        <v>0</v>
      </c>
      <c r="EY62" s="143">
        <f>SUM(EM62)</f>
        <v>0</v>
      </c>
      <c r="EZ62" s="60"/>
    </row>
    <row r="63" spans="1:156" ht="15.95" customHeight="1" thickBot="1" x14ac:dyDescent="0.25">
      <c r="A63" s="146"/>
      <c r="B63" s="58" t="s">
        <v>14</v>
      </c>
      <c r="C63" s="59" t="s">
        <v>15</v>
      </c>
      <c r="D63" s="75">
        <v>0</v>
      </c>
      <c r="E63" s="76">
        <v>0</v>
      </c>
      <c r="F63" s="76">
        <v>0</v>
      </c>
      <c r="G63" s="76">
        <v>0</v>
      </c>
      <c r="H63" s="76">
        <v>0</v>
      </c>
      <c r="I63" s="77">
        <v>0</v>
      </c>
      <c r="J63" s="78">
        <f>SUM(D63:I63)</f>
        <v>0</v>
      </c>
      <c r="K63" s="144"/>
      <c r="L63" s="111"/>
      <c r="M63" s="146"/>
      <c r="N63" s="58" t="s">
        <v>14</v>
      </c>
      <c r="O63" s="59" t="s">
        <v>15</v>
      </c>
      <c r="P63" s="75">
        <v>0</v>
      </c>
      <c r="Q63" s="76">
        <v>0</v>
      </c>
      <c r="R63" s="76">
        <v>0</v>
      </c>
      <c r="S63" s="76">
        <v>0</v>
      </c>
      <c r="T63" s="76">
        <v>0</v>
      </c>
      <c r="U63" s="77">
        <v>0</v>
      </c>
      <c r="V63" s="78">
        <f>SUM(P63:U63)</f>
        <v>0</v>
      </c>
      <c r="W63" s="144"/>
      <c r="X63" s="111"/>
      <c r="Y63" s="146"/>
      <c r="Z63" s="58" t="s">
        <v>14</v>
      </c>
      <c r="AA63" s="59" t="s">
        <v>15</v>
      </c>
      <c r="AB63" s="75">
        <v>0</v>
      </c>
      <c r="AC63" s="76">
        <v>0</v>
      </c>
      <c r="AD63" s="76">
        <v>0</v>
      </c>
      <c r="AE63" s="76">
        <v>0</v>
      </c>
      <c r="AF63" s="76">
        <v>0</v>
      </c>
      <c r="AG63" s="77">
        <v>0</v>
      </c>
      <c r="AH63" s="78">
        <f>SUM(AB63:AG63)</f>
        <v>0</v>
      </c>
      <c r="AI63" s="144"/>
      <c r="AJ63" s="111"/>
      <c r="AK63" s="146"/>
      <c r="AL63" s="58" t="s">
        <v>14</v>
      </c>
      <c r="AM63" s="59" t="s">
        <v>15</v>
      </c>
      <c r="AN63" s="75">
        <v>0</v>
      </c>
      <c r="AO63" s="76">
        <v>0</v>
      </c>
      <c r="AP63" s="76">
        <v>0</v>
      </c>
      <c r="AQ63" s="76">
        <v>0</v>
      </c>
      <c r="AR63" s="76">
        <v>0</v>
      </c>
      <c r="AS63" s="77">
        <v>0</v>
      </c>
      <c r="AT63" s="78">
        <f>SUM(AN63:AS63)</f>
        <v>0</v>
      </c>
      <c r="AU63" s="144"/>
      <c r="AV63" s="111"/>
      <c r="AW63" s="146"/>
      <c r="AX63" s="58" t="s">
        <v>14</v>
      </c>
      <c r="AY63" s="59" t="s">
        <v>15</v>
      </c>
      <c r="AZ63" s="75">
        <v>0</v>
      </c>
      <c r="BA63" s="76">
        <v>0</v>
      </c>
      <c r="BB63" s="76">
        <v>0</v>
      </c>
      <c r="BC63" s="76">
        <v>0</v>
      </c>
      <c r="BD63" s="76">
        <v>0</v>
      </c>
      <c r="BE63" s="77">
        <v>0</v>
      </c>
      <c r="BF63" s="78">
        <f>SUM(AZ63:BE63)</f>
        <v>0</v>
      </c>
      <c r="BG63" s="144"/>
      <c r="BH63" s="111"/>
      <c r="BI63" s="146"/>
      <c r="BJ63" s="58" t="s">
        <v>14</v>
      </c>
      <c r="BK63" s="59" t="s">
        <v>15</v>
      </c>
      <c r="BL63" s="75">
        <v>0</v>
      </c>
      <c r="BM63" s="76">
        <v>0</v>
      </c>
      <c r="BN63" s="76">
        <v>0</v>
      </c>
      <c r="BO63" s="76">
        <v>0</v>
      </c>
      <c r="BP63" s="76">
        <v>0</v>
      </c>
      <c r="BQ63" s="77">
        <v>0</v>
      </c>
      <c r="BR63" s="78">
        <f>SUM(BL63:BQ63)</f>
        <v>0</v>
      </c>
      <c r="BS63" s="144"/>
      <c r="BT63" s="111"/>
      <c r="BU63" s="146"/>
      <c r="BV63" s="58" t="s">
        <v>14</v>
      </c>
      <c r="BW63" s="59" t="s">
        <v>15</v>
      </c>
      <c r="BX63" s="75">
        <v>0</v>
      </c>
      <c r="BY63" s="76">
        <v>0</v>
      </c>
      <c r="BZ63" s="76">
        <v>0</v>
      </c>
      <c r="CA63" s="76">
        <v>0</v>
      </c>
      <c r="CB63" s="76">
        <v>0</v>
      </c>
      <c r="CC63" s="77">
        <v>0</v>
      </c>
      <c r="CD63" s="78">
        <f>SUM(BX63:CC63)</f>
        <v>0</v>
      </c>
      <c r="CE63" s="144"/>
      <c r="CF63" s="111"/>
      <c r="CG63" s="146"/>
      <c r="CH63" s="58" t="s">
        <v>14</v>
      </c>
      <c r="CI63" s="59" t="s">
        <v>15</v>
      </c>
      <c r="CJ63" s="75">
        <v>0</v>
      </c>
      <c r="CK63" s="76">
        <v>0</v>
      </c>
      <c r="CL63" s="76">
        <v>0</v>
      </c>
      <c r="CM63" s="76">
        <v>0</v>
      </c>
      <c r="CN63" s="76">
        <v>0</v>
      </c>
      <c r="CO63" s="77">
        <v>0</v>
      </c>
      <c r="CP63" s="78">
        <f>SUM(CJ63:CO63)</f>
        <v>0</v>
      </c>
      <c r="CQ63" s="144"/>
      <c r="CR63" s="111"/>
      <c r="CS63" s="146"/>
      <c r="CT63" s="58" t="s">
        <v>14</v>
      </c>
      <c r="CU63" s="59" t="s">
        <v>15</v>
      </c>
      <c r="CV63" s="75">
        <v>0</v>
      </c>
      <c r="CW63" s="76">
        <v>0</v>
      </c>
      <c r="CX63" s="76">
        <v>0</v>
      </c>
      <c r="CY63" s="76">
        <v>0</v>
      </c>
      <c r="CZ63" s="76">
        <v>0</v>
      </c>
      <c r="DA63" s="77">
        <v>0</v>
      </c>
      <c r="DB63" s="78">
        <f>SUM(CV63:DA63)</f>
        <v>0</v>
      </c>
      <c r="DC63" s="144"/>
      <c r="DD63" s="111"/>
      <c r="DE63" s="146"/>
      <c r="DF63" s="58" t="s">
        <v>14</v>
      </c>
      <c r="DG63" s="59" t="s">
        <v>15</v>
      </c>
      <c r="DH63" s="75">
        <v>0</v>
      </c>
      <c r="DI63" s="76">
        <v>0</v>
      </c>
      <c r="DJ63" s="76">
        <v>0</v>
      </c>
      <c r="DK63" s="76">
        <v>0</v>
      </c>
      <c r="DL63" s="76">
        <v>0</v>
      </c>
      <c r="DM63" s="77">
        <v>0</v>
      </c>
      <c r="DN63" s="78">
        <f>SUM(DH63:DM63)</f>
        <v>0</v>
      </c>
      <c r="DO63" s="144"/>
      <c r="DP63" s="111"/>
      <c r="DQ63" s="146"/>
      <c r="DR63" s="58" t="s">
        <v>14</v>
      </c>
      <c r="DS63" s="59" t="s">
        <v>15</v>
      </c>
      <c r="DT63" s="75">
        <v>0</v>
      </c>
      <c r="DU63" s="76">
        <v>0</v>
      </c>
      <c r="DV63" s="76">
        <v>0</v>
      </c>
      <c r="DW63" s="76">
        <v>0</v>
      </c>
      <c r="DX63" s="76">
        <v>0</v>
      </c>
      <c r="DY63" s="77">
        <v>0</v>
      </c>
      <c r="DZ63" s="78">
        <f>SUM(DT63:DY63)</f>
        <v>0</v>
      </c>
      <c r="EA63" s="144"/>
      <c r="EB63" s="111"/>
      <c r="EC63" s="146"/>
      <c r="ED63" s="58" t="s">
        <v>14</v>
      </c>
      <c r="EE63" s="59" t="s">
        <v>15</v>
      </c>
      <c r="EF63" s="75">
        <v>0</v>
      </c>
      <c r="EG63" s="76">
        <v>0</v>
      </c>
      <c r="EH63" s="76">
        <v>0</v>
      </c>
      <c r="EI63" s="76">
        <v>0</v>
      </c>
      <c r="EJ63" s="76">
        <v>0</v>
      </c>
      <c r="EK63" s="77">
        <v>0</v>
      </c>
      <c r="EL63" s="78">
        <f>SUM(EF63:EK63)</f>
        <v>0</v>
      </c>
      <c r="EM63" s="144"/>
      <c r="EN63" s="111"/>
      <c r="EO63" s="146"/>
      <c r="EP63" s="58" t="s">
        <v>14</v>
      </c>
      <c r="EQ63" s="59" t="s">
        <v>15</v>
      </c>
      <c r="ER63" s="75">
        <f t="shared" si="193"/>
        <v>0</v>
      </c>
      <c r="ES63" s="76">
        <f t="shared" si="194"/>
        <v>0</v>
      </c>
      <c r="ET63" s="76">
        <f t="shared" si="195"/>
        <v>0</v>
      </c>
      <c r="EU63" s="76">
        <f t="shared" si="196"/>
        <v>0</v>
      </c>
      <c r="EV63" s="76">
        <f t="shared" si="197"/>
        <v>0</v>
      </c>
      <c r="EW63" s="77">
        <f t="shared" si="198"/>
        <v>0</v>
      </c>
      <c r="EX63" s="79">
        <f>SUM(ER63:EW63)</f>
        <v>0</v>
      </c>
      <c r="EY63" s="144"/>
      <c r="EZ63" s="60"/>
    </row>
    <row r="64" spans="1:156" ht="15" customHeight="1" thickBot="1" x14ac:dyDescent="0.25">
      <c r="A64" s="147"/>
      <c r="B64" s="150" t="s">
        <v>17</v>
      </c>
      <c r="C64" s="151"/>
      <c r="D64" s="83">
        <f t="shared" ref="D64:K64" si="199">SUM(D60:D63)</f>
        <v>0</v>
      </c>
      <c r="E64" s="84">
        <f t="shared" si="199"/>
        <v>0</v>
      </c>
      <c r="F64" s="84">
        <f t="shared" si="199"/>
        <v>0</v>
      </c>
      <c r="G64" s="84">
        <f t="shared" si="199"/>
        <v>0</v>
      </c>
      <c r="H64" s="84">
        <f t="shared" si="199"/>
        <v>0</v>
      </c>
      <c r="I64" s="85">
        <f t="shared" si="199"/>
        <v>0</v>
      </c>
      <c r="J64" s="1">
        <f t="shared" si="199"/>
        <v>0</v>
      </c>
      <c r="K64" s="86">
        <f t="shared" si="199"/>
        <v>0</v>
      </c>
      <c r="L64" s="111"/>
      <c r="M64" s="147"/>
      <c r="N64" s="150" t="s">
        <v>17</v>
      </c>
      <c r="O64" s="151"/>
      <c r="P64" s="83">
        <f t="shared" ref="P64:W64" si="200">SUM(P60:P63)</f>
        <v>0</v>
      </c>
      <c r="Q64" s="84">
        <f t="shared" si="200"/>
        <v>0</v>
      </c>
      <c r="R64" s="84">
        <f t="shared" si="200"/>
        <v>0</v>
      </c>
      <c r="S64" s="84">
        <f t="shared" si="200"/>
        <v>0</v>
      </c>
      <c r="T64" s="84">
        <f t="shared" si="200"/>
        <v>0</v>
      </c>
      <c r="U64" s="85">
        <f t="shared" si="200"/>
        <v>0</v>
      </c>
      <c r="V64" s="1">
        <f t="shared" si="200"/>
        <v>0</v>
      </c>
      <c r="W64" s="86">
        <f t="shared" si="200"/>
        <v>0</v>
      </c>
      <c r="X64" s="111"/>
      <c r="Y64" s="147"/>
      <c r="Z64" s="150" t="s">
        <v>17</v>
      </c>
      <c r="AA64" s="151"/>
      <c r="AB64" s="83">
        <f t="shared" ref="AB64:AI64" si="201">SUM(AB60:AB63)</f>
        <v>0</v>
      </c>
      <c r="AC64" s="84">
        <f t="shared" si="201"/>
        <v>0</v>
      </c>
      <c r="AD64" s="84">
        <f t="shared" si="201"/>
        <v>0</v>
      </c>
      <c r="AE64" s="84">
        <f t="shared" si="201"/>
        <v>0</v>
      </c>
      <c r="AF64" s="84">
        <f t="shared" si="201"/>
        <v>0</v>
      </c>
      <c r="AG64" s="85">
        <f t="shared" si="201"/>
        <v>0</v>
      </c>
      <c r="AH64" s="1">
        <f t="shared" si="201"/>
        <v>0</v>
      </c>
      <c r="AI64" s="86">
        <f t="shared" si="201"/>
        <v>0</v>
      </c>
      <c r="AJ64" s="111"/>
      <c r="AK64" s="147"/>
      <c r="AL64" s="150" t="s">
        <v>17</v>
      </c>
      <c r="AM64" s="151"/>
      <c r="AN64" s="83">
        <f t="shared" ref="AN64:AU64" si="202">SUM(AN60:AN63)</f>
        <v>0</v>
      </c>
      <c r="AO64" s="84">
        <f t="shared" si="202"/>
        <v>0</v>
      </c>
      <c r="AP64" s="84">
        <f t="shared" si="202"/>
        <v>0</v>
      </c>
      <c r="AQ64" s="84">
        <f t="shared" si="202"/>
        <v>0</v>
      </c>
      <c r="AR64" s="84">
        <f t="shared" si="202"/>
        <v>0</v>
      </c>
      <c r="AS64" s="85">
        <f t="shared" si="202"/>
        <v>0</v>
      </c>
      <c r="AT64" s="1">
        <f t="shared" si="202"/>
        <v>0</v>
      </c>
      <c r="AU64" s="86">
        <f t="shared" si="202"/>
        <v>0</v>
      </c>
      <c r="AV64" s="111"/>
      <c r="AW64" s="147"/>
      <c r="AX64" s="150" t="s">
        <v>17</v>
      </c>
      <c r="AY64" s="151"/>
      <c r="AZ64" s="83">
        <f t="shared" ref="AZ64:BG64" si="203">SUM(AZ60:AZ63)</f>
        <v>0</v>
      </c>
      <c r="BA64" s="84">
        <f t="shared" si="203"/>
        <v>0</v>
      </c>
      <c r="BB64" s="84">
        <f t="shared" si="203"/>
        <v>0</v>
      </c>
      <c r="BC64" s="84">
        <f t="shared" si="203"/>
        <v>0</v>
      </c>
      <c r="BD64" s="84">
        <f t="shared" si="203"/>
        <v>0</v>
      </c>
      <c r="BE64" s="85">
        <f t="shared" si="203"/>
        <v>0</v>
      </c>
      <c r="BF64" s="1">
        <f t="shared" si="203"/>
        <v>0</v>
      </c>
      <c r="BG64" s="86">
        <f t="shared" si="203"/>
        <v>0</v>
      </c>
      <c r="BH64" s="111"/>
      <c r="BI64" s="147"/>
      <c r="BJ64" s="150" t="s">
        <v>17</v>
      </c>
      <c r="BK64" s="151"/>
      <c r="BL64" s="83">
        <f t="shared" ref="BL64:BS64" si="204">SUM(BL60:BL63)</f>
        <v>0</v>
      </c>
      <c r="BM64" s="84">
        <f t="shared" si="204"/>
        <v>0</v>
      </c>
      <c r="BN64" s="84">
        <f t="shared" si="204"/>
        <v>0</v>
      </c>
      <c r="BO64" s="84">
        <f t="shared" si="204"/>
        <v>0</v>
      </c>
      <c r="BP64" s="84">
        <f t="shared" si="204"/>
        <v>0</v>
      </c>
      <c r="BQ64" s="85">
        <f t="shared" si="204"/>
        <v>0</v>
      </c>
      <c r="BR64" s="1">
        <f t="shared" si="204"/>
        <v>0</v>
      </c>
      <c r="BS64" s="86">
        <f t="shared" si="204"/>
        <v>0</v>
      </c>
      <c r="BT64" s="111"/>
      <c r="BU64" s="147"/>
      <c r="BV64" s="150" t="s">
        <v>17</v>
      </c>
      <c r="BW64" s="151"/>
      <c r="BX64" s="83">
        <f t="shared" ref="BX64:CE64" si="205">SUM(BX60:BX63)</f>
        <v>0</v>
      </c>
      <c r="BY64" s="84">
        <f t="shared" si="205"/>
        <v>0</v>
      </c>
      <c r="BZ64" s="84">
        <f t="shared" si="205"/>
        <v>0</v>
      </c>
      <c r="CA64" s="84">
        <f t="shared" si="205"/>
        <v>0</v>
      </c>
      <c r="CB64" s="84">
        <f t="shared" si="205"/>
        <v>0</v>
      </c>
      <c r="CC64" s="85">
        <f t="shared" si="205"/>
        <v>0</v>
      </c>
      <c r="CD64" s="1">
        <f t="shared" si="205"/>
        <v>0</v>
      </c>
      <c r="CE64" s="86">
        <f t="shared" si="205"/>
        <v>0</v>
      </c>
      <c r="CF64" s="111"/>
      <c r="CG64" s="147"/>
      <c r="CH64" s="150" t="s">
        <v>17</v>
      </c>
      <c r="CI64" s="151"/>
      <c r="CJ64" s="83">
        <f t="shared" ref="CJ64:CQ64" si="206">SUM(CJ60:CJ63)</f>
        <v>0</v>
      </c>
      <c r="CK64" s="84">
        <f t="shared" si="206"/>
        <v>0</v>
      </c>
      <c r="CL64" s="84">
        <f t="shared" si="206"/>
        <v>0</v>
      </c>
      <c r="CM64" s="84">
        <f t="shared" si="206"/>
        <v>0</v>
      </c>
      <c r="CN64" s="84">
        <f t="shared" si="206"/>
        <v>0</v>
      </c>
      <c r="CO64" s="85">
        <f t="shared" si="206"/>
        <v>0</v>
      </c>
      <c r="CP64" s="1">
        <f t="shared" si="206"/>
        <v>0</v>
      </c>
      <c r="CQ64" s="86">
        <f t="shared" si="206"/>
        <v>0</v>
      </c>
      <c r="CR64" s="111"/>
      <c r="CS64" s="147"/>
      <c r="CT64" s="150" t="s">
        <v>17</v>
      </c>
      <c r="CU64" s="151"/>
      <c r="CV64" s="83">
        <f t="shared" ref="CV64:DC64" si="207">SUM(CV60:CV63)</f>
        <v>0</v>
      </c>
      <c r="CW64" s="84">
        <f t="shared" si="207"/>
        <v>0</v>
      </c>
      <c r="CX64" s="84">
        <f t="shared" si="207"/>
        <v>0</v>
      </c>
      <c r="CY64" s="84">
        <f t="shared" si="207"/>
        <v>0</v>
      </c>
      <c r="CZ64" s="84">
        <f t="shared" si="207"/>
        <v>0</v>
      </c>
      <c r="DA64" s="85">
        <f t="shared" si="207"/>
        <v>0</v>
      </c>
      <c r="DB64" s="1">
        <f t="shared" si="207"/>
        <v>0</v>
      </c>
      <c r="DC64" s="86">
        <f t="shared" si="207"/>
        <v>0</v>
      </c>
      <c r="DD64" s="111"/>
      <c r="DE64" s="147"/>
      <c r="DF64" s="150" t="s">
        <v>17</v>
      </c>
      <c r="DG64" s="151"/>
      <c r="DH64" s="83">
        <f t="shared" ref="DH64:DO64" si="208">SUM(DH60:DH63)</f>
        <v>0</v>
      </c>
      <c r="DI64" s="84">
        <f t="shared" si="208"/>
        <v>0</v>
      </c>
      <c r="DJ64" s="84">
        <f t="shared" si="208"/>
        <v>0</v>
      </c>
      <c r="DK64" s="84">
        <f t="shared" si="208"/>
        <v>0</v>
      </c>
      <c r="DL64" s="84">
        <f t="shared" si="208"/>
        <v>0</v>
      </c>
      <c r="DM64" s="85">
        <f t="shared" si="208"/>
        <v>0</v>
      </c>
      <c r="DN64" s="1">
        <f t="shared" si="208"/>
        <v>0</v>
      </c>
      <c r="DO64" s="86">
        <f t="shared" si="208"/>
        <v>0</v>
      </c>
      <c r="DP64" s="111"/>
      <c r="DQ64" s="147"/>
      <c r="DR64" s="150" t="s">
        <v>17</v>
      </c>
      <c r="DS64" s="151"/>
      <c r="DT64" s="83">
        <f t="shared" ref="DT64:EA64" si="209">SUM(DT60:DT63)</f>
        <v>0</v>
      </c>
      <c r="DU64" s="84">
        <f t="shared" si="209"/>
        <v>0</v>
      </c>
      <c r="DV64" s="84">
        <f t="shared" si="209"/>
        <v>0</v>
      </c>
      <c r="DW64" s="84">
        <f t="shared" si="209"/>
        <v>0</v>
      </c>
      <c r="DX64" s="84">
        <f t="shared" si="209"/>
        <v>0</v>
      </c>
      <c r="DY64" s="85">
        <f t="shared" si="209"/>
        <v>0</v>
      </c>
      <c r="DZ64" s="1">
        <f t="shared" si="209"/>
        <v>0</v>
      </c>
      <c r="EA64" s="86">
        <f t="shared" si="209"/>
        <v>0</v>
      </c>
      <c r="EB64" s="111"/>
      <c r="EC64" s="147"/>
      <c r="ED64" s="150" t="s">
        <v>17</v>
      </c>
      <c r="EE64" s="151"/>
      <c r="EF64" s="83">
        <f t="shared" ref="EF64:EM64" si="210">SUM(EF60:EF63)</f>
        <v>0</v>
      </c>
      <c r="EG64" s="84">
        <f t="shared" si="210"/>
        <v>0</v>
      </c>
      <c r="EH64" s="84">
        <f t="shared" si="210"/>
        <v>0</v>
      </c>
      <c r="EI64" s="84">
        <f t="shared" si="210"/>
        <v>0</v>
      </c>
      <c r="EJ64" s="84">
        <f t="shared" si="210"/>
        <v>0</v>
      </c>
      <c r="EK64" s="85">
        <f t="shared" si="210"/>
        <v>0</v>
      </c>
      <c r="EL64" s="1">
        <f t="shared" si="210"/>
        <v>0</v>
      </c>
      <c r="EM64" s="86">
        <f t="shared" si="210"/>
        <v>0</v>
      </c>
      <c r="EN64" s="111"/>
      <c r="EO64" s="147"/>
      <c r="EP64" s="107" t="s">
        <v>17</v>
      </c>
      <c r="EQ64" s="108"/>
      <c r="ER64" s="83">
        <f t="shared" ref="ER64:EY64" si="211">SUM(ER60:ER63)</f>
        <v>0</v>
      </c>
      <c r="ES64" s="84">
        <f t="shared" si="211"/>
        <v>0</v>
      </c>
      <c r="ET64" s="84">
        <f t="shared" si="211"/>
        <v>0</v>
      </c>
      <c r="EU64" s="84">
        <f t="shared" si="211"/>
        <v>0</v>
      </c>
      <c r="EV64" s="84">
        <f t="shared" si="211"/>
        <v>0</v>
      </c>
      <c r="EW64" s="85">
        <f t="shared" si="211"/>
        <v>0</v>
      </c>
      <c r="EX64" s="1">
        <f t="shared" si="211"/>
        <v>0</v>
      </c>
      <c r="EY64" s="86">
        <f t="shared" si="211"/>
        <v>0</v>
      </c>
      <c r="EZ64" s="60"/>
    </row>
    <row r="65" spans="1:156" ht="15.95" customHeight="1" x14ac:dyDescent="0.2">
      <c r="A65" s="60"/>
      <c r="B65" s="60"/>
      <c r="C65" s="60"/>
      <c r="D65" s="60"/>
      <c r="E65" s="60"/>
      <c r="F65" s="60"/>
      <c r="G65" s="60"/>
      <c r="H65" s="60"/>
      <c r="I65" s="60"/>
      <c r="J65" s="60"/>
      <c r="K65" s="60"/>
      <c r="L65" s="111"/>
      <c r="M65" s="60"/>
      <c r="N65" s="60"/>
      <c r="O65" s="60"/>
      <c r="P65" s="60"/>
      <c r="Q65" s="60"/>
      <c r="R65" s="60"/>
      <c r="S65" s="60"/>
      <c r="T65" s="60"/>
      <c r="U65" s="60"/>
      <c r="V65" s="60"/>
      <c r="W65" s="60"/>
      <c r="X65" s="111"/>
      <c r="Y65" s="60"/>
      <c r="Z65" s="60"/>
      <c r="AA65" s="60"/>
      <c r="AB65" s="60"/>
      <c r="AC65" s="60"/>
      <c r="AD65" s="60"/>
      <c r="AE65" s="60"/>
      <c r="AF65" s="60"/>
      <c r="AG65" s="60"/>
      <c r="AH65" s="60"/>
      <c r="AI65" s="60"/>
      <c r="AJ65" s="111"/>
      <c r="AK65" s="60"/>
      <c r="AL65" s="60"/>
      <c r="AM65" s="60"/>
      <c r="AN65" s="60"/>
      <c r="AO65" s="60"/>
      <c r="AP65" s="60"/>
      <c r="AQ65" s="60"/>
      <c r="AR65" s="60"/>
      <c r="AS65" s="60"/>
      <c r="AT65" s="60"/>
      <c r="AU65" s="60"/>
      <c r="AV65" s="111"/>
      <c r="AW65" s="60"/>
      <c r="AX65" s="60"/>
      <c r="AY65" s="60"/>
      <c r="AZ65" s="60"/>
      <c r="BA65" s="60"/>
      <c r="BB65" s="60"/>
      <c r="BC65" s="60"/>
      <c r="BD65" s="60"/>
      <c r="BE65" s="60"/>
      <c r="BF65" s="60"/>
      <c r="BG65" s="60"/>
      <c r="BH65" s="111"/>
      <c r="BI65" s="60"/>
      <c r="BJ65" s="60"/>
      <c r="BK65" s="60"/>
      <c r="BL65" s="60"/>
      <c r="BM65" s="60"/>
      <c r="BN65" s="60"/>
      <c r="BO65" s="60"/>
      <c r="BP65" s="60"/>
      <c r="BQ65" s="60"/>
      <c r="BR65" s="60"/>
      <c r="BS65" s="60"/>
      <c r="BT65" s="111"/>
      <c r="BU65" s="60"/>
      <c r="BV65" s="60"/>
      <c r="BW65" s="60"/>
      <c r="BX65" s="60"/>
      <c r="BY65" s="60"/>
      <c r="BZ65" s="60"/>
      <c r="CA65" s="60"/>
      <c r="CB65" s="60"/>
      <c r="CC65" s="60"/>
      <c r="CD65" s="60"/>
      <c r="CE65" s="60"/>
      <c r="CF65" s="111"/>
      <c r="CG65" s="60"/>
      <c r="CH65" s="60"/>
      <c r="CI65" s="60"/>
      <c r="CJ65" s="60"/>
      <c r="CK65" s="60"/>
      <c r="CL65" s="60"/>
      <c r="CM65" s="60"/>
      <c r="CN65" s="60"/>
      <c r="CO65" s="60"/>
      <c r="CP65" s="60"/>
      <c r="CQ65" s="60"/>
      <c r="CR65" s="111"/>
      <c r="CS65" s="60"/>
      <c r="CT65" s="60"/>
      <c r="CU65" s="60"/>
      <c r="CV65" s="60"/>
      <c r="CW65" s="60"/>
      <c r="CX65" s="60"/>
      <c r="CY65" s="60"/>
      <c r="CZ65" s="60"/>
      <c r="DA65" s="60"/>
      <c r="DB65" s="60"/>
      <c r="DC65" s="60"/>
      <c r="DD65" s="111"/>
      <c r="DE65" s="60"/>
      <c r="DF65" s="60"/>
      <c r="DG65" s="60"/>
      <c r="DH65" s="60"/>
      <c r="DI65" s="60"/>
      <c r="DJ65" s="60"/>
      <c r="DK65" s="60"/>
      <c r="DL65" s="60"/>
      <c r="DM65" s="60"/>
      <c r="DN65" s="60"/>
      <c r="DO65" s="60"/>
      <c r="DP65" s="111"/>
      <c r="DQ65" s="60"/>
      <c r="DR65" s="60"/>
      <c r="DS65" s="60"/>
      <c r="DT65" s="60"/>
      <c r="DU65" s="60"/>
      <c r="DV65" s="60"/>
      <c r="DW65" s="60"/>
      <c r="DX65" s="60"/>
      <c r="DY65" s="60"/>
      <c r="DZ65" s="60"/>
      <c r="EA65" s="60"/>
      <c r="EB65" s="111"/>
      <c r="EC65" s="60"/>
      <c r="ED65" s="60"/>
      <c r="EE65" s="60"/>
      <c r="EF65" s="60"/>
      <c r="EG65" s="60"/>
      <c r="EH65" s="60"/>
      <c r="EI65" s="60"/>
      <c r="EJ65" s="60"/>
      <c r="EK65" s="60"/>
      <c r="EL65" s="60"/>
      <c r="EM65" s="60"/>
      <c r="EN65" s="111"/>
      <c r="EO65" s="60"/>
      <c r="EP65" s="60"/>
      <c r="EQ65" s="60"/>
      <c r="ER65" s="60"/>
      <c r="ES65" s="60"/>
      <c r="ET65" s="60"/>
      <c r="EU65" s="60"/>
      <c r="EV65" s="60"/>
      <c r="EW65" s="60"/>
      <c r="EX65" s="60"/>
      <c r="EY65" s="60"/>
      <c r="EZ65" s="60"/>
    </row>
    <row r="66" spans="1:156" ht="15.95" customHeight="1" thickBot="1" x14ac:dyDescent="0.25">
      <c r="A66" s="148" t="s">
        <v>32</v>
      </c>
      <c r="B66" s="148"/>
      <c r="C66" s="148"/>
      <c r="D66" s="62" t="s">
        <v>0</v>
      </c>
      <c r="E66" s="63">
        <f>E2</f>
        <v>1</v>
      </c>
      <c r="F66" s="62">
        <v>1447</v>
      </c>
      <c r="G66" s="149" t="s">
        <v>21</v>
      </c>
      <c r="H66" s="149"/>
      <c r="I66" s="149"/>
      <c r="J66" s="149"/>
      <c r="K66" s="149"/>
      <c r="L66" s="111"/>
      <c r="M66" s="148" t="s">
        <v>32</v>
      </c>
      <c r="N66" s="148"/>
      <c r="O66" s="148"/>
      <c r="P66" s="62" t="s">
        <v>0</v>
      </c>
      <c r="Q66" s="63">
        <f>Q2</f>
        <v>2</v>
      </c>
      <c r="R66" s="62">
        <v>1447</v>
      </c>
      <c r="S66" s="149" t="s">
        <v>21</v>
      </c>
      <c r="T66" s="149"/>
      <c r="U66" s="149"/>
      <c r="V66" s="149"/>
      <c r="W66" s="149"/>
      <c r="X66" s="111"/>
      <c r="Y66" s="148" t="s">
        <v>32</v>
      </c>
      <c r="Z66" s="148"/>
      <c r="AA66" s="148"/>
      <c r="AB66" s="62" t="s">
        <v>0</v>
      </c>
      <c r="AC66" s="63">
        <f>AC2</f>
        <v>3</v>
      </c>
      <c r="AD66" s="62">
        <v>1447</v>
      </c>
      <c r="AE66" s="149" t="s">
        <v>21</v>
      </c>
      <c r="AF66" s="149"/>
      <c r="AG66" s="149"/>
      <c r="AH66" s="149"/>
      <c r="AI66" s="149"/>
      <c r="AJ66" s="111"/>
      <c r="AK66" s="148" t="s">
        <v>32</v>
      </c>
      <c r="AL66" s="148"/>
      <c r="AM66" s="148"/>
      <c r="AN66" s="62" t="s">
        <v>0</v>
      </c>
      <c r="AO66" s="63">
        <f>AO2</f>
        <v>4</v>
      </c>
      <c r="AP66" s="62">
        <v>1447</v>
      </c>
      <c r="AQ66" s="149" t="s">
        <v>21</v>
      </c>
      <c r="AR66" s="149"/>
      <c r="AS66" s="149"/>
      <c r="AT66" s="149"/>
      <c r="AU66" s="149"/>
      <c r="AV66" s="111"/>
      <c r="AW66" s="148" t="s">
        <v>32</v>
      </c>
      <c r="AX66" s="148"/>
      <c r="AY66" s="148"/>
      <c r="AZ66" s="62" t="s">
        <v>0</v>
      </c>
      <c r="BA66" s="63">
        <f>BA2</f>
        <v>5</v>
      </c>
      <c r="BB66" s="62">
        <v>1447</v>
      </c>
      <c r="BC66" s="149" t="s">
        <v>21</v>
      </c>
      <c r="BD66" s="149"/>
      <c r="BE66" s="149"/>
      <c r="BF66" s="149"/>
      <c r="BG66" s="149"/>
      <c r="BH66" s="111"/>
      <c r="BI66" s="148" t="s">
        <v>32</v>
      </c>
      <c r="BJ66" s="148"/>
      <c r="BK66" s="148"/>
      <c r="BL66" s="62" t="s">
        <v>0</v>
      </c>
      <c r="BM66" s="63">
        <f>BM2</f>
        <v>6</v>
      </c>
      <c r="BN66" s="62">
        <v>1447</v>
      </c>
      <c r="BO66" s="149" t="s">
        <v>21</v>
      </c>
      <c r="BP66" s="149"/>
      <c r="BQ66" s="149"/>
      <c r="BR66" s="149"/>
      <c r="BS66" s="149"/>
      <c r="BT66" s="111"/>
      <c r="BU66" s="148" t="s">
        <v>32</v>
      </c>
      <c r="BV66" s="148"/>
      <c r="BW66" s="148"/>
      <c r="BX66" s="62" t="s">
        <v>0</v>
      </c>
      <c r="BY66" s="63">
        <f>BY2</f>
        <v>7</v>
      </c>
      <c r="BZ66" s="62">
        <v>1447</v>
      </c>
      <c r="CA66" s="149" t="s">
        <v>21</v>
      </c>
      <c r="CB66" s="149"/>
      <c r="CC66" s="149"/>
      <c r="CD66" s="149"/>
      <c r="CE66" s="149"/>
      <c r="CF66" s="111"/>
      <c r="CG66" s="148" t="s">
        <v>32</v>
      </c>
      <c r="CH66" s="148"/>
      <c r="CI66" s="148"/>
      <c r="CJ66" s="62" t="s">
        <v>0</v>
      </c>
      <c r="CK66" s="63">
        <f>CK2</f>
        <v>8</v>
      </c>
      <c r="CL66" s="62">
        <v>1447</v>
      </c>
      <c r="CM66" s="149" t="s">
        <v>21</v>
      </c>
      <c r="CN66" s="149"/>
      <c r="CO66" s="149"/>
      <c r="CP66" s="149"/>
      <c r="CQ66" s="149"/>
      <c r="CR66" s="111"/>
      <c r="CS66" s="148" t="s">
        <v>32</v>
      </c>
      <c r="CT66" s="148"/>
      <c r="CU66" s="148"/>
      <c r="CV66" s="62" t="s">
        <v>0</v>
      </c>
      <c r="CW66" s="63">
        <f>CW2</f>
        <v>9</v>
      </c>
      <c r="CX66" s="62">
        <v>1447</v>
      </c>
      <c r="CY66" s="149" t="s">
        <v>21</v>
      </c>
      <c r="CZ66" s="149"/>
      <c r="DA66" s="149"/>
      <c r="DB66" s="149"/>
      <c r="DC66" s="149"/>
      <c r="DD66" s="111"/>
      <c r="DE66" s="148" t="s">
        <v>32</v>
      </c>
      <c r="DF66" s="148"/>
      <c r="DG66" s="148"/>
      <c r="DH66" s="62" t="s">
        <v>0</v>
      </c>
      <c r="DI66" s="63">
        <f>DI2</f>
        <v>10</v>
      </c>
      <c r="DJ66" s="62">
        <v>1447</v>
      </c>
      <c r="DK66" s="149" t="s">
        <v>21</v>
      </c>
      <c r="DL66" s="149"/>
      <c r="DM66" s="149"/>
      <c r="DN66" s="149"/>
      <c r="DO66" s="149"/>
      <c r="DP66" s="111"/>
      <c r="DQ66" s="148" t="s">
        <v>32</v>
      </c>
      <c r="DR66" s="148"/>
      <c r="DS66" s="148"/>
      <c r="DT66" s="62" t="s">
        <v>0</v>
      </c>
      <c r="DU66" s="63">
        <f>DU2</f>
        <v>11</v>
      </c>
      <c r="DV66" s="62">
        <v>1447</v>
      </c>
      <c r="DW66" s="149" t="s">
        <v>21</v>
      </c>
      <c r="DX66" s="149"/>
      <c r="DY66" s="149"/>
      <c r="DZ66" s="149"/>
      <c r="EA66" s="149"/>
      <c r="EB66" s="111"/>
      <c r="EC66" s="148" t="s">
        <v>32</v>
      </c>
      <c r="ED66" s="148"/>
      <c r="EE66" s="148"/>
      <c r="EF66" s="62" t="s">
        <v>0</v>
      </c>
      <c r="EG66" s="63">
        <f>EG2</f>
        <v>12</v>
      </c>
      <c r="EH66" s="62">
        <v>1447</v>
      </c>
      <c r="EI66" s="149" t="s">
        <v>21</v>
      </c>
      <c r="EJ66" s="149"/>
      <c r="EK66" s="149"/>
      <c r="EL66" s="149"/>
      <c r="EM66" s="149"/>
      <c r="EN66" s="111"/>
      <c r="EO66" s="61" t="s">
        <v>32</v>
      </c>
      <c r="EP66" s="61"/>
      <c r="EQ66" s="60"/>
      <c r="ER66" s="62"/>
      <c r="ES66" s="63" t="s">
        <v>20</v>
      </c>
      <c r="ET66" s="62">
        <v>1447</v>
      </c>
      <c r="EU66" s="60"/>
      <c r="EV66" s="64"/>
      <c r="EW66" s="60"/>
      <c r="EX66" s="60"/>
      <c r="EY66" s="65" t="s">
        <v>21</v>
      </c>
      <c r="EZ66" s="60"/>
    </row>
    <row r="67" spans="1:156" ht="15.95" customHeight="1" thickBot="1" x14ac:dyDescent="0.25">
      <c r="A67" s="141" t="s">
        <v>18</v>
      </c>
      <c r="B67" s="141" t="s">
        <v>3</v>
      </c>
      <c r="C67" s="141" t="s">
        <v>4</v>
      </c>
      <c r="D67" s="138" t="s">
        <v>2</v>
      </c>
      <c r="E67" s="139"/>
      <c r="F67" s="139"/>
      <c r="G67" s="139"/>
      <c r="H67" s="139"/>
      <c r="I67" s="140"/>
      <c r="J67" s="141" t="s">
        <v>11</v>
      </c>
      <c r="K67" s="141" t="s">
        <v>12</v>
      </c>
      <c r="L67" s="111"/>
      <c r="M67" s="141" t="s">
        <v>18</v>
      </c>
      <c r="N67" s="141" t="s">
        <v>3</v>
      </c>
      <c r="O67" s="141" t="s">
        <v>4</v>
      </c>
      <c r="P67" s="138" t="s">
        <v>2</v>
      </c>
      <c r="Q67" s="139"/>
      <c r="R67" s="139"/>
      <c r="S67" s="139"/>
      <c r="T67" s="139"/>
      <c r="U67" s="140"/>
      <c r="V67" s="141" t="s">
        <v>11</v>
      </c>
      <c r="W67" s="141" t="s">
        <v>12</v>
      </c>
      <c r="X67" s="111"/>
      <c r="Y67" s="141" t="s">
        <v>18</v>
      </c>
      <c r="Z67" s="141" t="s">
        <v>3</v>
      </c>
      <c r="AA67" s="141" t="s">
        <v>4</v>
      </c>
      <c r="AB67" s="138" t="s">
        <v>2</v>
      </c>
      <c r="AC67" s="139"/>
      <c r="AD67" s="139"/>
      <c r="AE67" s="139"/>
      <c r="AF67" s="139"/>
      <c r="AG67" s="140"/>
      <c r="AH67" s="141" t="s">
        <v>11</v>
      </c>
      <c r="AI67" s="141" t="s">
        <v>12</v>
      </c>
      <c r="AJ67" s="111"/>
      <c r="AK67" s="141" t="s">
        <v>18</v>
      </c>
      <c r="AL67" s="141" t="s">
        <v>3</v>
      </c>
      <c r="AM67" s="141" t="s">
        <v>4</v>
      </c>
      <c r="AN67" s="138" t="s">
        <v>2</v>
      </c>
      <c r="AO67" s="139"/>
      <c r="AP67" s="139"/>
      <c r="AQ67" s="139"/>
      <c r="AR67" s="139"/>
      <c r="AS67" s="140"/>
      <c r="AT67" s="141" t="s">
        <v>11</v>
      </c>
      <c r="AU67" s="141" t="s">
        <v>12</v>
      </c>
      <c r="AV67" s="111"/>
      <c r="AW67" s="141" t="s">
        <v>18</v>
      </c>
      <c r="AX67" s="141" t="s">
        <v>3</v>
      </c>
      <c r="AY67" s="141" t="s">
        <v>4</v>
      </c>
      <c r="AZ67" s="138" t="s">
        <v>2</v>
      </c>
      <c r="BA67" s="139"/>
      <c r="BB67" s="139"/>
      <c r="BC67" s="139"/>
      <c r="BD67" s="139"/>
      <c r="BE67" s="140"/>
      <c r="BF67" s="141" t="s">
        <v>11</v>
      </c>
      <c r="BG67" s="141" t="s">
        <v>12</v>
      </c>
      <c r="BH67" s="111"/>
      <c r="BI67" s="141" t="s">
        <v>18</v>
      </c>
      <c r="BJ67" s="141" t="s">
        <v>3</v>
      </c>
      <c r="BK67" s="141" t="s">
        <v>4</v>
      </c>
      <c r="BL67" s="138" t="s">
        <v>2</v>
      </c>
      <c r="BM67" s="139"/>
      <c r="BN67" s="139"/>
      <c r="BO67" s="139"/>
      <c r="BP67" s="139"/>
      <c r="BQ67" s="140"/>
      <c r="BR67" s="141" t="s">
        <v>11</v>
      </c>
      <c r="BS67" s="141" t="s">
        <v>12</v>
      </c>
      <c r="BT67" s="111"/>
      <c r="BU67" s="141" t="s">
        <v>18</v>
      </c>
      <c r="BV67" s="141" t="s">
        <v>3</v>
      </c>
      <c r="BW67" s="141" t="s">
        <v>4</v>
      </c>
      <c r="BX67" s="138" t="s">
        <v>2</v>
      </c>
      <c r="BY67" s="139"/>
      <c r="BZ67" s="139"/>
      <c r="CA67" s="139"/>
      <c r="CB67" s="139"/>
      <c r="CC67" s="140"/>
      <c r="CD67" s="141" t="s">
        <v>11</v>
      </c>
      <c r="CE67" s="141" t="s">
        <v>12</v>
      </c>
      <c r="CF67" s="111"/>
      <c r="CG67" s="141" t="s">
        <v>18</v>
      </c>
      <c r="CH67" s="141" t="s">
        <v>3</v>
      </c>
      <c r="CI67" s="141" t="s">
        <v>4</v>
      </c>
      <c r="CJ67" s="138" t="s">
        <v>2</v>
      </c>
      <c r="CK67" s="139"/>
      <c r="CL67" s="139"/>
      <c r="CM67" s="139"/>
      <c r="CN67" s="139"/>
      <c r="CO67" s="140"/>
      <c r="CP67" s="141" t="s">
        <v>11</v>
      </c>
      <c r="CQ67" s="141" t="s">
        <v>12</v>
      </c>
      <c r="CR67" s="111"/>
      <c r="CS67" s="141" t="s">
        <v>18</v>
      </c>
      <c r="CT67" s="141" t="s">
        <v>3</v>
      </c>
      <c r="CU67" s="141" t="s">
        <v>4</v>
      </c>
      <c r="CV67" s="138" t="s">
        <v>2</v>
      </c>
      <c r="CW67" s="139"/>
      <c r="CX67" s="139"/>
      <c r="CY67" s="139"/>
      <c r="CZ67" s="139"/>
      <c r="DA67" s="140"/>
      <c r="DB67" s="141" t="s">
        <v>11</v>
      </c>
      <c r="DC67" s="141" t="s">
        <v>12</v>
      </c>
      <c r="DD67" s="111"/>
      <c r="DE67" s="141" t="s">
        <v>18</v>
      </c>
      <c r="DF67" s="141" t="s">
        <v>3</v>
      </c>
      <c r="DG67" s="141" t="s">
        <v>4</v>
      </c>
      <c r="DH67" s="138" t="s">
        <v>2</v>
      </c>
      <c r="DI67" s="139"/>
      <c r="DJ67" s="139"/>
      <c r="DK67" s="139"/>
      <c r="DL67" s="139"/>
      <c r="DM67" s="140"/>
      <c r="DN67" s="141" t="s">
        <v>11</v>
      </c>
      <c r="DO67" s="141" t="s">
        <v>12</v>
      </c>
      <c r="DP67" s="111"/>
      <c r="DQ67" s="141" t="s">
        <v>18</v>
      </c>
      <c r="DR67" s="141" t="s">
        <v>3</v>
      </c>
      <c r="DS67" s="141" t="s">
        <v>4</v>
      </c>
      <c r="DT67" s="138" t="s">
        <v>2</v>
      </c>
      <c r="DU67" s="139"/>
      <c r="DV67" s="139"/>
      <c r="DW67" s="139"/>
      <c r="DX67" s="139"/>
      <c r="DY67" s="140"/>
      <c r="DZ67" s="141" t="s">
        <v>11</v>
      </c>
      <c r="EA67" s="141" t="s">
        <v>12</v>
      </c>
      <c r="EB67" s="111"/>
      <c r="EC67" s="141" t="s">
        <v>18</v>
      </c>
      <c r="ED67" s="141" t="s">
        <v>3</v>
      </c>
      <c r="EE67" s="141" t="s">
        <v>4</v>
      </c>
      <c r="EF67" s="138" t="s">
        <v>2</v>
      </c>
      <c r="EG67" s="139"/>
      <c r="EH67" s="139"/>
      <c r="EI67" s="139"/>
      <c r="EJ67" s="139"/>
      <c r="EK67" s="140"/>
      <c r="EL67" s="141" t="s">
        <v>11</v>
      </c>
      <c r="EM67" s="141" t="s">
        <v>12</v>
      </c>
      <c r="EN67" s="111"/>
      <c r="EO67" s="141" t="s">
        <v>18</v>
      </c>
      <c r="EP67" s="141" t="s">
        <v>3</v>
      </c>
      <c r="EQ67" s="141" t="s">
        <v>4</v>
      </c>
      <c r="ER67" s="138" t="s">
        <v>2</v>
      </c>
      <c r="ES67" s="139"/>
      <c r="ET67" s="139"/>
      <c r="EU67" s="139"/>
      <c r="EV67" s="139"/>
      <c r="EW67" s="140"/>
      <c r="EX67" s="141" t="s">
        <v>11</v>
      </c>
      <c r="EY67" s="141" t="s">
        <v>12</v>
      </c>
      <c r="EZ67" s="60"/>
    </row>
    <row r="68" spans="1:156" ht="15.95" customHeight="1" thickBot="1" x14ac:dyDescent="0.25">
      <c r="A68" s="142"/>
      <c r="B68" s="142"/>
      <c r="C68" s="142"/>
      <c r="D68" s="66" t="s">
        <v>5</v>
      </c>
      <c r="E68" s="67" t="s">
        <v>6</v>
      </c>
      <c r="F68" s="67" t="s">
        <v>7</v>
      </c>
      <c r="G68" s="67" t="s">
        <v>8</v>
      </c>
      <c r="H68" s="67" t="s">
        <v>9</v>
      </c>
      <c r="I68" s="68" t="s">
        <v>10</v>
      </c>
      <c r="J68" s="142"/>
      <c r="K68" s="142"/>
      <c r="L68" s="111"/>
      <c r="M68" s="142"/>
      <c r="N68" s="142"/>
      <c r="O68" s="142"/>
      <c r="P68" s="66" t="s">
        <v>5</v>
      </c>
      <c r="Q68" s="67" t="s">
        <v>6</v>
      </c>
      <c r="R68" s="67" t="s">
        <v>7</v>
      </c>
      <c r="S68" s="67" t="s">
        <v>8</v>
      </c>
      <c r="T68" s="67" t="s">
        <v>9</v>
      </c>
      <c r="U68" s="68" t="s">
        <v>10</v>
      </c>
      <c r="V68" s="142"/>
      <c r="W68" s="142"/>
      <c r="X68" s="111"/>
      <c r="Y68" s="142"/>
      <c r="Z68" s="142"/>
      <c r="AA68" s="142"/>
      <c r="AB68" s="66" t="s">
        <v>5</v>
      </c>
      <c r="AC68" s="67" t="s">
        <v>6</v>
      </c>
      <c r="AD68" s="67" t="s">
        <v>7</v>
      </c>
      <c r="AE68" s="67" t="s">
        <v>8</v>
      </c>
      <c r="AF68" s="67" t="s">
        <v>9</v>
      </c>
      <c r="AG68" s="68" t="s">
        <v>10</v>
      </c>
      <c r="AH68" s="142"/>
      <c r="AI68" s="142"/>
      <c r="AJ68" s="111"/>
      <c r="AK68" s="142"/>
      <c r="AL68" s="142"/>
      <c r="AM68" s="142"/>
      <c r="AN68" s="66" t="s">
        <v>5</v>
      </c>
      <c r="AO68" s="67" t="s">
        <v>6</v>
      </c>
      <c r="AP68" s="67" t="s">
        <v>7</v>
      </c>
      <c r="AQ68" s="67" t="s">
        <v>8</v>
      </c>
      <c r="AR68" s="67" t="s">
        <v>9</v>
      </c>
      <c r="AS68" s="68" t="s">
        <v>10</v>
      </c>
      <c r="AT68" s="142"/>
      <c r="AU68" s="142"/>
      <c r="AV68" s="111"/>
      <c r="AW68" s="142"/>
      <c r="AX68" s="142"/>
      <c r="AY68" s="142"/>
      <c r="AZ68" s="66" t="s">
        <v>5</v>
      </c>
      <c r="BA68" s="67" t="s">
        <v>6</v>
      </c>
      <c r="BB68" s="67" t="s">
        <v>7</v>
      </c>
      <c r="BC68" s="67" t="s">
        <v>8</v>
      </c>
      <c r="BD68" s="67" t="s">
        <v>9</v>
      </c>
      <c r="BE68" s="68" t="s">
        <v>10</v>
      </c>
      <c r="BF68" s="142"/>
      <c r="BG68" s="142"/>
      <c r="BH68" s="111"/>
      <c r="BI68" s="142"/>
      <c r="BJ68" s="142"/>
      <c r="BK68" s="142"/>
      <c r="BL68" s="66" t="s">
        <v>5</v>
      </c>
      <c r="BM68" s="67" t="s">
        <v>6</v>
      </c>
      <c r="BN68" s="67" t="s">
        <v>7</v>
      </c>
      <c r="BO68" s="67" t="s">
        <v>8</v>
      </c>
      <c r="BP68" s="67" t="s">
        <v>9</v>
      </c>
      <c r="BQ68" s="68" t="s">
        <v>10</v>
      </c>
      <c r="BR68" s="142"/>
      <c r="BS68" s="142"/>
      <c r="BT68" s="111"/>
      <c r="BU68" s="142"/>
      <c r="BV68" s="142"/>
      <c r="BW68" s="142"/>
      <c r="BX68" s="66" t="s">
        <v>5</v>
      </c>
      <c r="BY68" s="67" t="s">
        <v>6</v>
      </c>
      <c r="BZ68" s="67" t="s">
        <v>7</v>
      </c>
      <c r="CA68" s="67" t="s">
        <v>8</v>
      </c>
      <c r="CB68" s="67" t="s">
        <v>9</v>
      </c>
      <c r="CC68" s="68" t="s">
        <v>10</v>
      </c>
      <c r="CD68" s="142"/>
      <c r="CE68" s="142"/>
      <c r="CF68" s="111"/>
      <c r="CG68" s="142"/>
      <c r="CH68" s="142"/>
      <c r="CI68" s="142"/>
      <c r="CJ68" s="66" t="s">
        <v>5</v>
      </c>
      <c r="CK68" s="67" t="s">
        <v>6</v>
      </c>
      <c r="CL68" s="67" t="s">
        <v>7</v>
      </c>
      <c r="CM68" s="67" t="s">
        <v>8</v>
      </c>
      <c r="CN68" s="67" t="s">
        <v>9</v>
      </c>
      <c r="CO68" s="68" t="s">
        <v>10</v>
      </c>
      <c r="CP68" s="142"/>
      <c r="CQ68" s="142"/>
      <c r="CR68" s="111"/>
      <c r="CS68" s="142"/>
      <c r="CT68" s="142"/>
      <c r="CU68" s="142"/>
      <c r="CV68" s="66" t="s">
        <v>5</v>
      </c>
      <c r="CW68" s="67" t="s">
        <v>6</v>
      </c>
      <c r="CX68" s="67" t="s">
        <v>7</v>
      </c>
      <c r="CY68" s="67" t="s">
        <v>8</v>
      </c>
      <c r="CZ68" s="67" t="s">
        <v>9</v>
      </c>
      <c r="DA68" s="68" t="s">
        <v>10</v>
      </c>
      <c r="DB68" s="142"/>
      <c r="DC68" s="142"/>
      <c r="DD68" s="111"/>
      <c r="DE68" s="142"/>
      <c r="DF68" s="142"/>
      <c r="DG68" s="142"/>
      <c r="DH68" s="66" t="s">
        <v>5</v>
      </c>
      <c r="DI68" s="67" t="s">
        <v>6</v>
      </c>
      <c r="DJ68" s="67" t="s">
        <v>7</v>
      </c>
      <c r="DK68" s="67" t="s">
        <v>8</v>
      </c>
      <c r="DL68" s="67" t="s">
        <v>9</v>
      </c>
      <c r="DM68" s="68" t="s">
        <v>10</v>
      </c>
      <c r="DN68" s="142"/>
      <c r="DO68" s="142"/>
      <c r="DP68" s="111"/>
      <c r="DQ68" s="142"/>
      <c r="DR68" s="142"/>
      <c r="DS68" s="142"/>
      <c r="DT68" s="66" t="s">
        <v>5</v>
      </c>
      <c r="DU68" s="67" t="s">
        <v>6</v>
      </c>
      <c r="DV68" s="67" t="s">
        <v>7</v>
      </c>
      <c r="DW68" s="67" t="s">
        <v>8</v>
      </c>
      <c r="DX68" s="67" t="s">
        <v>9</v>
      </c>
      <c r="DY68" s="68" t="s">
        <v>10</v>
      </c>
      <c r="DZ68" s="142"/>
      <c r="EA68" s="142"/>
      <c r="EB68" s="111"/>
      <c r="EC68" s="142"/>
      <c r="ED68" s="142"/>
      <c r="EE68" s="142"/>
      <c r="EF68" s="66" t="s">
        <v>5</v>
      </c>
      <c r="EG68" s="67" t="s">
        <v>6</v>
      </c>
      <c r="EH68" s="67" t="s">
        <v>7</v>
      </c>
      <c r="EI68" s="67" t="s">
        <v>8</v>
      </c>
      <c r="EJ68" s="67" t="s">
        <v>9</v>
      </c>
      <c r="EK68" s="68" t="s">
        <v>10</v>
      </c>
      <c r="EL68" s="142"/>
      <c r="EM68" s="142"/>
      <c r="EN68" s="111"/>
      <c r="EO68" s="142"/>
      <c r="EP68" s="142"/>
      <c r="EQ68" s="142"/>
      <c r="ER68" s="66" t="s">
        <v>5</v>
      </c>
      <c r="ES68" s="67" t="s">
        <v>6</v>
      </c>
      <c r="ET68" s="67" t="s">
        <v>7</v>
      </c>
      <c r="EU68" s="67" t="s">
        <v>8</v>
      </c>
      <c r="EV68" s="67" t="s">
        <v>9</v>
      </c>
      <c r="EW68" s="68" t="s">
        <v>10</v>
      </c>
      <c r="EX68" s="142"/>
      <c r="EY68" s="142"/>
      <c r="EZ68" s="60"/>
    </row>
    <row r="69" spans="1:156" ht="15.95" customHeight="1" thickBot="1" x14ac:dyDescent="0.25">
      <c r="A69" s="145" t="s">
        <v>31</v>
      </c>
      <c r="B69" s="141" t="s">
        <v>14</v>
      </c>
      <c r="C69" s="88" t="s">
        <v>13</v>
      </c>
      <c r="D69" s="70">
        <f>D5+D10+D15+D20+D25+D30+D35+D40+D45+D50+D55+D60</f>
        <v>8169</v>
      </c>
      <c r="E69" s="70">
        <f t="shared" ref="E69:I69" si="212">E5+E10+E15+E20+E25+E30+E35+E40+E45+E50+E55+E60</f>
        <v>20698</v>
      </c>
      <c r="F69" s="70">
        <f t="shared" si="212"/>
        <v>39558</v>
      </c>
      <c r="G69" s="70">
        <f t="shared" si="212"/>
        <v>60478</v>
      </c>
      <c r="H69" s="70">
        <f t="shared" si="212"/>
        <v>16703</v>
      </c>
      <c r="I69" s="70">
        <f t="shared" si="212"/>
        <v>6882</v>
      </c>
      <c r="J69" s="89">
        <f>SUM(D69:I69)</f>
        <v>152488</v>
      </c>
      <c r="K69" s="143">
        <f>K5+K10+K15+K20+K25+K30+K35+K40+K45+K50+K55+K60</f>
        <v>57225</v>
      </c>
      <c r="L69" s="111"/>
      <c r="M69" s="145" t="s">
        <v>31</v>
      </c>
      <c r="N69" s="141" t="s">
        <v>14</v>
      </c>
      <c r="O69" s="88" t="s">
        <v>13</v>
      </c>
      <c r="P69" s="70" t="e">
        <f>P5+P10+P15+P20+P25+P30+P35+P40+P45+P50+P55+P60</f>
        <v>#VALUE!</v>
      </c>
      <c r="Q69" s="70">
        <f t="shared" ref="Q69:U69" si="213">Q5+Q10+Q15+Q20+Q25+Q30+Q35+Q40+Q45+Q50+Q55+Q60</f>
        <v>20698</v>
      </c>
      <c r="R69" s="70">
        <f t="shared" si="213"/>
        <v>39558</v>
      </c>
      <c r="S69" s="70">
        <f t="shared" si="213"/>
        <v>60478</v>
      </c>
      <c r="T69" s="70">
        <f t="shared" si="213"/>
        <v>16703</v>
      </c>
      <c r="U69" s="70">
        <f t="shared" si="213"/>
        <v>6882</v>
      </c>
      <c r="V69" s="89" t="e">
        <f>SUM(P69:U69)</f>
        <v>#VALUE!</v>
      </c>
      <c r="W69" s="143">
        <f>W5+W10+W15+W20+W25+W30+W35+W40+W45+W50+W55+W60</f>
        <v>57225</v>
      </c>
      <c r="X69" s="111"/>
      <c r="Y69" s="145" t="s">
        <v>31</v>
      </c>
      <c r="Z69" s="141" t="s">
        <v>14</v>
      </c>
      <c r="AA69" s="88" t="s">
        <v>13</v>
      </c>
      <c r="AB69" s="70" t="e">
        <f>AB5+AB10+AB15+AB20+AB25+AB30+AB35+AB40+AB45+AB50+AB55+AB60</f>
        <v>#VALUE!</v>
      </c>
      <c r="AC69" s="70">
        <f t="shared" ref="AC69:AG69" si="214">AC5+AC10+AC15+AC20+AC25+AC30+AC35+AC40+AC45+AC50+AC55+AC60</f>
        <v>20698</v>
      </c>
      <c r="AD69" s="70">
        <f t="shared" si="214"/>
        <v>39558</v>
      </c>
      <c r="AE69" s="70">
        <f t="shared" si="214"/>
        <v>60478</v>
      </c>
      <c r="AF69" s="70">
        <f t="shared" si="214"/>
        <v>16703</v>
      </c>
      <c r="AG69" s="70">
        <f t="shared" si="214"/>
        <v>6882</v>
      </c>
      <c r="AH69" s="89" t="e">
        <f>SUM(AB69:AG69)</f>
        <v>#VALUE!</v>
      </c>
      <c r="AI69" s="143">
        <f>AI5+AI10+AI15+AI20+AI25+AI30+AI35+AI40+AI45+AI50+AI55+AI60</f>
        <v>57225</v>
      </c>
      <c r="AJ69" s="111"/>
      <c r="AK69" s="145" t="s">
        <v>31</v>
      </c>
      <c r="AL69" s="141" t="s">
        <v>14</v>
      </c>
      <c r="AM69" s="88" t="s">
        <v>13</v>
      </c>
      <c r="AN69" s="70" t="e">
        <f>AN5+AN10+AN15+AN20+AN25+AN30+AN35+AN40+AN45+AN50+AN55+AN60</f>
        <v>#VALUE!</v>
      </c>
      <c r="AO69" s="70">
        <f t="shared" ref="AO69:AS69" si="215">AO5+AO10+AO15+AO20+AO25+AO30+AO35+AO40+AO45+AO50+AO55+AO60</f>
        <v>20698</v>
      </c>
      <c r="AP69" s="70">
        <f t="shared" si="215"/>
        <v>39558</v>
      </c>
      <c r="AQ69" s="70">
        <f t="shared" si="215"/>
        <v>60478</v>
      </c>
      <c r="AR69" s="70">
        <f t="shared" si="215"/>
        <v>16703</v>
      </c>
      <c r="AS69" s="70">
        <f t="shared" si="215"/>
        <v>6882</v>
      </c>
      <c r="AT69" s="89" t="e">
        <f>SUM(AN69:AS69)</f>
        <v>#VALUE!</v>
      </c>
      <c r="AU69" s="143">
        <f>AU5+AU10+AU15+AU20+AU25+AU30+AU35+AU40+AU45+AU50+AU55+AU60</f>
        <v>57225</v>
      </c>
      <c r="AV69" s="111"/>
      <c r="AW69" s="145" t="s">
        <v>31</v>
      </c>
      <c r="AX69" s="141" t="s">
        <v>14</v>
      </c>
      <c r="AY69" s="88" t="s">
        <v>13</v>
      </c>
      <c r="AZ69" s="70" t="e">
        <f>AZ5+AZ10+AZ15+AZ20+AZ25+AZ30+AZ35+AZ40+AZ45+AZ50+AZ55+AZ60</f>
        <v>#VALUE!</v>
      </c>
      <c r="BA69" s="70">
        <f t="shared" ref="BA69:BE69" si="216">BA5+BA10+BA15+BA20+BA25+BA30+BA35+BA40+BA45+BA50+BA55+BA60</f>
        <v>20698</v>
      </c>
      <c r="BB69" s="70">
        <f t="shared" si="216"/>
        <v>39558</v>
      </c>
      <c r="BC69" s="70">
        <f t="shared" si="216"/>
        <v>60478</v>
      </c>
      <c r="BD69" s="70">
        <f t="shared" si="216"/>
        <v>16703</v>
      </c>
      <c r="BE69" s="70">
        <f t="shared" si="216"/>
        <v>6882</v>
      </c>
      <c r="BF69" s="89" t="e">
        <f>SUM(AZ69:BE69)</f>
        <v>#VALUE!</v>
      </c>
      <c r="BG69" s="143">
        <f>BG5+BG10+BG15+BG20+BG25+BG30+BG35+BG40+BG45+BG50+BG55+BG60</f>
        <v>57225</v>
      </c>
      <c r="BH69" s="111"/>
      <c r="BI69" s="145" t="s">
        <v>31</v>
      </c>
      <c r="BJ69" s="141" t="s">
        <v>14</v>
      </c>
      <c r="BK69" s="88" t="s">
        <v>13</v>
      </c>
      <c r="BL69" s="70" t="e">
        <f>BL5+BL10+BL15+BL20+BL25+BL30+BL35+BL40+BL45+BL50+BL55+BL60</f>
        <v>#VALUE!</v>
      </c>
      <c r="BM69" s="70">
        <f t="shared" ref="BM69:BQ69" si="217">BM5+BM10+BM15+BM20+BM25+BM30+BM35+BM40+BM45+BM50+BM55+BM60</f>
        <v>20698</v>
      </c>
      <c r="BN69" s="70">
        <f t="shared" si="217"/>
        <v>39558</v>
      </c>
      <c r="BO69" s="70">
        <f t="shared" si="217"/>
        <v>60478</v>
      </c>
      <c r="BP69" s="70">
        <f t="shared" si="217"/>
        <v>16703</v>
      </c>
      <c r="BQ69" s="70">
        <f t="shared" si="217"/>
        <v>6882</v>
      </c>
      <c r="BR69" s="89" t="e">
        <f>SUM(BL69:BQ69)</f>
        <v>#VALUE!</v>
      </c>
      <c r="BS69" s="143">
        <f>BS5+BS10+BS15+BS20+BS25+BS30+BS35+BS40+BS45+BS50+BS55+BS60</f>
        <v>57225</v>
      </c>
      <c r="BT69" s="111"/>
      <c r="BU69" s="145" t="s">
        <v>31</v>
      </c>
      <c r="BV69" s="141" t="s">
        <v>14</v>
      </c>
      <c r="BW69" s="88" t="s">
        <v>13</v>
      </c>
      <c r="BX69" s="70" t="e">
        <f>BX5+BX10+BX15+BX20+BX25+BX30+BX35+BX40+BX45+BX50+BX55+BX60</f>
        <v>#VALUE!</v>
      </c>
      <c r="BY69" s="70">
        <f t="shared" ref="BY69:CC69" si="218">BY5+BY10+BY15+BY20+BY25+BY30+BY35+BY40+BY45+BY50+BY55+BY60</f>
        <v>20698</v>
      </c>
      <c r="BZ69" s="70">
        <f t="shared" si="218"/>
        <v>39558</v>
      </c>
      <c r="CA69" s="70">
        <f t="shared" si="218"/>
        <v>60478</v>
      </c>
      <c r="CB69" s="70">
        <f t="shared" si="218"/>
        <v>16703</v>
      </c>
      <c r="CC69" s="70">
        <f t="shared" si="218"/>
        <v>6882</v>
      </c>
      <c r="CD69" s="89" t="e">
        <f>SUM(BX69:CC69)</f>
        <v>#VALUE!</v>
      </c>
      <c r="CE69" s="143">
        <f>CE5+CE10+CE15+CE20+CE25+CE30+CE35+CE40+CE45+CE50+CE55+CE60</f>
        <v>57225</v>
      </c>
      <c r="CF69" s="111"/>
      <c r="CG69" s="145" t="s">
        <v>31</v>
      </c>
      <c r="CH69" s="141" t="s">
        <v>14</v>
      </c>
      <c r="CI69" s="88" t="s">
        <v>13</v>
      </c>
      <c r="CJ69" s="70" t="e">
        <f>CJ5+CJ10+CJ15+CJ20+CJ25+CJ30+CJ35+CJ40+CJ45+CJ50+CJ55+CJ60</f>
        <v>#VALUE!</v>
      </c>
      <c r="CK69" s="70">
        <f t="shared" ref="CK69:CO69" si="219">CK5+CK10+CK15+CK20+CK25+CK30+CK35+CK40+CK45+CK50+CK55+CK60</f>
        <v>20698</v>
      </c>
      <c r="CL69" s="70">
        <f t="shared" si="219"/>
        <v>39558</v>
      </c>
      <c r="CM69" s="70">
        <f t="shared" si="219"/>
        <v>60478</v>
      </c>
      <c r="CN69" s="70">
        <f t="shared" si="219"/>
        <v>16703</v>
      </c>
      <c r="CO69" s="70">
        <f t="shared" si="219"/>
        <v>6882</v>
      </c>
      <c r="CP69" s="89" t="e">
        <f>SUM(CJ69:CO69)</f>
        <v>#VALUE!</v>
      </c>
      <c r="CQ69" s="143">
        <f>CQ5+CQ10+CQ15+CQ20+CQ25+CQ30+CQ35+CQ40+CQ45+CQ50+CQ55+CQ60</f>
        <v>57225</v>
      </c>
      <c r="CR69" s="111"/>
      <c r="CS69" s="145" t="s">
        <v>31</v>
      </c>
      <c r="CT69" s="141" t="s">
        <v>14</v>
      </c>
      <c r="CU69" s="88" t="s">
        <v>13</v>
      </c>
      <c r="CV69" s="70" t="e">
        <f>CV5+CV10+CV15+CV20+CV25+CV30+CV35+CV40+CV45+CV50+CV55+CV60</f>
        <v>#VALUE!</v>
      </c>
      <c r="CW69" s="70">
        <f t="shared" ref="CW69:DA69" si="220">CW5+CW10+CW15+CW20+CW25+CW30+CW35+CW40+CW45+CW50+CW55+CW60</f>
        <v>20698</v>
      </c>
      <c r="CX69" s="70">
        <f t="shared" si="220"/>
        <v>39558</v>
      </c>
      <c r="CY69" s="70">
        <f t="shared" si="220"/>
        <v>60478</v>
      </c>
      <c r="CZ69" s="70">
        <f t="shared" si="220"/>
        <v>16703</v>
      </c>
      <c r="DA69" s="70">
        <f t="shared" si="220"/>
        <v>6882</v>
      </c>
      <c r="DB69" s="89" t="e">
        <f>SUM(CV69:DA69)</f>
        <v>#VALUE!</v>
      </c>
      <c r="DC69" s="143">
        <f>DC5+DC10+DC15+DC20+DC25+DC30+DC35+DC40+DC45+DC50+DC55+DC60</f>
        <v>57225</v>
      </c>
      <c r="DD69" s="111"/>
      <c r="DE69" s="145" t="s">
        <v>31</v>
      </c>
      <c r="DF69" s="141" t="s">
        <v>14</v>
      </c>
      <c r="DG69" s="88" t="s">
        <v>13</v>
      </c>
      <c r="DH69" s="70">
        <f>DH5+DH10+DH15+DH20+DH25+DH30+DH35+DH40+DH45+DH50+DH55+DH60</f>
        <v>0</v>
      </c>
      <c r="DI69" s="70">
        <f t="shared" ref="DI69:DM69" si="221">DI5+DI10+DI15+DI20+DI25+DI30+DI35+DI40+DI45+DI50+DI55+DI60</f>
        <v>0</v>
      </c>
      <c r="DJ69" s="70">
        <f t="shared" si="221"/>
        <v>0</v>
      </c>
      <c r="DK69" s="70">
        <f t="shared" si="221"/>
        <v>0</v>
      </c>
      <c r="DL69" s="70">
        <f t="shared" si="221"/>
        <v>0</v>
      </c>
      <c r="DM69" s="70">
        <f t="shared" si="221"/>
        <v>0</v>
      </c>
      <c r="DN69" s="89">
        <f>SUM(DH69:DM69)</f>
        <v>0</v>
      </c>
      <c r="DO69" s="143">
        <f>DO5+DO10+DO15+DO20+DO25+DO30+DO35+DO40+DO45+DO50+DO55+DO60</f>
        <v>0</v>
      </c>
      <c r="DP69" s="111"/>
      <c r="DQ69" s="145" t="s">
        <v>31</v>
      </c>
      <c r="DR69" s="141" t="s">
        <v>14</v>
      </c>
      <c r="DS69" s="88" t="s">
        <v>13</v>
      </c>
      <c r="DT69" s="70">
        <f>DT5+DT10+DT15+DT20+DT25+DT30+DT35+DT40+DT45+DT50+DT55+DT60</f>
        <v>0</v>
      </c>
      <c r="DU69" s="70">
        <f t="shared" ref="DU69:DY69" si="222">DU5+DU10+DU15+DU20+DU25+DU30+DU35+DU40+DU45+DU50+DU55+DU60</f>
        <v>0</v>
      </c>
      <c r="DV69" s="70">
        <f t="shared" si="222"/>
        <v>0</v>
      </c>
      <c r="DW69" s="70">
        <f t="shared" si="222"/>
        <v>0</v>
      </c>
      <c r="DX69" s="70">
        <f t="shared" si="222"/>
        <v>0</v>
      </c>
      <c r="DY69" s="70">
        <f t="shared" si="222"/>
        <v>0</v>
      </c>
      <c r="DZ69" s="89">
        <f>SUM(DT69:DY69)</f>
        <v>0</v>
      </c>
      <c r="EA69" s="143">
        <f>EA5+EA10+EA15+EA20+EA25+EA30+EA35+EA40+EA45+EA50+EA55+EA60</f>
        <v>0</v>
      </c>
      <c r="EB69" s="111"/>
      <c r="EC69" s="145" t="s">
        <v>31</v>
      </c>
      <c r="ED69" s="141" t="s">
        <v>14</v>
      </c>
      <c r="EE69" s="88" t="s">
        <v>13</v>
      </c>
      <c r="EF69" s="70">
        <f>EF5+EF10+EF15+EF20+EF25+EF30+EF35+EF40+EF45+EF50+EF55+EF60</f>
        <v>0</v>
      </c>
      <c r="EG69" s="70">
        <f t="shared" ref="EG69:EK69" si="223">EG5+EG10+EG15+EG20+EG25+EG30+EG35+EG40+EG45+EG50+EG55+EG60</f>
        <v>0</v>
      </c>
      <c r="EH69" s="70">
        <f t="shared" si="223"/>
        <v>0</v>
      </c>
      <c r="EI69" s="70">
        <f t="shared" si="223"/>
        <v>0</v>
      </c>
      <c r="EJ69" s="70">
        <f t="shared" si="223"/>
        <v>0</v>
      </c>
      <c r="EK69" s="70">
        <f t="shared" si="223"/>
        <v>0</v>
      </c>
      <c r="EL69" s="89">
        <f>SUM(EF69:EK69)</f>
        <v>0</v>
      </c>
      <c r="EM69" s="143">
        <f>EM5+EM10+EM15+EM20+EM25+EM30+EM35+EM40+EM45+EM50+EM55+EM60</f>
        <v>0</v>
      </c>
      <c r="EN69" s="111"/>
      <c r="EO69" s="145" t="s">
        <v>31</v>
      </c>
      <c r="EP69" s="141" t="s">
        <v>14</v>
      </c>
      <c r="EQ69" s="88" t="s">
        <v>13</v>
      </c>
      <c r="ER69" s="70">
        <f>ER5+ER10+ER15+ER20+ER25+ER30+ER35+ER40+ER45+ER50+ER55+ER60</f>
        <v>0</v>
      </c>
      <c r="ES69" s="70">
        <f t="shared" ref="ES69:EW69" si="224">ES5+ES10+ES15+ES20+ES25+ES30+ES35+ES40+ES45+ES50+ES55+ES60</f>
        <v>0</v>
      </c>
      <c r="ET69" s="70">
        <f t="shared" si="224"/>
        <v>0</v>
      </c>
      <c r="EU69" s="70">
        <f t="shared" si="224"/>
        <v>0</v>
      </c>
      <c r="EV69" s="70">
        <f t="shared" si="224"/>
        <v>0</v>
      </c>
      <c r="EW69" s="70">
        <f t="shared" si="224"/>
        <v>0</v>
      </c>
      <c r="EX69" s="89">
        <f>SUM(ER69:EW69)</f>
        <v>0</v>
      </c>
      <c r="EY69" s="143">
        <f>EY5+EY10+EY15+EY20+EY25+EY30+EY35+EY40+EY45+EY50+EY55+EY60</f>
        <v>0</v>
      </c>
      <c r="EZ69" s="87"/>
    </row>
    <row r="70" spans="1:156" ht="15.95" customHeight="1" thickBot="1" x14ac:dyDescent="0.25">
      <c r="A70" s="146"/>
      <c r="B70" s="142"/>
      <c r="C70" s="90" t="s">
        <v>15</v>
      </c>
      <c r="D70" s="70">
        <f t="shared" ref="D70:I70" si="225">D6+D11+D16+D21+D26+D31+D36+D41+D46+D51+D56+D61</f>
        <v>6430</v>
      </c>
      <c r="E70" s="70">
        <f t="shared" si="225"/>
        <v>33944</v>
      </c>
      <c r="F70" s="70">
        <f t="shared" si="225"/>
        <v>37032</v>
      </c>
      <c r="G70" s="70">
        <f t="shared" si="225"/>
        <v>67067</v>
      </c>
      <c r="H70" s="70">
        <f t="shared" si="225"/>
        <v>13092</v>
      </c>
      <c r="I70" s="70">
        <f t="shared" si="225"/>
        <v>4975</v>
      </c>
      <c r="J70" s="91">
        <f>SUM(D70:I70)</f>
        <v>162540</v>
      </c>
      <c r="K70" s="144"/>
      <c r="L70" s="111"/>
      <c r="M70" s="146"/>
      <c r="N70" s="142"/>
      <c r="O70" s="90" t="s">
        <v>15</v>
      </c>
      <c r="P70" s="70">
        <f t="shared" ref="P70:U70" si="226">P6+P11+P16+P21+P26+P31+P36+P41+P46+P51+P56+P61</f>
        <v>6430</v>
      </c>
      <c r="Q70" s="70">
        <f t="shared" si="226"/>
        <v>33944</v>
      </c>
      <c r="R70" s="70">
        <f t="shared" si="226"/>
        <v>37032</v>
      </c>
      <c r="S70" s="70">
        <f t="shared" si="226"/>
        <v>67067</v>
      </c>
      <c r="T70" s="70">
        <f t="shared" si="226"/>
        <v>13092</v>
      </c>
      <c r="U70" s="70">
        <f t="shared" si="226"/>
        <v>4975</v>
      </c>
      <c r="V70" s="91">
        <f>SUM(P70:U70)</f>
        <v>162540</v>
      </c>
      <c r="W70" s="144"/>
      <c r="X70" s="111"/>
      <c r="Y70" s="146"/>
      <c r="Z70" s="142"/>
      <c r="AA70" s="90" t="s">
        <v>15</v>
      </c>
      <c r="AB70" s="70">
        <f t="shared" ref="AB70:AG70" si="227">AB6+AB11+AB16+AB21+AB26+AB31+AB36+AB41+AB46+AB51+AB56+AB61</f>
        <v>6430</v>
      </c>
      <c r="AC70" s="70">
        <f t="shared" si="227"/>
        <v>33944</v>
      </c>
      <c r="AD70" s="70">
        <f t="shared" si="227"/>
        <v>37032</v>
      </c>
      <c r="AE70" s="70">
        <f t="shared" si="227"/>
        <v>67067</v>
      </c>
      <c r="AF70" s="70">
        <f t="shared" si="227"/>
        <v>13092</v>
      </c>
      <c r="AG70" s="70">
        <f t="shared" si="227"/>
        <v>4975</v>
      </c>
      <c r="AH70" s="91">
        <f>SUM(AB70:AG70)</f>
        <v>162540</v>
      </c>
      <c r="AI70" s="144"/>
      <c r="AJ70" s="111"/>
      <c r="AK70" s="146"/>
      <c r="AL70" s="142"/>
      <c r="AM70" s="90" t="s">
        <v>15</v>
      </c>
      <c r="AN70" s="70">
        <f t="shared" ref="AN70:AS70" si="228">AN6+AN11+AN16+AN21+AN26+AN31+AN36+AN41+AN46+AN51+AN56+AN61</f>
        <v>6430</v>
      </c>
      <c r="AO70" s="70">
        <f t="shared" si="228"/>
        <v>33944</v>
      </c>
      <c r="AP70" s="70">
        <f t="shared" si="228"/>
        <v>37032</v>
      </c>
      <c r="AQ70" s="70">
        <f t="shared" si="228"/>
        <v>67067</v>
      </c>
      <c r="AR70" s="70">
        <f t="shared" si="228"/>
        <v>13092</v>
      </c>
      <c r="AS70" s="70">
        <f t="shared" si="228"/>
        <v>4975</v>
      </c>
      <c r="AT70" s="91">
        <f>SUM(AN70:AS70)</f>
        <v>162540</v>
      </c>
      <c r="AU70" s="144"/>
      <c r="AV70" s="111"/>
      <c r="AW70" s="146"/>
      <c r="AX70" s="142"/>
      <c r="AY70" s="90" t="s">
        <v>15</v>
      </c>
      <c r="AZ70" s="70">
        <f t="shared" ref="AZ70:BE70" si="229">AZ6+AZ11+AZ16+AZ21+AZ26+AZ31+AZ36+AZ41+AZ46+AZ51+AZ56+AZ61</f>
        <v>6430</v>
      </c>
      <c r="BA70" s="70">
        <f t="shared" si="229"/>
        <v>33944</v>
      </c>
      <c r="BB70" s="70">
        <f t="shared" si="229"/>
        <v>37032</v>
      </c>
      <c r="BC70" s="70">
        <f t="shared" si="229"/>
        <v>67067</v>
      </c>
      <c r="BD70" s="70">
        <f t="shared" si="229"/>
        <v>13092</v>
      </c>
      <c r="BE70" s="70">
        <f t="shared" si="229"/>
        <v>4975</v>
      </c>
      <c r="BF70" s="91">
        <f>SUM(AZ70:BE70)</f>
        <v>162540</v>
      </c>
      <c r="BG70" s="144"/>
      <c r="BH70" s="111"/>
      <c r="BI70" s="146"/>
      <c r="BJ70" s="142"/>
      <c r="BK70" s="90" t="s">
        <v>15</v>
      </c>
      <c r="BL70" s="70">
        <f t="shared" ref="BL70:BQ70" si="230">BL6+BL11+BL16+BL21+BL26+BL31+BL36+BL41+BL46+BL51+BL56+BL61</f>
        <v>6430</v>
      </c>
      <c r="BM70" s="70">
        <f t="shared" si="230"/>
        <v>33944</v>
      </c>
      <c r="BN70" s="70">
        <f t="shared" si="230"/>
        <v>37032</v>
      </c>
      <c r="BO70" s="70">
        <f t="shared" si="230"/>
        <v>67067</v>
      </c>
      <c r="BP70" s="70">
        <f t="shared" si="230"/>
        <v>13092</v>
      </c>
      <c r="BQ70" s="70">
        <f t="shared" si="230"/>
        <v>4975</v>
      </c>
      <c r="BR70" s="91">
        <f>SUM(BL70:BQ70)</f>
        <v>162540</v>
      </c>
      <c r="BS70" s="144"/>
      <c r="BT70" s="111"/>
      <c r="BU70" s="146"/>
      <c r="BV70" s="142"/>
      <c r="BW70" s="90" t="s">
        <v>15</v>
      </c>
      <c r="BX70" s="70">
        <f t="shared" ref="BX70:CC70" si="231">BX6+BX11+BX16+BX21+BX26+BX31+BX36+BX41+BX46+BX51+BX56+BX61</f>
        <v>6430</v>
      </c>
      <c r="BY70" s="70">
        <f t="shared" si="231"/>
        <v>33944</v>
      </c>
      <c r="BZ70" s="70">
        <f t="shared" si="231"/>
        <v>37032</v>
      </c>
      <c r="CA70" s="70">
        <f t="shared" si="231"/>
        <v>67067</v>
      </c>
      <c r="CB70" s="70">
        <f t="shared" si="231"/>
        <v>13092</v>
      </c>
      <c r="CC70" s="70">
        <f t="shared" si="231"/>
        <v>4975</v>
      </c>
      <c r="CD70" s="91">
        <f>SUM(BX70:CC70)</f>
        <v>162540</v>
      </c>
      <c r="CE70" s="144"/>
      <c r="CF70" s="111"/>
      <c r="CG70" s="146"/>
      <c r="CH70" s="142"/>
      <c r="CI70" s="90" t="s">
        <v>15</v>
      </c>
      <c r="CJ70" s="70">
        <f t="shared" ref="CJ70:CO70" si="232">CJ6+CJ11+CJ16+CJ21+CJ26+CJ31+CJ36+CJ41+CJ46+CJ51+CJ56+CJ61</f>
        <v>6430</v>
      </c>
      <c r="CK70" s="70">
        <f t="shared" si="232"/>
        <v>33944</v>
      </c>
      <c r="CL70" s="70">
        <f t="shared" si="232"/>
        <v>37032</v>
      </c>
      <c r="CM70" s="70">
        <f t="shared" si="232"/>
        <v>67067</v>
      </c>
      <c r="CN70" s="70">
        <f t="shared" si="232"/>
        <v>13092</v>
      </c>
      <c r="CO70" s="70">
        <f t="shared" si="232"/>
        <v>4975</v>
      </c>
      <c r="CP70" s="91">
        <f>SUM(CJ70:CO70)</f>
        <v>162540</v>
      </c>
      <c r="CQ70" s="144"/>
      <c r="CR70" s="111"/>
      <c r="CS70" s="146"/>
      <c r="CT70" s="142"/>
      <c r="CU70" s="90" t="s">
        <v>15</v>
      </c>
      <c r="CV70" s="70">
        <f t="shared" ref="CV70:DA70" si="233">CV6+CV11+CV16+CV21+CV26+CV31+CV36+CV41+CV46+CV51+CV56+CV61</f>
        <v>6430</v>
      </c>
      <c r="CW70" s="70">
        <f t="shared" si="233"/>
        <v>33944</v>
      </c>
      <c r="CX70" s="70">
        <f t="shared" si="233"/>
        <v>37032</v>
      </c>
      <c r="CY70" s="70">
        <f t="shared" si="233"/>
        <v>67067</v>
      </c>
      <c r="CZ70" s="70">
        <f t="shared" si="233"/>
        <v>13092</v>
      </c>
      <c r="DA70" s="70">
        <f t="shared" si="233"/>
        <v>4975</v>
      </c>
      <c r="DB70" s="91">
        <f>SUM(CV70:DA70)</f>
        <v>162540</v>
      </c>
      <c r="DC70" s="144"/>
      <c r="DD70" s="111"/>
      <c r="DE70" s="146"/>
      <c r="DF70" s="142"/>
      <c r="DG70" s="90" t="s">
        <v>15</v>
      </c>
      <c r="DH70" s="70">
        <f t="shared" ref="DH70:DM70" si="234">DH6+DH11+DH16+DH21+DH26+DH31+DH36+DH41+DH46+DH51+DH56+DH61</f>
        <v>0</v>
      </c>
      <c r="DI70" s="70">
        <f t="shared" si="234"/>
        <v>0</v>
      </c>
      <c r="DJ70" s="70">
        <f t="shared" si="234"/>
        <v>0</v>
      </c>
      <c r="DK70" s="70">
        <f t="shared" si="234"/>
        <v>0</v>
      </c>
      <c r="DL70" s="70">
        <f t="shared" si="234"/>
        <v>0</v>
      </c>
      <c r="DM70" s="70">
        <f t="shared" si="234"/>
        <v>0</v>
      </c>
      <c r="DN70" s="91">
        <f>SUM(DH70:DM70)</f>
        <v>0</v>
      </c>
      <c r="DO70" s="144"/>
      <c r="DP70" s="111"/>
      <c r="DQ70" s="146"/>
      <c r="DR70" s="142"/>
      <c r="DS70" s="90" t="s">
        <v>15</v>
      </c>
      <c r="DT70" s="70">
        <f t="shared" ref="DT70:DY70" si="235">DT6+DT11+DT16+DT21+DT26+DT31+DT36+DT41+DT46+DT51+DT56+DT61</f>
        <v>0</v>
      </c>
      <c r="DU70" s="70">
        <f t="shared" si="235"/>
        <v>0</v>
      </c>
      <c r="DV70" s="70">
        <f t="shared" si="235"/>
        <v>0</v>
      </c>
      <c r="DW70" s="70">
        <f t="shared" si="235"/>
        <v>0</v>
      </c>
      <c r="DX70" s="70">
        <f t="shared" si="235"/>
        <v>0</v>
      </c>
      <c r="DY70" s="70">
        <f t="shared" si="235"/>
        <v>0</v>
      </c>
      <c r="DZ70" s="91">
        <f>SUM(DT70:DY70)</f>
        <v>0</v>
      </c>
      <c r="EA70" s="144"/>
      <c r="EB70" s="111"/>
      <c r="EC70" s="146"/>
      <c r="ED70" s="142"/>
      <c r="EE70" s="90" t="s">
        <v>15</v>
      </c>
      <c r="EF70" s="70">
        <f t="shared" ref="EF70:EK70" si="236">EF6+EF11+EF16+EF21+EF26+EF31+EF36+EF41+EF46+EF51+EF56+EF61</f>
        <v>0</v>
      </c>
      <c r="EG70" s="70">
        <f t="shared" si="236"/>
        <v>0</v>
      </c>
      <c r="EH70" s="70">
        <f t="shared" si="236"/>
        <v>0</v>
      </c>
      <c r="EI70" s="70">
        <f t="shared" si="236"/>
        <v>0</v>
      </c>
      <c r="EJ70" s="70">
        <f t="shared" si="236"/>
        <v>0</v>
      </c>
      <c r="EK70" s="70">
        <f t="shared" si="236"/>
        <v>0</v>
      </c>
      <c r="EL70" s="91">
        <f>SUM(EF70:EK70)</f>
        <v>0</v>
      </c>
      <c r="EM70" s="144"/>
      <c r="EN70" s="111"/>
      <c r="EO70" s="146"/>
      <c r="EP70" s="142"/>
      <c r="EQ70" s="90" t="s">
        <v>15</v>
      </c>
      <c r="ER70" s="70">
        <f t="shared" ref="ER70:EW70" si="237">ER6+ER11+ER16+ER21+ER26+ER31+ER36+ER41+ER46+ER51+ER56+ER61</f>
        <v>0</v>
      </c>
      <c r="ES70" s="70">
        <f t="shared" si="237"/>
        <v>0</v>
      </c>
      <c r="ET70" s="70">
        <f t="shared" si="237"/>
        <v>0</v>
      </c>
      <c r="EU70" s="70">
        <f t="shared" si="237"/>
        <v>0</v>
      </c>
      <c r="EV70" s="70">
        <f t="shared" si="237"/>
        <v>0</v>
      </c>
      <c r="EW70" s="70">
        <f t="shared" si="237"/>
        <v>0</v>
      </c>
      <c r="EX70" s="91">
        <f>SUM(ER70:EW70)</f>
        <v>0</v>
      </c>
      <c r="EY70" s="144"/>
      <c r="EZ70" s="87"/>
    </row>
    <row r="71" spans="1:156" ht="15.95" customHeight="1" thickBot="1" x14ac:dyDescent="0.25">
      <c r="A71" s="146"/>
      <c r="B71" s="92" t="s">
        <v>16</v>
      </c>
      <c r="C71" s="93" t="s">
        <v>13</v>
      </c>
      <c r="D71" s="70">
        <f t="shared" ref="D71:I71" si="238">D7+D12+D17+D22+D27+D32+D37+D42+D47+D52+D57+D62</f>
        <v>1505</v>
      </c>
      <c r="E71" s="70">
        <f t="shared" si="238"/>
        <v>1267</v>
      </c>
      <c r="F71" s="70">
        <f t="shared" si="238"/>
        <v>2281</v>
      </c>
      <c r="G71" s="70">
        <f t="shared" si="238"/>
        <v>2741</v>
      </c>
      <c r="H71" s="70">
        <f t="shared" si="238"/>
        <v>1389</v>
      </c>
      <c r="I71" s="70">
        <f t="shared" si="238"/>
        <v>322</v>
      </c>
      <c r="J71" s="94">
        <f>SUM(D71:I71)</f>
        <v>9505</v>
      </c>
      <c r="K71" s="143">
        <f>K7+K12+K17+K22+K27+K32+K37+K42+K47+K52+K57+K62</f>
        <v>7269</v>
      </c>
      <c r="L71" s="111"/>
      <c r="M71" s="146"/>
      <c r="N71" s="92" t="s">
        <v>16</v>
      </c>
      <c r="O71" s="93" t="s">
        <v>13</v>
      </c>
      <c r="P71" s="70">
        <f t="shared" ref="P71:U71" si="239">P7+P12+P17+P22+P27+P32+P37+P42+P47+P52+P57+P62</f>
        <v>1505</v>
      </c>
      <c r="Q71" s="70">
        <f t="shared" si="239"/>
        <v>1267</v>
      </c>
      <c r="R71" s="70">
        <f t="shared" si="239"/>
        <v>2281</v>
      </c>
      <c r="S71" s="70">
        <f t="shared" si="239"/>
        <v>2741</v>
      </c>
      <c r="T71" s="70">
        <f t="shared" si="239"/>
        <v>1389</v>
      </c>
      <c r="U71" s="70">
        <f t="shared" si="239"/>
        <v>322</v>
      </c>
      <c r="V71" s="94">
        <f>SUM(P71:U71)</f>
        <v>9505</v>
      </c>
      <c r="W71" s="143">
        <f>W7+W12+W17+W22+W27+W32+W37+W42+W47+W52+W57+W62</f>
        <v>7269</v>
      </c>
      <c r="X71" s="111"/>
      <c r="Y71" s="146"/>
      <c r="Z71" s="92" t="s">
        <v>16</v>
      </c>
      <c r="AA71" s="93" t="s">
        <v>13</v>
      </c>
      <c r="AB71" s="70">
        <f t="shared" ref="AB71:AG71" si="240">AB7+AB12+AB17+AB22+AB27+AB32+AB37+AB42+AB47+AB52+AB57+AB62</f>
        <v>1505</v>
      </c>
      <c r="AC71" s="70">
        <f t="shared" si="240"/>
        <v>1267</v>
      </c>
      <c r="AD71" s="70">
        <f t="shared" si="240"/>
        <v>2281</v>
      </c>
      <c r="AE71" s="70">
        <f t="shared" si="240"/>
        <v>2741</v>
      </c>
      <c r="AF71" s="70">
        <f t="shared" si="240"/>
        <v>1389</v>
      </c>
      <c r="AG71" s="70">
        <f t="shared" si="240"/>
        <v>322</v>
      </c>
      <c r="AH71" s="94">
        <f>SUM(AB71:AG71)</f>
        <v>9505</v>
      </c>
      <c r="AI71" s="143">
        <f>AI7+AI12+AI17+AI22+AI27+AI32+AI37+AI42+AI47+AI52+AI57+AI62</f>
        <v>7269</v>
      </c>
      <c r="AJ71" s="111"/>
      <c r="AK71" s="146"/>
      <c r="AL71" s="92" t="s">
        <v>16</v>
      </c>
      <c r="AM71" s="93" t="s">
        <v>13</v>
      </c>
      <c r="AN71" s="70">
        <f t="shared" ref="AN71:AS71" si="241">AN7+AN12+AN17+AN22+AN27+AN32+AN37+AN42+AN47+AN52+AN57+AN62</f>
        <v>1505</v>
      </c>
      <c r="AO71" s="70">
        <f t="shared" si="241"/>
        <v>1267</v>
      </c>
      <c r="AP71" s="70">
        <f t="shared" si="241"/>
        <v>2281</v>
      </c>
      <c r="AQ71" s="70">
        <f t="shared" si="241"/>
        <v>2741</v>
      </c>
      <c r="AR71" s="70">
        <f t="shared" si="241"/>
        <v>1389</v>
      </c>
      <c r="AS71" s="70">
        <f t="shared" si="241"/>
        <v>322</v>
      </c>
      <c r="AT71" s="94">
        <f>SUM(AN71:AS71)</f>
        <v>9505</v>
      </c>
      <c r="AU71" s="143">
        <f>AU7+AU12+AU17+AU22+AU27+AU32+AU37+AU42+AU47+AU52+AU57+AU62</f>
        <v>7269</v>
      </c>
      <c r="AV71" s="111"/>
      <c r="AW71" s="146"/>
      <c r="AX71" s="92" t="s">
        <v>16</v>
      </c>
      <c r="AY71" s="93" t="s">
        <v>13</v>
      </c>
      <c r="AZ71" s="70">
        <f t="shared" ref="AZ71:BE71" si="242">AZ7+AZ12+AZ17+AZ22+AZ27+AZ32+AZ37+AZ42+AZ47+AZ52+AZ57+AZ62</f>
        <v>1505</v>
      </c>
      <c r="BA71" s="70">
        <f t="shared" si="242"/>
        <v>1267</v>
      </c>
      <c r="BB71" s="70">
        <f t="shared" si="242"/>
        <v>2281</v>
      </c>
      <c r="BC71" s="70">
        <f t="shared" si="242"/>
        <v>2741</v>
      </c>
      <c r="BD71" s="70">
        <f t="shared" si="242"/>
        <v>1389</v>
      </c>
      <c r="BE71" s="70">
        <f t="shared" si="242"/>
        <v>322</v>
      </c>
      <c r="BF71" s="94">
        <f>SUM(AZ71:BE71)</f>
        <v>9505</v>
      </c>
      <c r="BG71" s="143">
        <f>BG7+BG12+BG17+BG22+BG27+BG32+BG37+BG42+BG47+BG52+BG57+BG62</f>
        <v>7269</v>
      </c>
      <c r="BH71" s="111"/>
      <c r="BI71" s="146"/>
      <c r="BJ71" s="92" t="s">
        <v>16</v>
      </c>
      <c r="BK71" s="93" t="s">
        <v>13</v>
      </c>
      <c r="BL71" s="70">
        <f t="shared" ref="BL71:BQ71" si="243">BL7+BL12+BL17+BL22+BL27+BL32+BL37+BL42+BL47+BL52+BL57+BL62</f>
        <v>1505</v>
      </c>
      <c r="BM71" s="70">
        <f t="shared" si="243"/>
        <v>1267</v>
      </c>
      <c r="BN71" s="70">
        <f t="shared" si="243"/>
        <v>2281</v>
      </c>
      <c r="BO71" s="70">
        <f t="shared" si="243"/>
        <v>2741</v>
      </c>
      <c r="BP71" s="70">
        <f t="shared" si="243"/>
        <v>1389</v>
      </c>
      <c r="BQ71" s="70">
        <f t="shared" si="243"/>
        <v>322</v>
      </c>
      <c r="BR71" s="94">
        <f>SUM(BL71:BQ71)</f>
        <v>9505</v>
      </c>
      <c r="BS71" s="143">
        <f>BS7+BS12+BS17+BS22+BS27+BS32+BS37+BS42+BS47+BS52+BS57+BS62</f>
        <v>7269</v>
      </c>
      <c r="BT71" s="111"/>
      <c r="BU71" s="146"/>
      <c r="BV71" s="92" t="s">
        <v>16</v>
      </c>
      <c r="BW71" s="93" t="s">
        <v>13</v>
      </c>
      <c r="BX71" s="70">
        <f t="shared" ref="BX71:CC71" si="244">BX7+BX12+BX17+BX22+BX27+BX32+BX37+BX42+BX47+BX52+BX57+BX62</f>
        <v>1505</v>
      </c>
      <c r="BY71" s="70">
        <f t="shared" si="244"/>
        <v>1267</v>
      </c>
      <c r="BZ71" s="70">
        <f t="shared" si="244"/>
        <v>2281</v>
      </c>
      <c r="CA71" s="70">
        <f t="shared" si="244"/>
        <v>2741</v>
      </c>
      <c r="CB71" s="70">
        <f t="shared" si="244"/>
        <v>1389</v>
      </c>
      <c r="CC71" s="70">
        <f t="shared" si="244"/>
        <v>322</v>
      </c>
      <c r="CD71" s="94">
        <f>SUM(BX71:CC71)</f>
        <v>9505</v>
      </c>
      <c r="CE71" s="143">
        <f>CE7+CE12+CE17+CE22+CE27+CE32+CE37+CE42+CE47+CE52+CE57+CE62</f>
        <v>7269</v>
      </c>
      <c r="CF71" s="111"/>
      <c r="CG71" s="146"/>
      <c r="CH71" s="92" t="s">
        <v>16</v>
      </c>
      <c r="CI71" s="93" t="s">
        <v>13</v>
      </c>
      <c r="CJ71" s="70">
        <f t="shared" ref="CJ71:CO71" si="245">CJ7+CJ12+CJ17+CJ22+CJ27+CJ32+CJ37+CJ42+CJ47+CJ52+CJ57+CJ62</f>
        <v>1505</v>
      </c>
      <c r="CK71" s="70">
        <f t="shared" si="245"/>
        <v>1267</v>
      </c>
      <c r="CL71" s="70">
        <f t="shared" si="245"/>
        <v>2281</v>
      </c>
      <c r="CM71" s="70">
        <f t="shared" si="245"/>
        <v>2741</v>
      </c>
      <c r="CN71" s="70">
        <f t="shared" si="245"/>
        <v>1389</v>
      </c>
      <c r="CO71" s="70">
        <f t="shared" si="245"/>
        <v>322</v>
      </c>
      <c r="CP71" s="94">
        <f>SUM(CJ71:CO71)</f>
        <v>9505</v>
      </c>
      <c r="CQ71" s="143">
        <f>CQ7+CQ12+CQ17+CQ22+CQ27+CQ32+CQ37+CQ42+CQ47+CQ52+CQ57+CQ62</f>
        <v>7269</v>
      </c>
      <c r="CR71" s="111"/>
      <c r="CS71" s="146"/>
      <c r="CT71" s="92" t="s">
        <v>16</v>
      </c>
      <c r="CU71" s="93" t="s">
        <v>13</v>
      </c>
      <c r="CV71" s="70">
        <f t="shared" ref="CV71:DA71" si="246">CV7+CV12+CV17+CV22+CV27+CV32+CV37+CV42+CV47+CV52+CV57+CV62</f>
        <v>1505</v>
      </c>
      <c r="CW71" s="70">
        <f t="shared" si="246"/>
        <v>1267</v>
      </c>
      <c r="CX71" s="70">
        <f t="shared" si="246"/>
        <v>2281</v>
      </c>
      <c r="CY71" s="70">
        <f t="shared" si="246"/>
        <v>2741</v>
      </c>
      <c r="CZ71" s="70">
        <f t="shared" si="246"/>
        <v>1389</v>
      </c>
      <c r="DA71" s="70">
        <f t="shared" si="246"/>
        <v>322</v>
      </c>
      <c r="DB71" s="94">
        <f>SUM(CV71:DA71)</f>
        <v>9505</v>
      </c>
      <c r="DC71" s="143">
        <f>DC7+DC12+DC17+DC22+DC27+DC32+DC37+DC42+DC47+DC52+DC57+DC62</f>
        <v>7269</v>
      </c>
      <c r="DD71" s="111"/>
      <c r="DE71" s="146"/>
      <c r="DF71" s="92" t="s">
        <v>16</v>
      </c>
      <c r="DG71" s="93" t="s">
        <v>13</v>
      </c>
      <c r="DH71" s="70">
        <f t="shared" ref="DH71:DM71" si="247">DH7+DH12+DH17+DH22+DH27+DH32+DH37+DH42+DH47+DH52+DH57+DH62</f>
        <v>0</v>
      </c>
      <c r="DI71" s="70">
        <f t="shared" si="247"/>
        <v>0</v>
      </c>
      <c r="DJ71" s="70">
        <f t="shared" si="247"/>
        <v>0</v>
      </c>
      <c r="DK71" s="70">
        <f t="shared" si="247"/>
        <v>0</v>
      </c>
      <c r="DL71" s="70">
        <f t="shared" si="247"/>
        <v>0</v>
      </c>
      <c r="DM71" s="70">
        <f t="shared" si="247"/>
        <v>0</v>
      </c>
      <c r="DN71" s="94">
        <f>SUM(DH71:DM71)</f>
        <v>0</v>
      </c>
      <c r="DO71" s="143">
        <f>DO7+DO12+DO17+DO22+DO27+DO32+DO37+DO42+DO47+DO52+DO57+DO62</f>
        <v>0</v>
      </c>
      <c r="DP71" s="111"/>
      <c r="DQ71" s="146"/>
      <c r="DR71" s="92" t="s">
        <v>16</v>
      </c>
      <c r="DS71" s="93" t="s">
        <v>13</v>
      </c>
      <c r="DT71" s="70">
        <f t="shared" ref="DT71:DY71" si="248">DT7+DT12+DT17+DT22+DT27+DT32+DT37+DT42+DT47+DT52+DT57+DT62</f>
        <v>0</v>
      </c>
      <c r="DU71" s="70">
        <f t="shared" si="248"/>
        <v>0</v>
      </c>
      <c r="DV71" s="70">
        <f t="shared" si="248"/>
        <v>0</v>
      </c>
      <c r="DW71" s="70">
        <f t="shared" si="248"/>
        <v>0</v>
      </c>
      <c r="DX71" s="70">
        <f t="shared" si="248"/>
        <v>0</v>
      </c>
      <c r="DY71" s="70">
        <f t="shared" si="248"/>
        <v>0</v>
      </c>
      <c r="DZ71" s="94">
        <f>SUM(DT71:DY71)</f>
        <v>0</v>
      </c>
      <c r="EA71" s="143">
        <f>EA7+EA12+EA17+EA22+EA27+EA32+EA37+EA42+EA47+EA52+EA57+EA62</f>
        <v>0</v>
      </c>
      <c r="EB71" s="111"/>
      <c r="EC71" s="146"/>
      <c r="ED71" s="92" t="s">
        <v>16</v>
      </c>
      <c r="EE71" s="93" t="s">
        <v>13</v>
      </c>
      <c r="EF71" s="70">
        <f t="shared" ref="EF71:EK71" si="249">EF7+EF12+EF17+EF22+EF27+EF32+EF37+EF42+EF47+EF52+EF57+EF62</f>
        <v>0</v>
      </c>
      <c r="EG71" s="70">
        <f t="shared" si="249"/>
        <v>0</v>
      </c>
      <c r="EH71" s="70">
        <f t="shared" si="249"/>
        <v>0</v>
      </c>
      <c r="EI71" s="70">
        <f t="shared" si="249"/>
        <v>0</v>
      </c>
      <c r="EJ71" s="70">
        <f t="shared" si="249"/>
        <v>0</v>
      </c>
      <c r="EK71" s="70">
        <f t="shared" si="249"/>
        <v>0</v>
      </c>
      <c r="EL71" s="94">
        <f>SUM(EF71:EK71)</f>
        <v>0</v>
      </c>
      <c r="EM71" s="143">
        <f>EM7+EM12+EM17+EM22+EM27+EM32+EM37+EM42+EM47+EM52+EM57+EM62</f>
        <v>0</v>
      </c>
      <c r="EN71" s="111"/>
      <c r="EO71" s="146"/>
      <c r="EP71" s="92" t="s">
        <v>16</v>
      </c>
      <c r="EQ71" s="93" t="s">
        <v>13</v>
      </c>
      <c r="ER71" s="70">
        <f t="shared" ref="ER71:EW71" si="250">ER7+ER12+ER17+ER22+ER27+ER32+ER37+ER42+ER47+ER52+ER57+ER62</f>
        <v>0</v>
      </c>
      <c r="ES71" s="70">
        <f t="shared" si="250"/>
        <v>0</v>
      </c>
      <c r="ET71" s="70">
        <f t="shared" si="250"/>
        <v>0</v>
      </c>
      <c r="EU71" s="70">
        <f t="shared" si="250"/>
        <v>0</v>
      </c>
      <c r="EV71" s="70">
        <f t="shared" si="250"/>
        <v>0</v>
      </c>
      <c r="EW71" s="70">
        <f t="shared" si="250"/>
        <v>0</v>
      </c>
      <c r="EX71" s="94">
        <f>SUM(ER71:EW71)</f>
        <v>0</v>
      </c>
      <c r="EY71" s="143">
        <f>EY7+EY12+EY17+EY22+EY27+EY32+EY37+EY42+EY47+EY52+EY57+EY62</f>
        <v>0</v>
      </c>
      <c r="EZ71" s="87"/>
    </row>
    <row r="72" spans="1:156" ht="15.95" customHeight="1" thickBot="1" x14ac:dyDescent="0.25">
      <c r="A72" s="146"/>
      <c r="B72" s="95" t="s">
        <v>14</v>
      </c>
      <c r="C72" s="96" t="s">
        <v>15</v>
      </c>
      <c r="D72" s="70">
        <f t="shared" ref="D72:I72" si="251">D8+D13+D18+D23+D28+D33+D38+D43+D48+D53+D58+D63</f>
        <v>1216</v>
      </c>
      <c r="E72" s="70">
        <f t="shared" si="251"/>
        <v>1278</v>
      </c>
      <c r="F72" s="70">
        <f t="shared" si="251"/>
        <v>2375</v>
      </c>
      <c r="G72" s="70">
        <f t="shared" si="251"/>
        <v>2888</v>
      </c>
      <c r="H72" s="70">
        <f t="shared" si="251"/>
        <v>943</v>
      </c>
      <c r="I72" s="70">
        <f t="shared" si="251"/>
        <v>241</v>
      </c>
      <c r="J72" s="97">
        <f>SUM(D72:I72)</f>
        <v>8941</v>
      </c>
      <c r="K72" s="144"/>
      <c r="L72" s="111"/>
      <c r="M72" s="146"/>
      <c r="N72" s="95" t="s">
        <v>14</v>
      </c>
      <c r="O72" s="96" t="s">
        <v>15</v>
      </c>
      <c r="P72" s="70">
        <f t="shared" ref="P72:U72" si="252">P8+P13+P18+P23+P28+P33+P38+P43+P48+P53+P58+P63</f>
        <v>1216</v>
      </c>
      <c r="Q72" s="70">
        <f t="shared" si="252"/>
        <v>1278</v>
      </c>
      <c r="R72" s="70">
        <f t="shared" si="252"/>
        <v>2375</v>
      </c>
      <c r="S72" s="70">
        <f t="shared" si="252"/>
        <v>2888</v>
      </c>
      <c r="T72" s="70">
        <f t="shared" si="252"/>
        <v>943</v>
      </c>
      <c r="U72" s="70">
        <f t="shared" si="252"/>
        <v>241</v>
      </c>
      <c r="V72" s="97">
        <f>SUM(P72:U72)</f>
        <v>8941</v>
      </c>
      <c r="W72" s="144"/>
      <c r="X72" s="111"/>
      <c r="Y72" s="146"/>
      <c r="Z72" s="95" t="s">
        <v>14</v>
      </c>
      <c r="AA72" s="96" t="s">
        <v>15</v>
      </c>
      <c r="AB72" s="70">
        <f t="shared" ref="AB72:AG72" si="253">AB8+AB13+AB18+AB23+AB28+AB33+AB38+AB43+AB48+AB53+AB58+AB63</f>
        <v>1216</v>
      </c>
      <c r="AC72" s="70">
        <f t="shared" si="253"/>
        <v>1278</v>
      </c>
      <c r="AD72" s="70">
        <f t="shared" si="253"/>
        <v>2375</v>
      </c>
      <c r="AE72" s="70">
        <f t="shared" si="253"/>
        <v>2888</v>
      </c>
      <c r="AF72" s="70">
        <f t="shared" si="253"/>
        <v>943</v>
      </c>
      <c r="AG72" s="70">
        <f t="shared" si="253"/>
        <v>241</v>
      </c>
      <c r="AH72" s="97">
        <f>SUM(AB72:AG72)</f>
        <v>8941</v>
      </c>
      <c r="AI72" s="144"/>
      <c r="AJ72" s="111"/>
      <c r="AK72" s="146"/>
      <c r="AL72" s="95" t="s">
        <v>14</v>
      </c>
      <c r="AM72" s="96" t="s">
        <v>15</v>
      </c>
      <c r="AN72" s="70">
        <f t="shared" ref="AN72:AS72" si="254">AN8+AN13+AN18+AN23+AN28+AN33+AN38+AN43+AN48+AN53+AN58+AN63</f>
        <v>1216</v>
      </c>
      <c r="AO72" s="70">
        <f t="shared" si="254"/>
        <v>1278</v>
      </c>
      <c r="AP72" s="70">
        <f t="shared" si="254"/>
        <v>2375</v>
      </c>
      <c r="AQ72" s="70">
        <f t="shared" si="254"/>
        <v>2888</v>
      </c>
      <c r="AR72" s="70">
        <f t="shared" si="254"/>
        <v>943</v>
      </c>
      <c r="AS72" s="70">
        <f t="shared" si="254"/>
        <v>241</v>
      </c>
      <c r="AT72" s="97">
        <f>SUM(AN72:AS72)</f>
        <v>8941</v>
      </c>
      <c r="AU72" s="144"/>
      <c r="AV72" s="111"/>
      <c r="AW72" s="146"/>
      <c r="AX72" s="95" t="s">
        <v>14</v>
      </c>
      <c r="AY72" s="96" t="s">
        <v>15</v>
      </c>
      <c r="AZ72" s="70">
        <f t="shared" ref="AZ72:BE72" si="255">AZ8+AZ13+AZ18+AZ23+AZ28+AZ33+AZ38+AZ43+AZ48+AZ53+AZ58+AZ63</f>
        <v>1216</v>
      </c>
      <c r="BA72" s="70">
        <f t="shared" si="255"/>
        <v>1278</v>
      </c>
      <c r="BB72" s="70">
        <f t="shared" si="255"/>
        <v>2375</v>
      </c>
      <c r="BC72" s="70">
        <f t="shared" si="255"/>
        <v>2888</v>
      </c>
      <c r="BD72" s="70">
        <f t="shared" si="255"/>
        <v>943</v>
      </c>
      <c r="BE72" s="70">
        <f t="shared" si="255"/>
        <v>241</v>
      </c>
      <c r="BF72" s="97">
        <f>SUM(AZ72:BE72)</f>
        <v>8941</v>
      </c>
      <c r="BG72" s="144"/>
      <c r="BH72" s="111"/>
      <c r="BI72" s="146"/>
      <c r="BJ72" s="95" t="s">
        <v>14</v>
      </c>
      <c r="BK72" s="96" t="s">
        <v>15</v>
      </c>
      <c r="BL72" s="70">
        <f t="shared" ref="BL72:BQ72" si="256">BL8+BL13+BL18+BL23+BL28+BL33+BL38+BL43+BL48+BL53+BL58+BL63</f>
        <v>1216</v>
      </c>
      <c r="BM72" s="70">
        <f t="shared" si="256"/>
        <v>1278</v>
      </c>
      <c r="BN72" s="70">
        <f t="shared" si="256"/>
        <v>2375</v>
      </c>
      <c r="BO72" s="70">
        <f t="shared" si="256"/>
        <v>2888</v>
      </c>
      <c r="BP72" s="70">
        <f t="shared" si="256"/>
        <v>943</v>
      </c>
      <c r="BQ72" s="70">
        <f t="shared" si="256"/>
        <v>241</v>
      </c>
      <c r="BR72" s="97">
        <f>SUM(BL72:BQ72)</f>
        <v>8941</v>
      </c>
      <c r="BS72" s="144"/>
      <c r="BT72" s="111"/>
      <c r="BU72" s="146"/>
      <c r="BV72" s="95" t="s">
        <v>14</v>
      </c>
      <c r="BW72" s="96" t="s">
        <v>15</v>
      </c>
      <c r="BX72" s="70">
        <f t="shared" ref="BX72:CC72" si="257">BX8+BX13+BX18+BX23+BX28+BX33+BX38+BX43+BX48+BX53+BX58+BX63</f>
        <v>1216</v>
      </c>
      <c r="BY72" s="70">
        <f t="shared" si="257"/>
        <v>1278</v>
      </c>
      <c r="BZ72" s="70">
        <f t="shared" si="257"/>
        <v>2375</v>
      </c>
      <c r="CA72" s="70">
        <f t="shared" si="257"/>
        <v>2888</v>
      </c>
      <c r="CB72" s="70">
        <f t="shared" si="257"/>
        <v>943</v>
      </c>
      <c r="CC72" s="70">
        <f t="shared" si="257"/>
        <v>241</v>
      </c>
      <c r="CD72" s="97">
        <f>SUM(BX72:CC72)</f>
        <v>8941</v>
      </c>
      <c r="CE72" s="144"/>
      <c r="CF72" s="111"/>
      <c r="CG72" s="146"/>
      <c r="CH72" s="95" t="s">
        <v>14</v>
      </c>
      <c r="CI72" s="96" t="s">
        <v>15</v>
      </c>
      <c r="CJ72" s="70">
        <f t="shared" ref="CJ72:CO72" si="258">CJ8+CJ13+CJ18+CJ23+CJ28+CJ33+CJ38+CJ43+CJ48+CJ53+CJ58+CJ63</f>
        <v>1216</v>
      </c>
      <c r="CK72" s="70">
        <f t="shared" si="258"/>
        <v>1278</v>
      </c>
      <c r="CL72" s="70">
        <f t="shared" si="258"/>
        <v>2375</v>
      </c>
      <c r="CM72" s="70">
        <f t="shared" si="258"/>
        <v>2888</v>
      </c>
      <c r="CN72" s="70">
        <f t="shared" si="258"/>
        <v>943</v>
      </c>
      <c r="CO72" s="70">
        <f t="shared" si="258"/>
        <v>241</v>
      </c>
      <c r="CP72" s="97">
        <f>SUM(CJ72:CO72)</f>
        <v>8941</v>
      </c>
      <c r="CQ72" s="144"/>
      <c r="CR72" s="111"/>
      <c r="CS72" s="146"/>
      <c r="CT72" s="95" t="s">
        <v>14</v>
      </c>
      <c r="CU72" s="96" t="s">
        <v>15</v>
      </c>
      <c r="CV72" s="70">
        <f t="shared" ref="CV72:DA72" si="259">CV8+CV13+CV18+CV23+CV28+CV33+CV38+CV43+CV48+CV53+CV58+CV63</f>
        <v>1216</v>
      </c>
      <c r="CW72" s="70">
        <f t="shared" si="259"/>
        <v>1278</v>
      </c>
      <c r="CX72" s="70">
        <f t="shared" si="259"/>
        <v>2375</v>
      </c>
      <c r="CY72" s="70">
        <f t="shared" si="259"/>
        <v>2888</v>
      </c>
      <c r="CZ72" s="70">
        <f t="shared" si="259"/>
        <v>943</v>
      </c>
      <c r="DA72" s="70">
        <f t="shared" si="259"/>
        <v>241</v>
      </c>
      <c r="DB72" s="97">
        <f>SUM(CV72:DA72)</f>
        <v>8941</v>
      </c>
      <c r="DC72" s="144"/>
      <c r="DD72" s="111"/>
      <c r="DE72" s="146"/>
      <c r="DF72" s="95" t="s">
        <v>14</v>
      </c>
      <c r="DG72" s="96" t="s">
        <v>15</v>
      </c>
      <c r="DH72" s="70">
        <f t="shared" ref="DH72:DM72" si="260">DH8+DH13+DH18+DH23+DH28+DH33+DH38+DH43+DH48+DH53+DH58+DH63</f>
        <v>0</v>
      </c>
      <c r="DI72" s="70">
        <f t="shared" si="260"/>
        <v>0</v>
      </c>
      <c r="DJ72" s="70">
        <f t="shared" si="260"/>
        <v>0</v>
      </c>
      <c r="DK72" s="70">
        <f t="shared" si="260"/>
        <v>0</v>
      </c>
      <c r="DL72" s="70">
        <f t="shared" si="260"/>
        <v>0</v>
      </c>
      <c r="DM72" s="70">
        <f t="shared" si="260"/>
        <v>0</v>
      </c>
      <c r="DN72" s="97">
        <f>SUM(DH72:DM72)</f>
        <v>0</v>
      </c>
      <c r="DO72" s="144"/>
      <c r="DP72" s="111"/>
      <c r="DQ72" s="146"/>
      <c r="DR72" s="95" t="s">
        <v>14</v>
      </c>
      <c r="DS72" s="96" t="s">
        <v>15</v>
      </c>
      <c r="DT72" s="70">
        <f t="shared" ref="DT72:DY72" si="261">DT8+DT13+DT18+DT23+DT28+DT33+DT38+DT43+DT48+DT53+DT58+DT63</f>
        <v>0</v>
      </c>
      <c r="DU72" s="70">
        <f t="shared" si="261"/>
        <v>0</v>
      </c>
      <c r="DV72" s="70">
        <f t="shared" si="261"/>
        <v>0</v>
      </c>
      <c r="DW72" s="70">
        <f t="shared" si="261"/>
        <v>0</v>
      </c>
      <c r="DX72" s="70">
        <f t="shared" si="261"/>
        <v>0</v>
      </c>
      <c r="DY72" s="70">
        <f t="shared" si="261"/>
        <v>0</v>
      </c>
      <c r="DZ72" s="97">
        <f>SUM(DT72:DY72)</f>
        <v>0</v>
      </c>
      <c r="EA72" s="144"/>
      <c r="EB72" s="111"/>
      <c r="EC72" s="146"/>
      <c r="ED72" s="95" t="s">
        <v>14</v>
      </c>
      <c r="EE72" s="96" t="s">
        <v>15</v>
      </c>
      <c r="EF72" s="70">
        <f t="shared" ref="EF72:EK72" si="262">EF8+EF13+EF18+EF23+EF28+EF33+EF38+EF43+EF48+EF53+EF58+EF63</f>
        <v>0</v>
      </c>
      <c r="EG72" s="70">
        <f t="shared" si="262"/>
        <v>0</v>
      </c>
      <c r="EH72" s="70">
        <f t="shared" si="262"/>
        <v>0</v>
      </c>
      <c r="EI72" s="70">
        <f t="shared" si="262"/>
        <v>0</v>
      </c>
      <c r="EJ72" s="70">
        <f t="shared" si="262"/>
        <v>0</v>
      </c>
      <c r="EK72" s="70">
        <f t="shared" si="262"/>
        <v>0</v>
      </c>
      <c r="EL72" s="97">
        <f>SUM(EF72:EK72)</f>
        <v>0</v>
      </c>
      <c r="EM72" s="144"/>
      <c r="EN72" s="111"/>
      <c r="EO72" s="146"/>
      <c r="EP72" s="95" t="s">
        <v>14</v>
      </c>
      <c r="EQ72" s="96" t="s">
        <v>15</v>
      </c>
      <c r="ER72" s="70">
        <f t="shared" ref="ER72:EW72" si="263">ER8+ER13+ER18+ER23+ER28+ER33+ER38+ER43+ER48+ER53+ER58+ER63</f>
        <v>0</v>
      </c>
      <c r="ES72" s="70">
        <f t="shared" si="263"/>
        <v>0</v>
      </c>
      <c r="ET72" s="70">
        <f t="shared" si="263"/>
        <v>0</v>
      </c>
      <c r="EU72" s="70">
        <f t="shared" si="263"/>
        <v>0</v>
      </c>
      <c r="EV72" s="70">
        <f t="shared" si="263"/>
        <v>0</v>
      </c>
      <c r="EW72" s="70">
        <f t="shared" si="263"/>
        <v>0</v>
      </c>
      <c r="EX72" s="97">
        <f>SUM(ER72:EW72)</f>
        <v>0</v>
      </c>
      <c r="EY72" s="144"/>
      <c r="EZ72" s="87"/>
    </row>
    <row r="73" spans="1:156" ht="15.95" customHeight="1" thickBot="1" x14ac:dyDescent="0.25">
      <c r="A73" s="147"/>
      <c r="B73" s="138" t="s">
        <v>17</v>
      </c>
      <c r="C73" s="140"/>
      <c r="D73" s="98">
        <f t="shared" ref="D73:K73" si="264">SUM(D69:D72)</f>
        <v>17320</v>
      </c>
      <c r="E73" s="99">
        <f t="shared" si="264"/>
        <v>57187</v>
      </c>
      <c r="F73" s="99">
        <f t="shared" si="264"/>
        <v>81246</v>
      </c>
      <c r="G73" s="99">
        <f t="shared" si="264"/>
        <v>133174</v>
      </c>
      <c r="H73" s="99">
        <f t="shared" si="264"/>
        <v>32127</v>
      </c>
      <c r="I73" s="100">
        <f t="shared" si="264"/>
        <v>12420</v>
      </c>
      <c r="J73" s="101">
        <f t="shared" si="264"/>
        <v>333474</v>
      </c>
      <c r="K73" s="102">
        <f t="shared" si="264"/>
        <v>64494</v>
      </c>
      <c r="L73" s="111"/>
      <c r="M73" s="147"/>
      <c r="N73" s="138" t="s">
        <v>17</v>
      </c>
      <c r="O73" s="140"/>
      <c r="P73" s="98" t="e">
        <f t="shared" ref="P73:W73" si="265">SUM(P69:P72)</f>
        <v>#VALUE!</v>
      </c>
      <c r="Q73" s="99">
        <f t="shared" si="265"/>
        <v>57187</v>
      </c>
      <c r="R73" s="99">
        <f t="shared" si="265"/>
        <v>81246</v>
      </c>
      <c r="S73" s="99">
        <f t="shared" si="265"/>
        <v>133174</v>
      </c>
      <c r="T73" s="99">
        <f t="shared" si="265"/>
        <v>32127</v>
      </c>
      <c r="U73" s="100">
        <f t="shared" si="265"/>
        <v>12420</v>
      </c>
      <c r="V73" s="101" t="e">
        <f t="shared" si="265"/>
        <v>#VALUE!</v>
      </c>
      <c r="W73" s="102">
        <f t="shared" si="265"/>
        <v>64494</v>
      </c>
      <c r="X73" s="111"/>
      <c r="Y73" s="147"/>
      <c r="Z73" s="138" t="s">
        <v>17</v>
      </c>
      <c r="AA73" s="140"/>
      <c r="AB73" s="98" t="e">
        <f t="shared" ref="AB73:AI73" si="266">SUM(AB69:AB72)</f>
        <v>#VALUE!</v>
      </c>
      <c r="AC73" s="99">
        <f t="shared" si="266"/>
        <v>57187</v>
      </c>
      <c r="AD73" s="99">
        <f t="shared" si="266"/>
        <v>81246</v>
      </c>
      <c r="AE73" s="99">
        <f t="shared" si="266"/>
        <v>133174</v>
      </c>
      <c r="AF73" s="99">
        <f t="shared" si="266"/>
        <v>32127</v>
      </c>
      <c r="AG73" s="100">
        <f t="shared" si="266"/>
        <v>12420</v>
      </c>
      <c r="AH73" s="101" t="e">
        <f t="shared" si="266"/>
        <v>#VALUE!</v>
      </c>
      <c r="AI73" s="102">
        <f t="shared" si="266"/>
        <v>64494</v>
      </c>
      <c r="AJ73" s="111"/>
      <c r="AK73" s="147"/>
      <c r="AL73" s="138" t="s">
        <v>17</v>
      </c>
      <c r="AM73" s="140"/>
      <c r="AN73" s="98" t="e">
        <f t="shared" ref="AN73:AU73" si="267">SUM(AN69:AN72)</f>
        <v>#VALUE!</v>
      </c>
      <c r="AO73" s="99">
        <f t="shared" si="267"/>
        <v>57187</v>
      </c>
      <c r="AP73" s="99">
        <f t="shared" si="267"/>
        <v>81246</v>
      </c>
      <c r="AQ73" s="99">
        <f t="shared" si="267"/>
        <v>133174</v>
      </c>
      <c r="AR73" s="99">
        <f t="shared" si="267"/>
        <v>32127</v>
      </c>
      <c r="AS73" s="100">
        <f t="shared" si="267"/>
        <v>12420</v>
      </c>
      <c r="AT73" s="101" t="e">
        <f t="shared" si="267"/>
        <v>#VALUE!</v>
      </c>
      <c r="AU73" s="102">
        <f t="shared" si="267"/>
        <v>64494</v>
      </c>
      <c r="AV73" s="111"/>
      <c r="AW73" s="147"/>
      <c r="AX73" s="138" t="s">
        <v>17</v>
      </c>
      <c r="AY73" s="140"/>
      <c r="AZ73" s="98" t="e">
        <f t="shared" ref="AZ73:BG73" si="268">SUM(AZ69:AZ72)</f>
        <v>#VALUE!</v>
      </c>
      <c r="BA73" s="99">
        <f t="shared" si="268"/>
        <v>57187</v>
      </c>
      <c r="BB73" s="99">
        <f t="shared" si="268"/>
        <v>81246</v>
      </c>
      <c r="BC73" s="99">
        <f t="shared" si="268"/>
        <v>133174</v>
      </c>
      <c r="BD73" s="99">
        <f t="shared" si="268"/>
        <v>32127</v>
      </c>
      <c r="BE73" s="100">
        <f t="shared" si="268"/>
        <v>12420</v>
      </c>
      <c r="BF73" s="101" t="e">
        <f t="shared" si="268"/>
        <v>#VALUE!</v>
      </c>
      <c r="BG73" s="102">
        <f t="shared" si="268"/>
        <v>64494</v>
      </c>
      <c r="BH73" s="111"/>
      <c r="BI73" s="147"/>
      <c r="BJ73" s="138" t="s">
        <v>17</v>
      </c>
      <c r="BK73" s="140"/>
      <c r="BL73" s="98" t="e">
        <f t="shared" ref="BL73:BS73" si="269">SUM(BL69:BL72)</f>
        <v>#VALUE!</v>
      </c>
      <c r="BM73" s="99">
        <f t="shared" si="269"/>
        <v>57187</v>
      </c>
      <c r="BN73" s="99">
        <f t="shared" si="269"/>
        <v>81246</v>
      </c>
      <c r="BO73" s="99">
        <f t="shared" si="269"/>
        <v>133174</v>
      </c>
      <c r="BP73" s="99">
        <f t="shared" si="269"/>
        <v>32127</v>
      </c>
      <c r="BQ73" s="100">
        <f t="shared" si="269"/>
        <v>12420</v>
      </c>
      <c r="BR73" s="101" t="e">
        <f t="shared" si="269"/>
        <v>#VALUE!</v>
      </c>
      <c r="BS73" s="102">
        <f t="shared" si="269"/>
        <v>64494</v>
      </c>
      <c r="BT73" s="111"/>
      <c r="BU73" s="147"/>
      <c r="BV73" s="138" t="s">
        <v>17</v>
      </c>
      <c r="BW73" s="140"/>
      <c r="BX73" s="98" t="e">
        <f t="shared" ref="BX73:CE73" si="270">SUM(BX69:BX72)</f>
        <v>#VALUE!</v>
      </c>
      <c r="BY73" s="99">
        <f t="shared" si="270"/>
        <v>57187</v>
      </c>
      <c r="BZ73" s="99">
        <f t="shared" si="270"/>
        <v>81246</v>
      </c>
      <c r="CA73" s="99">
        <f t="shared" si="270"/>
        <v>133174</v>
      </c>
      <c r="CB73" s="99">
        <f t="shared" si="270"/>
        <v>32127</v>
      </c>
      <c r="CC73" s="100">
        <f t="shared" si="270"/>
        <v>12420</v>
      </c>
      <c r="CD73" s="101" t="e">
        <f t="shared" si="270"/>
        <v>#VALUE!</v>
      </c>
      <c r="CE73" s="102">
        <f t="shared" si="270"/>
        <v>64494</v>
      </c>
      <c r="CF73" s="111"/>
      <c r="CG73" s="147"/>
      <c r="CH73" s="138" t="s">
        <v>17</v>
      </c>
      <c r="CI73" s="140"/>
      <c r="CJ73" s="98" t="e">
        <f t="shared" ref="CJ73:CQ73" si="271">SUM(CJ69:CJ72)</f>
        <v>#VALUE!</v>
      </c>
      <c r="CK73" s="99">
        <f t="shared" si="271"/>
        <v>57187</v>
      </c>
      <c r="CL73" s="99">
        <f t="shared" si="271"/>
        <v>81246</v>
      </c>
      <c r="CM73" s="99">
        <f t="shared" si="271"/>
        <v>133174</v>
      </c>
      <c r="CN73" s="99">
        <f t="shared" si="271"/>
        <v>32127</v>
      </c>
      <c r="CO73" s="100">
        <f t="shared" si="271"/>
        <v>12420</v>
      </c>
      <c r="CP73" s="101" t="e">
        <f t="shared" si="271"/>
        <v>#VALUE!</v>
      </c>
      <c r="CQ73" s="102">
        <f t="shared" si="271"/>
        <v>64494</v>
      </c>
      <c r="CR73" s="111"/>
      <c r="CS73" s="147"/>
      <c r="CT73" s="138" t="s">
        <v>17</v>
      </c>
      <c r="CU73" s="140"/>
      <c r="CV73" s="98" t="e">
        <f t="shared" ref="CV73:DC73" si="272">SUM(CV69:CV72)</f>
        <v>#VALUE!</v>
      </c>
      <c r="CW73" s="99">
        <f t="shared" si="272"/>
        <v>57187</v>
      </c>
      <c r="CX73" s="99">
        <f t="shared" si="272"/>
        <v>81246</v>
      </c>
      <c r="CY73" s="99">
        <f t="shared" si="272"/>
        <v>133174</v>
      </c>
      <c r="CZ73" s="99">
        <f t="shared" si="272"/>
        <v>32127</v>
      </c>
      <c r="DA73" s="100">
        <f t="shared" si="272"/>
        <v>12420</v>
      </c>
      <c r="DB73" s="101" t="e">
        <f t="shared" si="272"/>
        <v>#VALUE!</v>
      </c>
      <c r="DC73" s="102">
        <f t="shared" si="272"/>
        <v>64494</v>
      </c>
      <c r="DD73" s="111"/>
      <c r="DE73" s="147"/>
      <c r="DF73" s="138" t="s">
        <v>17</v>
      </c>
      <c r="DG73" s="140"/>
      <c r="DH73" s="98">
        <f t="shared" ref="DH73:DO73" si="273">SUM(DH69:DH72)</f>
        <v>0</v>
      </c>
      <c r="DI73" s="99">
        <f t="shared" si="273"/>
        <v>0</v>
      </c>
      <c r="DJ73" s="99">
        <f t="shared" si="273"/>
        <v>0</v>
      </c>
      <c r="DK73" s="99">
        <f t="shared" si="273"/>
        <v>0</v>
      </c>
      <c r="DL73" s="99">
        <f t="shared" si="273"/>
        <v>0</v>
      </c>
      <c r="DM73" s="100">
        <f t="shared" si="273"/>
        <v>0</v>
      </c>
      <c r="DN73" s="101">
        <f t="shared" si="273"/>
        <v>0</v>
      </c>
      <c r="DO73" s="102">
        <f t="shared" si="273"/>
        <v>0</v>
      </c>
      <c r="DP73" s="111"/>
      <c r="DQ73" s="147"/>
      <c r="DR73" s="138" t="s">
        <v>17</v>
      </c>
      <c r="DS73" s="140"/>
      <c r="DT73" s="98">
        <f t="shared" ref="DT73:EA73" si="274">SUM(DT69:DT72)</f>
        <v>0</v>
      </c>
      <c r="DU73" s="99">
        <f t="shared" si="274"/>
        <v>0</v>
      </c>
      <c r="DV73" s="99">
        <f t="shared" si="274"/>
        <v>0</v>
      </c>
      <c r="DW73" s="99">
        <f t="shared" si="274"/>
        <v>0</v>
      </c>
      <c r="DX73" s="99">
        <f t="shared" si="274"/>
        <v>0</v>
      </c>
      <c r="DY73" s="100">
        <f t="shared" si="274"/>
        <v>0</v>
      </c>
      <c r="DZ73" s="101">
        <f t="shared" si="274"/>
        <v>0</v>
      </c>
      <c r="EA73" s="102">
        <f t="shared" si="274"/>
        <v>0</v>
      </c>
      <c r="EB73" s="111"/>
      <c r="EC73" s="147"/>
      <c r="ED73" s="138" t="s">
        <v>17</v>
      </c>
      <c r="EE73" s="140"/>
      <c r="EF73" s="98">
        <f t="shared" ref="EF73:EM73" si="275">SUM(EF69:EF72)</f>
        <v>0</v>
      </c>
      <c r="EG73" s="99">
        <f t="shared" si="275"/>
        <v>0</v>
      </c>
      <c r="EH73" s="99">
        <f t="shared" si="275"/>
        <v>0</v>
      </c>
      <c r="EI73" s="99">
        <f t="shared" si="275"/>
        <v>0</v>
      </c>
      <c r="EJ73" s="99">
        <f t="shared" si="275"/>
        <v>0</v>
      </c>
      <c r="EK73" s="100">
        <f t="shared" si="275"/>
        <v>0</v>
      </c>
      <c r="EL73" s="101">
        <f t="shared" si="275"/>
        <v>0</v>
      </c>
      <c r="EM73" s="102">
        <f t="shared" si="275"/>
        <v>0</v>
      </c>
      <c r="EN73" s="111"/>
      <c r="EO73" s="147"/>
      <c r="EP73" s="138" t="s">
        <v>17</v>
      </c>
      <c r="EQ73" s="140"/>
      <c r="ER73" s="98">
        <f t="shared" ref="ER73:EY73" si="276">SUM(ER69:ER72)</f>
        <v>0</v>
      </c>
      <c r="ES73" s="99">
        <f t="shared" si="276"/>
        <v>0</v>
      </c>
      <c r="ET73" s="99">
        <f t="shared" si="276"/>
        <v>0</v>
      </c>
      <c r="EU73" s="99">
        <f t="shared" si="276"/>
        <v>0</v>
      </c>
      <c r="EV73" s="99">
        <f t="shared" si="276"/>
        <v>0</v>
      </c>
      <c r="EW73" s="100">
        <f t="shared" si="276"/>
        <v>0</v>
      </c>
      <c r="EX73" s="101">
        <f t="shared" si="276"/>
        <v>0</v>
      </c>
      <c r="EY73" s="102">
        <f t="shared" si="276"/>
        <v>0</v>
      </c>
      <c r="EZ73" s="87"/>
    </row>
    <row r="74" spans="1:156" ht="15.95" customHeight="1" x14ac:dyDescent="0.2">
      <c r="A74" s="60"/>
      <c r="B74" s="60"/>
      <c r="C74" s="60"/>
      <c r="D74" s="60"/>
      <c r="E74" s="60"/>
      <c r="F74" s="60"/>
      <c r="G74" s="60"/>
      <c r="H74" s="60"/>
      <c r="I74" s="60"/>
      <c r="J74" s="60"/>
      <c r="K74" s="60"/>
      <c r="L74" s="111"/>
      <c r="M74" s="60"/>
      <c r="N74" s="60"/>
      <c r="O74" s="60"/>
      <c r="P74" s="60"/>
      <c r="Q74" s="60"/>
      <c r="R74" s="60"/>
      <c r="S74" s="60"/>
      <c r="T74" s="60"/>
      <c r="U74" s="60"/>
      <c r="V74" s="60"/>
      <c r="W74" s="60"/>
      <c r="X74" s="111"/>
      <c r="Y74" s="60"/>
      <c r="Z74" s="60"/>
      <c r="AA74" s="60"/>
      <c r="AB74" s="60"/>
      <c r="AC74" s="60"/>
      <c r="AD74" s="60"/>
      <c r="AE74" s="60"/>
      <c r="AF74" s="60"/>
      <c r="AG74" s="60"/>
      <c r="AH74" s="60"/>
      <c r="AI74" s="60"/>
      <c r="AJ74" s="111"/>
      <c r="AK74" s="60"/>
      <c r="AL74" s="60"/>
      <c r="AM74" s="60"/>
      <c r="AN74" s="60"/>
      <c r="AO74" s="60"/>
      <c r="AP74" s="60"/>
      <c r="AQ74" s="60"/>
      <c r="AR74" s="60"/>
      <c r="AS74" s="60"/>
      <c r="AT74" s="60"/>
      <c r="AU74" s="60"/>
      <c r="AV74" s="111"/>
      <c r="AW74" s="60"/>
      <c r="AX74" s="60"/>
      <c r="AY74" s="60"/>
      <c r="AZ74" s="60"/>
      <c r="BA74" s="60"/>
      <c r="BB74" s="60"/>
      <c r="BC74" s="60"/>
      <c r="BD74" s="60"/>
      <c r="BE74" s="60"/>
      <c r="BF74" s="60"/>
      <c r="BG74" s="60"/>
      <c r="BH74" s="111"/>
      <c r="BI74" s="60"/>
      <c r="BJ74" s="60"/>
      <c r="BK74" s="60"/>
      <c r="BL74" s="60"/>
      <c r="BM74" s="60"/>
      <c r="BN74" s="60"/>
      <c r="BO74" s="60"/>
      <c r="BP74" s="60"/>
      <c r="BQ74" s="60"/>
      <c r="BR74" s="60"/>
      <c r="BS74" s="60"/>
      <c r="BT74" s="111"/>
      <c r="BU74" s="60"/>
      <c r="BV74" s="60"/>
      <c r="BW74" s="60"/>
      <c r="BX74" s="60"/>
      <c r="BY74" s="60"/>
      <c r="BZ74" s="60"/>
      <c r="CA74" s="60"/>
      <c r="CB74" s="60"/>
      <c r="CC74" s="60"/>
      <c r="CD74" s="60"/>
      <c r="CE74" s="60"/>
      <c r="CF74" s="111"/>
      <c r="CG74" s="60"/>
      <c r="CH74" s="60"/>
      <c r="CI74" s="60"/>
      <c r="CJ74" s="60"/>
      <c r="CK74" s="60"/>
      <c r="CL74" s="60"/>
      <c r="CM74" s="60"/>
      <c r="CN74" s="60"/>
      <c r="CO74" s="60"/>
      <c r="CP74" s="60"/>
      <c r="CQ74" s="60"/>
      <c r="CR74" s="111"/>
      <c r="CS74" s="60"/>
      <c r="CT74" s="60"/>
      <c r="CU74" s="60"/>
      <c r="CV74" s="60"/>
      <c r="CW74" s="60"/>
      <c r="CX74" s="60"/>
      <c r="CY74" s="60"/>
      <c r="CZ74" s="60"/>
      <c r="DA74" s="60"/>
      <c r="DB74" s="60"/>
      <c r="DC74" s="60"/>
      <c r="DD74" s="111"/>
      <c r="DE74" s="60"/>
      <c r="DF74" s="60"/>
      <c r="DG74" s="60"/>
      <c r="DH74" s="60"/>
      <c r="DI74" s="60"/>
      <c r="DJ74" s="60"/>
      <c r="DK74" s="60"/>
      <c r="DL74" s="60"/>
      <c r="DM74" s="60"/>
      <c r="DN74" s="60"/>
      <c r="DO74" s="60"/>
      <c r="DP74" s="111"/>
      <c r="DQ74" s="60"/>
      <c r="DR74" s="60"/>
      <c r="DS74" s="60"/>
      <c r="DT74" s="60"/>
      <c r="DU74" s="60"/>
      <c r="DV74" s="60"/>
      <c r="DW74" s="60"/>
      <c r="DX74" s="60"/>
      <c r="DY74" s="60"/>
      <c r="DZ74" s="60"/>
      <c r="EA74" s="60"/>
      <c r="EB74" s="111"/>
      <c r="EC74" s="60"/>
      <c r="ED74" s="60"/>
      <c r="EE74" s="60"/>
      <c r="EF74" s="60"/>
      <c r="EG74" s="60"/>
      <c r="EH74" s="60"/>
      <c r="EI74" s="60"/>
      <c r="EJ74" s="60"/>
      <c r="EK74" s="60"/>
      <c r="EL74" s="60"/>
      <c r="EM74" s="60"/>
      <c r="EN74" s="111"/>
      <c r="EO74" s="60"/>
      <c r="EP74" s="60"/>
      <c r="EQ74" s="60"/>
      <c r="ER74" s="60"/>
      <c r="ES74" s="60"/>
      <c r="ET74" s="60"/>
      <c r="EU74" s="60"/>
      <c r="EV74" s="60"/>
      <c r="EW74" s="60"/>
      <c r="EX74" s="60"/>
      <c r="EY74" s="60"/>
      <c r="EZ74" s="60"/>
    </row>
    <row r="75" spans="1:156" x14ac:dyDescent="0.2">
      <c r="A75" s="104"/>
      <c r="B75" s="104"/>
      <c r="C75" s="104"/>
      <c r="D75" s="104"/>
      <c r="E75" s="104"/>
      <c r="F75" s="104"/>
      <c r="G75" s="104"/>
      <c r="H75" s="104"/>
      <c r="I75" s="104"/>
      <c r="J75" s="104"/>
      <c r="K75" s="104"/>
      <c r="L75" s="104"/>
      <c r="M75" s="104"/>
      <c r="N75" s="104"/>
      <c r="O75" s="104"/>
      <c r="P75" s="104"/>
      <c r="Q75" s="104"/>
      <c r="R75" s="104"/>
      <c r="S75" s="104"/>
      <c r="T75" s="104"/>
      <c r="U75" s="104"/>
      <c r="V75" s="104"/>
      <c r="W75" s="104"/>
      <c r="X75" s="104"/>
      <c r="Y75" s="104"/>
      <c r="Z75" s="104"/>
      <c r="AA75" s="104"/>
      <c r="AB75" s="104"/>
      <c r="AC75" s="104"/>
      <c r="AD75" s="104"/>
      <c r="AE75" s="104"/>
      <c r="AF75" s="104"/>
      <c r="AG75" s="104"/>
      <c r="AH75" s="104"/>
      <c r="AI75" s="104"/>
      <c r="AJ75" s="104"/>
      <c r="AK75" s="104"/>
      <c r="AL75" s="104"/>
      <c r="AM75" s="104"/>
      <c r="AN75" s="104"/>
      <c r="AO75" s="104"/>
      <c r="AP75" s="104"/>
      <c r="AQ75" s="104"/>
      <c r="AR75" s="104"/>
      <c r="AS75" s="104"/>
      <c r="AT75" s="104"/>
      <c r="AU75" s="104"/>
      <c r="AV75" s="104"/>
      <c r="AW75" s="104"/>
      <c r="AX75" s="104"/>
      <c r="AY75" s="104"/>
      <c r="AZ75" s="104"/>
      <c r="BA75" s="104"/>
      <c r="BB75" s="104"/>
      <c r="BC75" s="104"/>
      <c r="BD75" s="104"/>
      <c r="BE75" s="104"/>
      <c r="BF75" s="104"/>
      <c r="BG75" s="104"/>
      <c r="BH75" s="104"/>
      <c r="BI75" s="104"/>
      <c r="BJ75" s="104"/>
      <c r="BK75" s="104"/>
      <c r="BL75" s="104"/>
      <c r="BM75" s="104"/>
      <c r="BN75" s="104"/>
      <c r="BO75" s="104"/>
      <c r="BP75" s="104"/>
      <c r="BQ75" s="104"/>
      <c r="BR75" s="104"/>
      <c r="BS75" s="104"/>
      <c r="BT75" s="104"/>
      <c r="BU75" s="104"/>
      <c r="BV75" s="104"/>
      <c r="BW75" s="104"/>
      <c r="BX75" s="104"/>
      <c r="BY75" s="104"/>
      <c r="BZ75" s="104"/>
      <c r="CA75" s="104"/>
      <c r="CB75" s="104"/>
      <c r="CC75" s="104"/>
      <c r="CD75" s="104"/>
      <c r="CE75" s="104"/>
      <c r="CF75" s="104"/>
      <c r="CG75" s="104"/>
      <c r="CH75" s="104"/>
      <c r="CI75" s="104"/>
      <c r="CJ75" s="104"/>
      <c r="CK75" s="104"/>
      <c r="CL75" s="104"/>
      <c r="CM75" s="104"/>
      <c r="CN75" s="104"/>
      <c r="CO75" s="104"/>
      <c r="CP75" s="104"/>
      <c r="CQ75" s="104"/>
      <c r="CR75" s="104"/>
      <c r="CS75" s="104"/>
      <c r="CT75" s="104"/>
      <c r="CU75" s="104"/>
      <c r="CV75" s="104"/>
      <c r="CW75" s="104"/>
      <c r="CX75" s="104"/>
      <c r="CY75" s="104"/>
      <c r="CZ75" s="104"/>
      <c r="DA75" s="104"/>
      <c r="DB75" s="104"/>
      <c r="DC75" s="104"/>
      <c r="DD75" s="104"/>
      <c r="DE75" s="104"/>
      <c r="DF75" s="104"/>
      <c r="DG75" s="104"/>
      <c r="DH75" s="104"/>
      <c r="DI75" s="104"/>
      <c r="DJ75" s="104"/>
      <c r="DK75" s="104"/>
      <c r="DL75" s="104"/>
      <c r="DM75" s="104"/>
      <c r="DN75" s="104"/>
      <c r="DO75" s="104"/>
      <c r="DP75" s="104"/>
      <c r="DQ75" s="104"/>
      <c r="DR75" s="104"/>
      <c r="DS75" s="104"/>
      <c r="DT75" s="104"/>
      <c r="DU75" s="104"/>
      <c r="DV75" s="104"/>
      <c r="DW75" s="104"/>
      <c r="DX75" s="104"/>
      <c r="DY75" s="104"/>
      <c r="DZ75" s="104"/>
      <c r="EA75" s="104"/>
      <c r="EB75" s="104"/>
      <c r="EC75" s="104"/>
      <c r="ED75" s="104"/>
      <c r="EE75" s="104"/>
      <c r="EF75" s="104"/>
      <c r="EG75" s="104"/>
      <c r="EH75" s="104"/>
      <c r="EI75" s="104"/>
      <c r="EJ75" s="104"/>
      <c r="EK75" s="104"/>
      <c r="EL75" s="104"/>
      <c r="EM75" s="104"/>
      <c r="EN75" s="104"/>
      <c r="EO75" s="104"/>
      <c r="EP75" s="104"/>
      <c r="EQ75" s="104"/>
      <c r="ER75" s="104"/>
      <c r="ES75" s="104"/>
      <c r="ET75" s="104"/>
      <c r="EU75" s="104"/>
      <c r="EV75" s="104"/>
      <c r="EW75" s="104"/>
      <c r="EX75" s="104"/>
      <c r="EY75" s="104"/>
      <c r="EZ75" s="2"/>
    </row>
    <row r="76" spans="1:156" x14ac:dyDescent="0.2">
      <c r="A76" s="104"/>
      <c r="B76" s="104"/>
      <c r="C76" s="104"/>
      <c r="D76" s="104"/>
      <c r="E76" s="104"/>
      <c r="F76" s="104"/>
      <c r="G76" s="104"/>
      <c r="H76" s="104"/>
      <c r="I76" s="104"/>
      <c r="J76" s="104"/>
      <c r="K76" s="104"/>
      <c r="L76" s="104"/>
      <c r="M76" s="104"/>
      <c r="N76" s="104"/>
      <c r="O76" s="104"/>
      <c r="P76" s="104"/>
      <c r="Q76" s="104"/>
      <c r="R76" s="104"/>
      <c r="S76" s="104"/>
      <c r="T76" s="104"/>
      <c r="U76" s="104"/>
      <c r="V76" s="104"/>
      <c r="W76" s="104"/>
      <c r="X76" s="104"/>
      <c r="Y76" s="104"/>
      <c r="Z76" s="104"/>
      <c r="AA76" s="104"/>
      <c r="AB76" s="104"/>
      <c r="AC76" s="104"/>
      <c r="AD76" s="104"/>
      <c r="AE76" s="104"/>
      <c r="AF76" s="104"/>
      <c r="AG76" s="104"/>
      <c r="AH76" s="104"/>
      <c r="AI76" s="104"/>
      <c r="AJ76" s="104"/>
      <c r="AK76" s="104"/>
      <c r="AL76" s="104"/>
      <c r="AM76" s="104"/>
      <c r="AN76" s="104"/>
      <c r="AO76" s="104"/>
      <c r="AP76" s="104"/>
      <c r="AQ76" s="104"/>
      <c r="AR76" s="104"/>
      <c r="AS76" s="104"/>
      <c r="AT76" s="104"/>
      <c r="AU76" s="104"/>
      <c r="AV76" s="104"/>
      <c r="AW76" s="104"/>
      <c r="AX76" s="104"/>
      <c r="AY76" s="104"/>
      <c r="AZ76" s="104"/>
      <c r="BA76" s="104"/>
      <c r="BB76" s="104"/>
      <c r="BC76" s="104"/>
      <c r="BD76" s="104"/>
      <c r="BE76" s="104"/>
      <c r="BF76" s="104"/>
      <c r="BG76" s="104"/>
      <c r="BH76" s="104"/>
      <c r="BI76" s="104"/>
      <c r="BJ76" s="104"/>
      <c r="BK76" s="104"/>
      <c r="BL76" s="104"/>
      <c r="BM76" s="104"/>
      <c r="BN76" s="104"/>
      <c r="BO76" s="104"/>
      <c r="BP76" s="104"/>
      <c r="BQ76" s="104"/>
      <c r="BR76" s="104"/>
      <c r="BS76" s="104"/>
      <c r="BT76" s="104"/>
      <c r="BU76" s="104"/>
      <c r="BV76" s="104"/>
      <c r="BW76" s="104"/>
      <c r="BX76" s="104"/>
      <c r="BY76" s="104"/>
      <c r="BZ76" s="104"/>
      <c r="CA76" s="104"/>
      <c r="CB76" s="104"/>
      <c r="CC76" s="104"/>
      <c r="CD76" s="104"/>
      <c r="CE76" s="104"/>
      <c r="CF76" s="104"/>
      <c r="CG76" s="104"/>
      <c r="CH76" s="104"/>
      <c r="CI76" s="104"/>
      <c r="CJ76" s="104"/>
      <c r="CK76" s="104"/>
      <c r="CL76" s="104"/>
      <c r="CM76" s="104"/>
      <c r="CN76" s="104"/>
      <c r="CO76" s="104"/>
      <c r="CP76" s="104"/>
      <c r="CQ76" s="104"/>
      <c r="CR76" s="104"/>
      <c r="CS76" s="104"/>
      <c r="CT76" s="104"/>
      <c r="CU76" s="104"/>
      <c r="CV76" s="104"/>
      <c r="CW76" s="104"/>
      <c r="CX76" s="104"/>
      <c r="CY76" s="104"/>
      <c r="CZ76" s="104"/>
      <c r="DA76" s="104"/>
      <c r="DB76" s="104"/>
      <c r="DC76" s="104"/>
      <c r="DD76" s="104"/>
      <c r="DE76" s="104"/>
      <c r="DF76" s="104"/>
      <c r="DG76" s="104"/>
      <c r="DH76" s="104"/>
      <c r="DI76" s="104"/>
      <c r="DJ76" s="104"/>
      <c r="DK76" s="104"/>
      <c r="DL76" s="104"/>
      <c r="DM76" s="104"/>
      <c r="DN76" s="104"/>
      <c r="DO76" s="104"/>
      <c r="DP76" s="104"/>
      <c r="DQ76" s="104"/>
      <c r="DR76" s="104"/>
      <c r="DS76" s="104"/>
      <c r="DT76" s="104"/>
      <c r="DU76" s="104"/>
      <c r="DV76" s="104"/>
      <c r="DW76" s="104"/>
      <c r="DX76" s="104"/>
      <c r="DY76" s="104"/>
      <c r="DZ76" s="104"/>
      <c r="EA76" s="104"/>
      <c r="EB76" s="104"/>
      <c r="EC76" s="104"/>
      <c r="ED76" s="104"/>
      <c r="EE76" s="104"/>
      <c r="EF76" s="104"/>
      <c r="EG76" s="104"/>
      <c r="EH76" s="104"/>
      <c r="EI76" s="104"/>
      <c r="EJ76" s="104"/>
      <c r="EK76" s="104"/>
      <c r="EL76" s="104"/>
      <c r="EM76" s="104"/>
      <c r="EN76" s="104"/>
      <c r="EO76" s="104"/>
      <c r="EP76" s="104"/>
      <c r="EQ76" s="104"/>
      <c r="ER76" s="104"/>
      <c r="ES76" s="104"/>
      <c r="ET76" s="104"/>
      <c r="EU76" s="104"/>
      <c r="EV76" s="104"/>
      <c r="EW76" s="104"/>
      <c r="EX76" s="104"/>
      <c r="EY76" s="104"/>
      <c r="EZ76" s="2"/>
    </row>
    <row r="77" spans="1:156" x14ac:dyDescent="0.2">
      <c r="A77" s="104"/>
      <c r="B77" s="104"/>
      <c r="C77" s="104"/>
      <c r="D77" s="104"/>
      <c r="E77" s="104"/>
      <c r="F77" s="104"/>
      <c r="G77" s="104"/>
      <c r="H77" s="104"/>
      <c r="I77" s="104"/>
      <c r="J77" s="104"/>
      <c r="K77" s="104"/>
      <c r="L77" s="104"/>
      <c r="M77" s="104"/>
      <c r="N77" s="104"/>
      <c r="O77" s="104"/>
      <c r="P77" s="104"/>
      <c r="Q77" s="104"/>
      <c r="R77" s="104"/>
      <c r="S77" s="104"/>
      <c r="T77" s="104"/>
      <c r="U77" s="104"/>
      <c r="V77" s="104"/>
      <c r="W77" s="104"/>
      <c r="X77" s="104"/>
      <c r="Y77" s="104"/>
      <c r="Z77" s="104"/>
      <c r="AA77" s="104"/>
      <c r="AB77" s="104"/>
      <c r="AC77" s="104"/>
      <c r="AD77" s="104"/>
      <c r="AE77" s="104"/>
      <c r="AF77" s="104"/>
      <c r="AG77" s="104"/>
      <c r="AH77" s="104"/>
      <c r="AI77" s="104"/>
      <c r="AJ77" s="104"/>
      <c r="AK77" s="104"/>
      <c r="AL77" s="104"/>
      <c r="AM77" s="104"/>
      <c r="AN77" s="104"/>
      <c r="AO77" s="104"/>
      <c r="AP77" s="104"/>
      <c r="AQ77" s="104"/>
      <c r="AR77" s="104"/>
      <c r="AS77" s="104"/>
      <c r="AT77" s="104"/>
      <c r="AU77" s="104"/>
      <c r="AV77" s="104"/>
      <c r="AW77" s="104"/>
      <c r="AX77" s="104"/>
      <c r="AY77" s="104"/>
      <c r="AZ77" s="104"/>
      <c r="BA77" s="104"/>
      <c r="BB77" s="104"/>
      <c r="BC77" s="104"/>
      <c r="BD77" s="104"/>
      <c r="BE77" s="104"/>
      <c r="BF77" s="104"/>
      <c r="BG77" s="104"/>
      <c r="BH77" s="104"/>
      <c r="BI77" s="104"/>
      <c r="BJ77" s="104"/>
      <c r="BK77" s="104"/>
      <c r="BL77" s="104"/>
      <c r="BM77" s="104"/>
      <c r="BN77" s="104"/>
      <c r="BO77" s="104"/>
      <c r="BP77" s="104"/>
      <c r="BQ77" s="104"/>
      <c r="BR77" s="104"/>
      <c r="BS77" s="104"/>
      <c r="BT77" s="104"/>
      <c r="BU77" s="104"/>
      <c r="BV77" s="104"/>
      <c r="BW77" s="104"/>
      <c r="BX77" s="104"/>
      <c r="BY77" s="104"/>
      <c r="BZ77" s="104"/>
      <c r="CA77" s="104"/>
      <c r="CB77" s="104"/>
      <c r="CC77" s="104"/>
      <c r="CD77" s="104"/>
      <c r="CE77" s="104"/>
      <c r="CF77" s="104"/>
      <c r="CG77" s="104"/>
      <c r="CH77" s="104"/>
      <c r="CI77" s="104"/>
      <c r="CJ77" s="104"/>
      <c r="CK77" s="104"/>
      <c r="CL77" s="104"/>
      <c r="CM77" s="104"/>
      <c r="CN77" s="104"/>
      <c r="CO77" s="104"/>
      <c r="CP77" s="104"/>
      <c r="CQ77" s="104"/>
      <c r="CR77" s="104"/>
      <c r="CS77" s="104"/>
      <c r="CT77" s="104"/>
      <c r="CU77" s="104"/>
      <c r="CV77" s="104"/>
      <c r="CW77" s="104"/>
      <c r="CX77" s="104"/>
      <c r="CY77" s="104"/>
      <c r="CZ77" s="104"/>
      <c r="DA77" s="104"/>
      <c r="DB77" s="104"/>
      <c r="DC77" s="104"/>
      <c r="DD77" s="104"/>
      <c r="DE77" s="104"/>
      <c r="DF77" s="104"/>
      <c r="DG77" s="104"/>
      <c r="DH77" s="104"/>
      <c r="DI77" s="104"/>
      <c r="DJ77" s="104"/>
      <c r="DK77" s="104"/>
      <c r="DL77" s="104"/>
      <c r="DM77" s="104"/>
      <c r="DN77" s="104"/>
      <c r="DO77" s="104"/>
      <c r="DP77" s="104"/>
      <c r="DQ77" s="104"/>
      <c r="DR77" s="104"/>
      <c r="DS77" s="104"/>
      <c r="DT77" s="104"/>
      <c r="DU77" s="104"/>
      <c r="DV77" s="104"/>
      <c r="DW77" s="104"/>
      <c r="DX77" s="104"/>
      <c r="DY77" s="104"/>
      <c r="DZ77" s="104"/>
      <c r="EA77" s="104"/>
      <c r="EB77" s="104"/>
      <c r="EC77" s="104"/>
      <c r="ED77" s="104"/>
      <c r="EE77" s="104"/>
      <c r="EF77" s="104"/>
      <c r="EG77" s="104"/>
      <c r="EH77" s="104"/>
      <c r="EI77" s="104"/>
      <c r="EJ77" s="104"/>
      <c r="EK77" s="104"/>
      <c r="EL77" s="104"/>
      <c r="EM77" s="104"/>
      <c r="EN77" s="104"/>
      <c r="EO77" s="104"/>
      <c r="EP77" s="104"/>
      <c r="EQ77" s="104"/>
      <c r="ER77" s="104"/>
      <c r="ES77" s="104"/>
      <c r="ET77" s="104"/>
      <c r="EU77" s="104"/>
      <c r="EV77" s="104"/>
      <c r="EW77" s="104"/>
      <c r="EX77" s="104"/>
      <c r="EY77" s="104"/>
      <c r="EZ77" s="2"/>
    </row>
    <row r="79" spans="1:156" ht="12.75" customHeight="1" x14ac:dyDescent="0.2">
      <c r="EZ79" s="103"/>
    </row>
  </sheetData>
  <mergeCells count="975">
    <mergeCell ref="EX67:EX68"/>
    <mergeCell ref="EP73:EQ73"/>
    <mergeCell ref="EY67:EY68"/>
    <mergeCell ref="EQ67:EQ68"/>
    <mergeCell ref="EY71:EY72"/>
    <mergeCell ref="EP69:EP70"/>
    <mergeCell ref="EY69:EY70"/>
    <mergeCell ref="EA71:EA72"/>
    <mergeCell ref="EL67:EL68"/>
    <mergeCell ref="ER67:EW67"/>
    <mergeCell ref="EO67:EO68"/>
    <mergeCell ref="EE67:EE68"/>
    <mergeCell ref="EP67:EP68"/>
    <mergeCell ref="EO69:EO73"/>
    <mergeCell ref="ED69:ED70"/>
    <mergeCell ref="DE15:DE19"/>
    <mergeCell ref="DF24:DG24"/>
    <mergeCell ref="DE20:DE24"/>
    <mergeCell ref="DO10:DO11"/>
    <mergeCell ref="EC2:EE2"/>
    <mergeCell ref="EI2:EM2"/>
    <mergeCell ref="ED5:ED6"/>
    <mergeCell ref="ED9:EE9"/>
    <mergeCell ref="ED10:ED11"/>
    <mergeCell ref="ED14:EE14"/>
    <mergeCell ref="ED15:ED16"/>
    <mergeCell ref="ED19:EE19"/>
    <mergeCell ref="ED20:ED21"/>
    <mergeCell ref="ED24:EE24"/>
    <mergeCell ref="DO3:DO4"/>
    <mergeCell ref="DW2:EA2"/>
    <mergeCell ref="DR9:DS9"/>
    <mergeCell ref="DR10:DR11"/>
    <mergeCell ref="DR14:DS14"/>
    <mergeCell ref="DR15:DR16"/>
    <mergeCell ref="DR19:DS19"/>
    <mergeCell ref="DR20:DR21"/>
    <mergeCell ref="DR24:DS24"/>
    <mergeCell ref="EA5:EA6"/>
    <mergeCell ref="DO30:DO31"/>
    <mergeCell ref="DE2:DG2"/>
    <mergeCell ref="DK2:DO2"/>
    <mergeCell ref="DF29:DG29"/>
    <mergeCell ref="DF20:DF21"/>
    <mergeCell ref="DQ50:DQ54"/>
    <mergeCell ref="DF30:DF31"/>
    <mergeCell ref="DF34:DG34"/>
    <mergeCell ref="DF35:DF36"/>
    <mergeCell ref="DF39:DG39"/>
    <mergeCell ref="DE5:DE9"/>
    <mergeCell ref="DE3:DG4"/>
    <mergeCell ref="DE10:DE14"/>
    <mergeCell ref="DQ35:DQ39"/>
    <mergeCell ref="DQ5:DQ9"/>
    <mergeCell ref="DF5:DF6"/>
    <mergeCell ref="DF9:DG9"/>
    <mergeCell ref="DF10:DF11"/>
    <mergeCell ref="DF14:DG14"/>
    <mergeCell ref="DF15:DF16"/>
    <mergeCell ref="DF19:DG19"/>
    <mergeCell ref="DQ3:DS4"/>
    <mergeCell ref="DQ10:DQ14"/>
    <mergeCell ref="DR5:DR6"/>
    <mergeCell ref="DT3:DY3"/>
    <mergeCell ref="DZ3:DZ4"/>
    <mergeCell ref="DQ2:DS2"/>
    <mergeCell ref="EA10:EA11"/>
    <mergeCell ref="EA22:EA23"/>
    <mergeCell ref="DE30:DE34"/>
    <mergeCell ref="DE40:DE44"/>
    <mergeCell ref="DE35:DE39"/>
    <mergeCell ref="DR59:DS59"/>
    <mergeCell ref="DE55:DE59"/>
    <mergeCell ref="DO40:DO41"/>
    <mergeCell ref="DR30:DR31"/>
    <mergeCell ref="DR34:DS34"/>
    <mergeCell ref="DR35:DR36"/>
    <mergeCell ref="DR39:DS39"/>
    <mergeCell ref="DQ30:DQ34"/>
    <mergeCell ref="DE25:DE29"/>
    <mergeCell ref="EA47:EA48"/>
    <mergeCell ref="DF40:DF41"/>
    <mergeCell ref="DO7:DO8"/>
    <mergeCell ref="DO42:DO43"/>
    <mergeCell ref="DQ25:DQ29"/>
    <mergeCell ref="EA15:EA16"/>
    <mergeCell ref="DF25:DF26"/>
    <mergeCell ref="DO47:DO48"/>
    <mergeCell ref="DQ60:DQ64"/>
    <mergeCell ref="DO50:DO51"/>
    <mergeCell ref="DQ45:DQ49"/>
    <mergeCell ref="DR50:DR51"/>
    <mergeCell ref="DF50:DF51"/>
    <mergeCell ref="DF54:DG54"/>
    <mergeCell ref="DF59:DG59"/>
    <mergeCell ref="DO45:DO46"/>
    <mergeCell ref="DQ55:DQ59"/>
    <mergeCell ref="DO52:DO53"/>
    <mergeCell ref="DF60:DF61"/>
    <mergeCell ref="DR64:DS64"/>
    <mergeCell ref="CT29:CU29"/>
    <mergeCell ref="DC45:DC46"/>
    <mergeCell ref="DC50:DC51"/>
    <mergeCell ref="DC37:DC38"/>
    <mergeCell ref="CS30:CS34"/>
    <mergeCell ref="DC27:DC28"/>
    <mergeCell ref="DC20:DC21"/>
    <mergeCell ref="CT9:CU9"/>
    <mergeCell ref="CT10:CT11"/>
    <mergeCell ref="CT14:CU14"/>
    <mergeCell ref="CT15:CT16"/>
    <mergeCell ref="DC22:DC23"/>
    <mergeCell ref="DC12:DC13"/>
    <mergeCell ref="CT19:CU19"/>
    <mergeCell ref="DC32:DC33"/>
    <mergeCell ref="DC35:DC36"/>
    <mergeCell ref="DC15:DC16"/>
    <mergeCell ref="DC17:DC18"/>
    <mergeCell ref="DC30:DC31"/>
    <mergeCell ref="DC47:DC48"/>
    <mergeCell ref="CA2:CE2"/>
    <mergeCell ref="BX3:CC3"/>
    <mergeCell ref="CQ47:CQ48"/>
    <mergeCell ref="CQ17:CQ18"/>
    <mergeCell ref="CY2:DC2"/>
    <mergeCell ref="DC7:DC8"/>
    <mergeCell ref="DC3:DC4"/>
    <mergeCell ref="DC25:DC26"/>
    <mergeCell ref="DC10:DC11"/>
    <mergeCell ref="CS2:CU2"/>
    <mergeCell ref="CT5:CT6"/>
    <mergeCell ref="CS10:CS14"/>
    <mergeCell ref="DC40:DC41"/>
    <mergeCell ref="CV3:DA3"/>
    <mergeCell ref="DB3:DB4"/>
    <mergeCell ref="CS3:CU4"/>
    <mergeCell ref="DC5:DC6"/>
    <mergeCell ref="CT20:CT21"/>
    <mergeCell ref="CT24:CU24"/>
    <mergeCell ref="CS35:CS39"/>
    <mergeCell ref="CT34:CU34"/>
    <mergeCell ref="CT35:CT36"/>
    <mergeCell ref="CT39:CU39"/>
    <mergeCell ref="CT40:CT41"/>
    <mergeCell ref="CM2:CQ2"/>
    <mergeCell ref="CS25:CS29"/>
    <mergeCell ref="CS40:CS44"/>
    <mergeCell ref="CG2:CI2"/>
    <mergeCell ref="CJ3:CO3"/>
    <mergeCell ref="CG3:CI4"/>
    <mergeCell ref="CQ37:CQ38"/>
    <mergeCell ref="CQ27:CQ28"/>
    <mergeCell ref="CP3:CP4"/>
    <mergeCell ref="CQ5:CQ6"/>
    <mergeCell ref="CQ20:CQ21"/>
    <mergeCell ref="CQ12:CQ13"/>
    <mergeCell ref="CQ3:CQ4"/>
    <mergeCell ref="CQ30:CQ31"/>
    <mergeCell ref="CQ15:CQ16"/>
    <mergeCell ref="CS5:CS9"/>
    <mergeCell ref="CQ22:CQ23"/>
    <mergeCell ref="CQ25:CQ26"/>
    <mergeCell ref="CH24:CI24"/>
    <mergeCell ref="CS15:CS19"/>
    <mergeCell ref="CS20:CS24"/>
    <mergeCell ref="CQ10:CQ11"/>
    <mergeCell ref="CH39:CI39"/>
    <mergeCell ref="CG35:CG39"/>
    <mergeCell ref="CE60:CE61"/>
    <mergeCell ref="BU20:BU24"/>
    <mergeCell ref="CE10:CE11"/>
    <mergeCell ref="CE3:CE4"/>
    <mergeCell ref="CE7:CE8"/>
    <mergeCell ref="BU3:BW4"/>
    <mergeCell ref="CE30:CE31"/>
    <mergeCell ref="CE47:CE48"/>
    <mergeCell ref="CE55:CE56"/>
    <mergeCell ref="CE57:CE58"/>
    <mergeCell ref="CE52:CE53"/>
    <mergeCell ref="CE20:CE21"/>
    <mergeCell ref="CE17:CE18"/>
    <mergeCell ref="CE12:CE13"/>
    <mergeCell ref="BV5:BV6"/>
    <mergeCell ref="CE42:CE43"/>
    <mergeCell ref="BU2:BW2"/>
    <mergeCell ref="BI60:BI64"/>
    <mergeCell ref="BJ60:BJ61"/>
    <mergeCell ref="BS52:BS53"/>
    <mergeCell ref="BV60:BV61"/>
    <mergeCell ref="BW67:BW68"/>
    <mergeCell ref="BV69:BV70"/>
    <mergeCell ref="BV55:BV56"/>
    <mergeCell ref="BK67:BK68"/>
    <mergeCell ref="BO66:BS66"/>
    <mergeCell ref="BU67:BU68"/>
    <mergeCell ref="BJ67:BJ68"/>
    <mergeCell ref="BU69:BU73"/>
    <mergeCell ref="BV64:BW64"/>
    <mergeCell ref="BV54:BW54"/>
    <mergeCell ref="BU10:BU14"/>
    <mergeCell ref="BI10:BI14"/>
    <mergeCell ref="BV34:BW34"/>
    <mergeCell ref="BS25:BS26"/>
    <mergeCell ref="BS30:BS31"/>
    <mergeCell ref="BJ20:BJ21"/>
    <mergeCell ref="BS45:BS46"/>
    <mergeCell ref="BS42:BS43"/>
    <mergeCell ref="BS15:BS16"/>
    <mergeCell ref="AQ2:AU2"/>
    <mergeCell ref="AN3:AS3"/>
    <mergeCell ref="BI2:BK2"/>
    <mergeCell ref="BO2:BS2"/>
    <mergeCell ref="BS35:BS36"/>
    <mergeCell ref="BI55:BI59"/>
    <mergeCell ref="BJ55:BJ56"/>
    <mergeCell ref="BJ50:BJ51"/>
    <mergeCell ref="BS47:BS48"/>
    <mergeCell ref="BJ44:BK44"/>
    <mergeCell ref="BS50:BS51"/>
    <mergeCell ref="BJ59:BK59"/>
    <mergeCell ref="BG5:BG6"/>
    <mergeCell ref="BG7:BG8"/>
    <mergeCell ref="AX40:AX41"/>
    <mergeCell ref="AX34:AY34"/>
    <mergeCell ref="BG3:BG4"/>
    <mergeCell ref="BG15:BG16"/>
    <mergeCell ref="AT3:AT4"/>
    <mergeCell ref="AU3:AU4"/>
    <mergeCell ref="BJ9:BK9"/>
    <mergeCell ref="AU7:AU8"/>
    <mergeCell ref="BS12:BS13"/>
    <mergeCell ref="BJ10:BJ11"/>
    <mergeCell ref="AX60:AX61"/>
    <mergeCell ref="BG25:BG26"/>
    <mergeCell ref="AU10:AU11"/>
    <mergeCell ref="AU17:AU18"/>
    <mergeCell ref="BG32:BG33"/>
    <mergeCell ref="BG30:BG31"/>
    <mergeCell ref="BG40:BG41"/>
    <mergeCell ref="AX54:AY54"/>
    <mergeCell ref="AX24:AY24"/>
    <mergeCell ref="BG27:BG28"/>
    <mergeCell ref="AW10:AW14"/>
    <mergeCell ref="AX25:AX26"/>
    <mergeCell ref="AX30:AX31"/>
    <mergeCell ref="AX39:AY39"/>
    <mergeCell ref="AW25:AW29"/>
    <mergeCell ref="AX35:AX36"/>
    <mergeCell ref="AU15:AU16"/>
    <mergeCell ref="AU12:AU13"/>
    <mergeCell ref="BG12:BG13"/>
    <mergeCell ref="AW50:AW54"/>
    <mergeCell ref="AW60:AW64"/>
    <mergeCell ref="AU45:AU46"/>
    <mergeCell ref="AU62:AU63"/>
    <mergeCell ref="AU55:AU56"/>
    <mergeCell ref="AW69:AW73"/>
    <mergeCell ref="AU71:AU72"/>
    <mergeCell ref="AL69:AL70"/>
    <mergeCell ref="AX67:AX68"/>
    <mergeCell ref="AU69:AU70"/>
    <mergeCell ref="AW2:AY2"/>
    <mergeCell ref="BC2:BG2"/>
    <mergeCell ref="AX5:AX6"/>
    <mergeCell ref="AX9:AY9"/>
    <mergeCell ref="AX10:AX11"/>
    <mergeCell ref="AX14:AY14"/>
    <mergeCell ref="AX15:AX16"/>
    <mergeCell ref="AX44:AY44"/>
    <mergeCell ref="BG47:BG48"/>
    <mergeCell ref="BG45:BG46"/>
    <mergeCell ref="BG57:BG58"/>
    <mergeCell ref="AX59:AY59"/>
    <mergeCell ref="AW55:AW59"/>
    <mergeCell ref="BG55:BG56"/>
    <mergeCell ref="AU47:AU48"/>
    <mergeCell ref="AL59:AM59"/>
    <mergeCell ref="AQ66:AU66"/>
    <mergeCell ref="AK2:AM2"/>
    <mergeCell ref="AK5:AK9"/>
    <mergeCell ref="AL35:AL36"/>
    <mergeCell ref="AK3:AM4"/>
    <mergeCell ref="AL40:AL41"/>
    <mergeCell ref="AI40:AI41"/>
    <mergeCell ref="AU42:AU43"/>
    <mergeCell ref="AL30:AL31"/>
    <mergeCell ref="AL20:AL21"/>
    <mergeCell ref="AL24:AM24"/>
    <mergeCell ref="AL25:AL26"/>
    <mergeCell ref="AL9:AM9"/>
    <mergeCell ref="AL10:AL11"/>
    <mergeCell ref="AL14:AM14"/>
    <mergeCell ref="AU32:AU33"/>
    <mergeCell ref="AL39:AM39"/>
    <mergeCell ref="AK30:AK34"/>
    <mergeCell ref="AK35:AK39"/>
    <mergeCell ref="AI15:AI16"/>
    <mergeCell ref="AU30:AU31"/>
    <mergeCell ref="AK10:AK14"/>
    <mergeCell ref="AK20:AK24"/>
    <mergeCell ref="AU27:AU28"/>
    <mergeCell ref="AU37:AU38"/>
    <mergeCell ref="AK40:AK44"/>
    <mergeCell ref="AL44:AM44"/>
    <mergeCell ref="Z50:Z51"/>
    <mergeCell ref="Z54:AA54"/>
    <mergeCell ref="AI52:AI53"/>
    <mergeCell ref="AI50:AI51"/>
    <mergeCell ref="AI62:AI63"/>
    <mergeCell ref="Z5:Z6"/>
    <mergeCell ref="Z9:AA9"/>
    <mergeCell ref="Z10:Z11"/>
    <mergeCell ref="Z14:AA14"/>
    <mergeCell ref="Z15:Z16"/>
    <mergeCell ref="Z19:AA19"/>
    <mergeCell ref="Z20:Z21"/>
    <mergeCell ref="Z24:AA24"/>
    <mergeCell ref="Z25:Z26"/>
    <mergeCell ref="Z29:AA29"/>
    <mergeCell ref="Z30:Z31"/>
    <mergeCell ref="Z34:AA34"/>
    <mergeCell ref="Z35:Z36"/>
    <mergeCell ref="Z39:AA39"/>
    <mergeCell ref="Z40:Z41"/>
    <mergeCell ref="AI60:AI61"/>
    <mergeCell ref="Z60:Z61"/>
    <mergeCell ref="AI17:AI18"/>
    <mergeCell ref="AI27:AI28"/>
    <mergeCell ref="P67:U67"/>
    <mergeCell ref="Y2:AA2"/>
    <mergeCell ref="AI10:AI11"/>
    <mergeCell ref="AI35:AI36"/>
    <mergeCell ref="S2:W2"/>
    <mergeCell ref="Y40:Y44"/>
    <mergeCell ref="Y15:Y19"/>
    <mergeCell ref="AI32:AI33"/>
    <mergeCell ref="W42:W43"/>
    <mergeCell ref="AE2:AI2"/>
    <mergeCell ref="P3:U3"/>
    <mergeCell ref="Z44:AA44"/>
    <mergeCell ref="AH3:AH4"/>
    <mergeCell ref="AI5:AI6"/>
    <mergeCell ref="AI3:AI4"/>
    <mergeCell ref="AI25:AI26"/>
    <mergeCell ref="AI7:AI8"/>
    <mergeCell ref="AI12:AI13"/>
    <mergeCell ref="W10:W11"/>
    <mergeCell ref="Y20:Y24"/>
    <mergeCell ref="AI37:AI38"/>
    <mergeCell ref="AI42:AI43"/>
    <mergeCell ref="AI30:AI31"/>
    <mergeCell ref="AI20:AI21"/>
    <mergeCell ref="N54:O54"/>
    <mergeCell ref="M2:O2"/>
    <mergeCell ref="N73:O73"/>
    <mergeCell ref="N60:N61"/>
    <mergeCell ref="N64:O64"/>
    <mergeCell ref="W40:W41"/>
    <mergeCell ref="W55:W56"/>
    <mergeCell ref="W60:W61"/>
    <mergeCell ref="W71:W72"/>
    <mergeCell ref="W47:W48"/>
    <mergeCell ref="W62:W63"/>
    <mergeCell ref="W50:W51"/>
    <mergeCell ref="N9:O9"/>
    <mergeCell ref="N5:N6"/>
    <mergeCell ref="W3:W4"/>
    <mergeCell ref="M3:O4"/>
    <mergeCell ref="N15:N16"/>
    <mergeCell ref="M25:M29"/>
    <mergeCell ref="M45:M49"/>
    <mergeCell ref="M50:M54"/>
    <mergeCell ref="N67:N68"/>
    <mergeCell ref="M67:M68"/>
    <mergeCell ref="W69:W70"/>
    <mergeCell ref="V67:V68"/>
    <mergeCell ref="A2:C2"/>
    <mergeCell ref="G2:K2"/>
    <mergeCell ref="N19:O19"/>
    <mergeCell ref="N20:N21"/>
    <mergeCell ref="N24:O24"/>
    <mergeCell ref="W7:W8"/>
    <mergeCell ref="M40:M44"/>
    <mergeCell ref="V3:V4"/>
    <mergeCell ref="W12:W13"/>
    <mergeCell ref="W15:W16"/>
    <mergeCell ref="W32:W33"/>
    <mergeCell ref="A35:A39"/>
    <mergeCell ref="B25:B26"/>
    <mergeCell ref="B30:B31"/>
    <mergeCell ref="M35:M39"/>
    <mergeCell ref="M10:M14"/>
    <mergeCell ref="M15:M19"/>
    <mergeCell ref="M30:M34"/>
    <mergeCell ref="M20:M24"/>
    <mergeCell ref="W22:W23"/>
    <mergeCell ref="M5:M9"/>
    <mergeCell ref="N44:O44"/>
    <mergeCell ref="K3:K4"/>
    <mergeCell ref="W35:W36"/>
    <mergeCell ref="Y45:Y49"/>
    <mergeCell ref="Y50:Y54"/>
    <mergeCell ref="W5:W6"/>
    <mergeCell ref="K5:K6"/>
    <mergeCell ref="N25:N26"/>
    <mergeCell ref="N29:O29"/>
    <mergeCell ref="Y5:Y9"/>
    <mergeCell ref="K12:K13"/>
    <mergeCell ref="K32:K33"/>
    <mergeCell ref="K50:K51"/>
    <mergeCell ref="K40:K41"/>
    <mergeCell ref="K45:K46"/>
    <mergeCell ref="W25:W26"/>
    <mergeCell ref="W45:W46"/>
    <mergeCell ref="W27:W28"/>
    <mergeCell ref="N40:N41"/>
    <mergeCell ref="N39:O39"/>
    <mergeCell ref="W30:W31"/>
    <mergeCell ref="W37:W38"/>
    <mergeCell ref="K15:K16"/>
    <mergeCell ref="K17:K18"/>
    <mergeCell ref="K7:K8"/>
    <mergeCell ref="K10:K11"/>
    <mergeCell ref="W52:W53"/>
    <mergeCell ref="BI45:BI49"/>
    <mergeCell ref="BI35:BI39"/>
    <mergeCell ref="BG17:BG18"/>
    <mergeCell ref="BI25:BI29"/>
    <mergeCell ref="AW30:AW34"/>
    <mergeCell ref="BJ19:BK19"/>
    <mergeCell ref="BU15:BU19"/>
    <mergeCell ref="Z64:AA64"/>
    <mergeCell ref="N10:N11"/>
    <mergeCell ref="W17:W18"/>
    <mergeCell ref="Y55:Y59"/>
    <mergeCell ref="W57:W58"/>
    <mergeCell ref="Z55:Z56"/>
    <mergeCell ref="Z59:AA59"/>
    <mergeCell ref="Y25:Y29"/>
    <mergeCell ref="Y60:Y64"/>
    <mergeCell ref="N30:N31"/>
    <mergeCell ref="N34:O34"/>
    <mergeCell ref="N14:O14"/>
    <mergeCell ref="N35:N36"/>
    <mergeCell ref="Y30:Y34"/>
    <mergeCell ref="Y10:Y14"/>
    <mergeCell ref="Y35:Y39"/>
    <mergeCell ref="W20:W21"/>
    <mergeCell ref="BJ64:BK64"/>
    <mergeCell ref="BU55:BU59"/>
    <mergeCell ref="BS57:BS58"/>
    <mergeCell ref="BS55:BS56"/>
    <mergeCell ref="BS60:BS61"/>
    <mergeCell ref="BS37:BS38"/>
    <mergeCell ref="BJ40:BJ41"/>
    <mergeCell ref="BJ35:BJ36"/>
    <mergeCell ref="BJ39:BK39"/>
    <mergeCell ref="BS62:BS63"/>
    <mergeCell ref="BJ54:BK54"/>
    <mergeCell ref="BU60:BU64"/>
    <mergeCell ref="AW5:AW9"/>
    <mergeCell ref="AW15:AW19"/>
    <mergeCell ref="BG10:BG11"/>
    <mergeCell ref="BI15:BI19"/>
    <mergeCell ref="BI30:BI34"/>
    <mergeCell ref="AX20:AX21"/>
    <mergeCell ref="AW20:AW24"/>
    <mergeCell ref="AU5:AU6"/>
    <mergeCell ref="AB3:AG3"/>
    <mergeCell ref="AK25:AK29"/>
    <mergeCell ref="AL29:AM29"/>
    <mergeCell ref="AL15:AL16"/>
    <mergeCell ref="AU25:AU26"/>
    <mergeCell ref="AL19:AM19"/>
    <mergeCell ref="AL5:AL6"/>
    <mergeCell ref="AL34:AM34"/>
    <mergeCell ref="AI22:AI23"/>
    <mergeCell ref="Y3:AA4"/>
    <mergeCell ref="BG42:BG43"/>
    <mergeCell ref="BI20:BI24"/>
    <mergeCell ref="AX29:AY29"/>
    <mergeCell ref="BI5:BI9"/>
    <mergeCell ref="BJ14:BK14"/>
    <mergeCell ref="BG35:BG36"/>
    <mergeCell ref="BU25:BU29"/>
    <mergeCell ref="BF3:BF4"/>
    <mergeCell ref="BI3:BK4"/>
    <mergeCell ref="AW3:AY4"/>
    <mergeCell ref="AX19:AY19"/>
    <mergeCell ref="BJ25:BJ26"/>
    <mergeCell ref="AW35:AW39"/>
    <mergeCell ref="BG37:BG38"/>
    <mergeCell ref="AU40:AU41"/>
    <mergeCell ref="BJ5:BJ6"/>
    <mergeCell ref="AU35:AU36"/>
    <mergeCell ref="BI40:BI44"/>
    <mergeCell ref="AZ3:BE3"/>
    <mergeCell ref="AU20:AU21"/>
    <mergeCell ref="AU22:AU23"/>
    <mergeCell ref="AK15:AK19"/>
    <mergeCell ref="BU40:BU44"/>
    <mergeCell ref="CH10:CH11"/>
    <mergeCell ref="CH44:CI44"/>
    <mergeCell ref="CG10:CG14"/>
    <mergeCell ref="CG20:CG24"/>
    <mergeCell ref="CH15:CH16"/>
    <mergeCell ref="CH19:CI19"/>
    <mergeCell ref="CH14:CI14"/>
    <mergeCell ref="BV24:BW24"/>
    <mergeCell ref="BV25:BV26"/>
    <mergeCell ref="BJ15:BJ16"/>
    <mergeCell ref="BJ29:BK29"/>
    <mergeCell ref="BV44:BW44"/>
    <mergeCell ref="BU50:BU54"/>
    <mergeCell ref="CE40:CE41"/>
    <mergeCell ref="BV40:BV41"/>
    <mergeCell ref="BS40:BS41"/>
    <mergeCell ref="CG40:CG44"/>
    <mergeCell ref="CE25:CE26"/>
    <mergeCell ref="CE45:CE46"/>
    <mergeCell ref="BV29:BW29"/>
    <mergeCell ref="BS27:BS28"/>
    <mergeCell ref="CE35:CE36"/>
    <mergeCell ref="BV39:BW39"/>
    <mergeCell ref="BJ24:BK24"/>
    <mergeCell ref="CG15:CG19"/>
    <mergeCell ref="CE22:CE23"/>
    <mergeCell ref="CE32:CE33"/>
    <mergeCell ref="BJ34:BK34"/>
    <mergeCell ref="BU30:BU34"/>
    <mergeCell ref="BS17:BS18"/>
    <mergeCell ref="BJ30:BJ31"/>
    <mergeCell ref="BV50:BV51"/>
    <mergeCell ref="CE37:CE38"/>
    <mergeCell ref="CG50:CG54"/>
    <mergeCell ref="BV30:BV31"/>
    <mergeCell ref="CG30:CG34"/>
    <mergeCell ref="CG25:CG29"/>
    <mergeCell ref="CE27:CE28"/>
    <mergeCell ref="CE15:CE16"/>
    <mergeCell ref="CQ52:CQ53"/>
    <mergeCell ref="CT50:CT51"/>
    <mergeCell ref="CS50:CS54"/>
    <mergeCell ref="CT54:CU54"/>
    <mergeCell ref="CQ42:CQ43"/>
    <mergeCell ref="CH40:CH41"/>
    <mergeCell ref="CQ50:CQ51"/>
    <mergeCell ref="CT30:CT31"/>
    <mergeCell ref="CQ45:CQ46"/>
    <mergeCell ref="CS45:CS49"/>
    <mergeCell ref="CG45:CG49"/>
    <mergeCell ref="BV19:BW19"/>
    <mergeCell ref="BV20:BV21"/>
    <mergeCell ref="CH34:CI34"/>
    <mergeCell ref="CH25:CH26"/>
    <mergeCell ref="CH29:CI29"/>
    <mergeCell ref="CH30:CH31"/>
    <mergeCell ref="CT25:CT26"/>
    <mergeCell ref="BL3:BQ3"/>
    <mergeCell ref="BV35:BV36"/>
    <mergeCell ref="BS7:BS8"/>
    <mergeCell ref="CQ35:CQ36"/>
    <mergeCell ref="BR3:BR4"/>
    <mergeCell ref="CG5:CG9"/>
    <mergeCell ref="CH20:CH21"/>
    <mergeCell ref="CH5:CH6"/>
    <mergeCell ref="CQ7:CQ8"/>
    <mergeCell ref="CE5:CE6"/>
    <mergeCell ref="BS5:BS6"/>
    <mergeCell ref="BS32:BS33"/>
    <mergeCell ref="BS10:BS11"/>
    <mergeCell ref="BU5:BU9"/>
    <mergeCell ref="BV15:BV16"/>
    <mergeCell ref="CD3:CD4"/>
    <mergeCell ref="BS3:BS4"/>
    <mergeCell ref="BV14:BW14"/>
    <mergeCell ref="CH35:CH36"/>
    <mergeCell ref="BU35:BU39"/>
    <mergeCell ref="CQ32:CQ33"/>
    <mergeCell ref="BV9:BW9"/>
    <mergeCell ref="BV10:BV11"/>
    <mergeCell ref="CH9:CI9"/>
    <mergeCell ref="CA66:CE66"/>
    <mergeCell ref="DO67:DO68"/>
    <mergeCell ref="DC57:DC58"/>
    <mergeCell ref="DO60:DO61"/>
    <mergeCell ref="CH60:CH61"/>
    <mergeCell ref="CH64:CI64"/>
    <mergeCell ref="CG55:CG59"/>
    <mergeCell ref="CH59:CI59"/>
    <mergeCell ref="CQ60:CQ61"/>
    <mergeCell ref="DE60:DE64"/>
    <mergeCell ref="CQ62:CQ63"/>
    <mergeCell ref="CT60:CT61"/>
    <mergeCell ref="CT64:CU64"/>
    <mergeCell ref="CQ55:CQ56"/>
    <mergeCell ref="CG60:CG64"/>
    <mergeCell ref="DO55:DO56"/>
    <mergeCell ref="CT55:CT56"/>
    <mergeCell ref="DO62:DO63"/>
    <mergeCell ref="CG66:CI66"/>
    <mergeCell ref="CE67:CE68"/>
    <mergeCell ref="CG67:CG68"/>
    <mergeCell ref="CS55:CS59"/>
    <mergeCell ref="DE67:DE68"/>
    <mergeCell ref="CY66:DC66"/>
    <mergeCell ref="EY57:EY58"/>
    <mergeCell ref="EM42:EM43"/>
    <mergeCell ref="EO45:EO49"/>
    <mergeCell ref="EY52:EY53"/>
    <mergeCell ref="EY62:EY63"/>
    <mergeCell ref="EM55:EM56"/>
    <mergeCell ref="EM27:EM28"/>
    <mergeCell ref="EO50:EO54"/>
    <mergeCell ref="EM57:EM58"/>
    <mergeCell ref="EO55:EO59"/>
    <mergeCell ref="EM52:EM53"/>
    <mergeCell ref="EO60:EO64"/>
    <mergeCell ref="EM60:EM61"/>
    <mergeCell ref="EY60:EY61"/>
    <mergeCell ref="EM30:EM31"/>
    <mergeCell ref="EM37:EM38"/>
    <mergeCell ref="EM35:EM36"/>
    <mergeCell ref="EY27:EY28"/>
    <mergeCell ref="EY45:EY46"/>
    <mergeCell ref="EY47:EY48"/>
    <mergeCell ref="EY50:EY51"/>
    <mergeCell ref="EY55:EY56"/>
    <mergeCell ref="EO35:EO39"/>
    <mergeCell ref="EM62:EM63"/>
    <mergeCell ref="ED60:ED61"/>
    <mergeCell ref="EC45:EC49"/>
    <mergeCell ref="EA42:EA43"/>
    <mergeCell ref="EA62:EA63"/>
    <mergeCell ref="EA40:EA41"/>
    <mergeCell ref="EA52:EA53"/>
    <mergeCell ref="EA45:EA46"/>
    <mergeCell ref="DR40:DR41"/>
    <mergeCell ref="DR54:DS54"/>
    <mergeCell ref="EC55:EC59"/>
    <mergeCell ref="DR55:DR56"/>
    <mergeCell ref="EA60:EA61"/>
    <mergeCell ref="EA57:EA58"/>
    <mergeCell ref="EC60:EC64"/>
    <mergeCell ref="EA55:EA56"/>
    <mergeCell ref="EC50:EC54"/>
    <mergeCell ref="EM50:EM51"/>
    <mergeCell ref="EM47:EM48"/>
    <mergeCell ref="EM32:EM33"/>
    <mergeCell ref="ED54:EE54"/>
    <mergeCell ref="ED40:ED41"/>
    <mergeCell ref="ED59:EE59"/>
    <mergeCell ref="EA32:EA33"/>
    <mergeCell ref="ED30:ED31"/>
    <mergeCell ref="ED34:EE34"/>
    <mergeCell ref="ED35:ED36"/>
    <mergeCell ref="ED39:EE39"/>
    <mergeCell ref="ED50:ED51"/>
    <mergeCell ref="EC35:EC39"/>
    <mergeCell ref="EC3:EE4"/>
    <mergeCell ref="EY37:EY38"/>
    <mergeCell ref="EY5:EY6"/>
    <mergeCell ref="EY7:EY8"/>
    <mergeCell ref="EO25:EO29"/>
    <mergeCell ref="EA17:EA18"/>
    <mergeCell ref="EM20:EM21"/>
    <mergeCell ref="EY10:EY11"/>
    <mergeCell ref="EM7:EM8"/>
    <mergeCell ref="EO30:EO34"/>
    <mergeCell ref="EO10:EO14"/>
    <mergeCell ref="EY32:EY33"/>
    <mergeCell ref="EM25:EM26"/>
    <mergeCell ref="EY25:EY26"/>
    <mergeCell ref="EA25:EA26"/>
    <mergeCell ref="ED25:ED26"/>
    <mergeCell ref="ED29:EE29"/>
    <mergeCell ref="EY15:EY16"/>
    <mergeCell ref="EY35:EY36"/>
    <mergeCell ref="EY30:EY31"/>
    <mergeCell ref="EA27:EA28"/>
    <mergeCell ref="EA20:EA21"/>
    <mergeCell ref="EC25:EC29"/>
    <mergeCell ref="EA12:EA13"/>
    <mergeCell ref="EY40:EY41"/>
    <mergeCell ref="EO40:EO44"/>
    <mergeCell ref="EY20:EY21"/>
    <mergeCell ref="EY22:EY23"/>
    <mergeCell ref="DO22:DO23"/>
    <mergeCell ref="DO37:DO38"/>
    <mergeCell ref="DR25:DR26"/>
    <mergeCell ref="DR29:DS29"/>
    <mergeCell ref="EC5:EC9"/>
    <mergeCell ref="EM15:EM16"/>
    <mergeCell ref="DO20:DO21"/>
    <mergeCell ref="EC20:EC24"/>
    <mergeCell ref="EM17:EM18"/>
    <mergeCell ref="DO5:DO6"/>
    <mergeCell ref="DO35:DO36"/>
    <mergeCell ref="DO27:DO28"/>
    <mergeCell ref="DO17:DO18"/>
    <mergeCell ref="DO12:DO13"/>
    <mergeCell ref="DO32:DO33"/>
    <mergeCell ref="DO15:DO16"/>
    <mergeCell ref="EM12:EM13"/>
    <mergeCell ref="EM40:EM41"/>
    <mergeCell ref="DR44:DS44"/>
    <mergeCell ref="EA30:EA31"/>
    <mergeCell ref="EX3:EX4"/>
    <mergeCell ref="DN3:DN4"/>
    <mergeCell ref="DH3:DM3"/>
    <mergeCell ref="DF44:DG44"/>
    <mergeCell ref="EY12:EY13"/>
    <mergeCell ref="EO15:EO19"/>
    <mergeCell ref="EO20:EO24"/>
    <mergeCell ref="EL3:EL4"/>
    <mergeCell ref="EM10:EM11"/>
    <mergeCell ref="DQ40:DQ44"/>
    <mergeCell ref="EC40:EC44"/>
    <mergeCell ref="EY3:EY4"/>
    <mergeCell ref="ER3:EW3"/>
    <mergeCell ref="EO3:EQ4"/>
    <mergeCell ref="EA3:EA4"/>
    <mergeCell ref="EF3:EK3"/>
    <mergeCell ref="EM22:EM23"/>
    <mergeCell ref="EM3:EM4"/>
    <mergeCell ref="DO25:DO26"/>
    <mergeCell ref="EY17:EY18"/>
    <mergeCell ref="EC30:EC34"/>
    <mergeCell ref="EC15:EC19"/>
    <mergeCell ref="EY42:EY43"/>
    <mergeCell ref="EO5:EO9"/>
    <mergeCell ref="AW40:AW44"/>
    <mergeCell ref="EC10:EC14"/>
    <mergeCell ref="EM5:EM6"/>
    <mergeCell ref="EA37:EA38"/>
    <mergeCell ref="EA7:EA8"/>
    <mergeCell ref="AX50:AX51"/>
    <mergeCell ref="AX64:AY64"/>
    <mergeCell ref="AX55:AX56"/>
    <mergeCell ref="BG62:BG63"/>
    <mergeCell ref="BG50:BG51"/>
    <mergeCell ref="BG20:BG21"/>
    <mergeCell ref="BG22:BG23"/>
    <mergeCell ref="BS20:BS21"/>
    <mergeCell ref="BS22:BS23"/>
    <mergeCell ref="BI50:BI54"/>
    <mergeCell ref="CE50:CE51"/>
    <mergeCell ref="ED64:EE64"/>
    <mergeCell ref="EA35:EA36"/>
    <mergeCell ref="BU45:BU49"/>
    <mergeCell ref="ED55:ED56"/>
    <mergeCell ref="DR60:DR61"/>
    <mergeCell ref="EA50:EA51"/>
    <mergeCell ref="ED44:EE44"/>
    <mergeCell ref="EM45:EM46"/>
    <mergeCell ref="BG60:BG61"/>
    <mergeCell ref="DQ15:DQ19"/>
    <mergeCell ref="DQ20:DQ24"/>
    <mergeCell ref="DC55:DC56"/>
    <mergeCell ref="CT59:CU59"/>
    <mergeCell ref="CH55:CH56"/>
    <mergeCell ref="CS60:CS64"/>
    <mergeCell ref="CQ57:CQ58"/>
    <mergeCell ref="DO57:DO58"/>
    <mergeCell ref="DC60:DC61"/>
    <mergeCell ref="DC62:DC63"/>
    <mergeCell ref="DF64:DG64"/>
    <mergeCell ref="BV59:BW59"/>
    <mergeCell ref="CE62:CE63"/>
    <mergeCell ref="DF55:DF56"/>
    <mergeCell ref="CQ40:CQ41"/>
    <mergeCell ref="CT44:CU44"/>
    <mergeCell ref="BG52:BG53"/>
    <mergeCell ref="DE50:DE54"/>
    <mergeCell ref="CH50:CH51"/>
    <mergeCell ref="DC52:DC53"/>
    <mergeCell ref="DC42:DC43"/>
    <mergeCell ref="CH54:CI54"/>
    <mergeCell ref="DE45:DE49"/>
    <mergeCell ref="AL64:AM64"/>
    <mergeCell ref="AL60:AL61"/>
    <mergeCell ref="AU52:AU53"/>
    <mergeCell ref="AW45:AW49"/>
    <mergeCell ref="AI57:AI58"/>
    <mergeCell ref="AI47:AI48"/>
    <mergeCell ref="AL55:AL56"/>
    <mergeCell ref="AL50:AL51"/>
    <mergeCell ref="AK50:AK54"/>
    <mergeCell ref="AL54:AM54"/>
    <mergeCell ref="AU57:AU58"/>
    <mergeCell ref="AU60:AU61"/>
    <mergeCell ref="AU50:AU51"/>
    <mergeCell ref="AK45:AK49"/>
    <mergeCell ref="AK60:AK64"/>
    <mergeCell ref="AI45:AI46"/>
    <mergeCell ref="AI55:AI56"/>
    <mergeCell ref="AK55:AK59"/>
    <mergeCell ref="AX69:AX70"/>
    <mergeCell ref="AX73:AY73"/>
    <mergeCell ref="AY67:AY68"/>
    <mergeCell ref="BC66:BG66"/>
    <mergeCell ref="BS69:BS70"/>
    <mergeCell ref="BG69:BG70"/>
    <mergeCell ref="BG71:BG72"/>
    <mergeCell ref="BI69:BI73"/>
    <mergeCell ref="BV73:BW73"/>
    <mergeCell ref="BS71:BS72"/>
    <mergeCell ref="BJ69:BJ70"/>
    <mergeCell ref="BL67:BQ67"/>
    <mergeCell ref="BJ73:BK73"/>
    <mergeCell ref="BS67:BS68"/>
    <mergeCell ref="BR67:BR68"/>
    <mergeCell ref="BU66:BW66"/>
    <mergeCell ref="BV67:BV68"/>
    <mergeCell ref="AT67:AT68"/>
    <mergeCell ref="AK66:AM66"/>
    <mergeCell ref="AL67:AL68"/>
    <mergeCell ref="AM67:AM68"/>
    <mergeCell ref="AK67:AK68"/>
    <mergeCell ref="BG67:BG68"/>
    <mergeCell ref="AW66:AY66"/>
    <mergeCell ref="BF67:BF68"/>
    <mergeCell ref="BI67:BI68"/>
    <mergeCell ref="BI66:BK66"/>
    <mergeCell ref="AW67:AW68"/>
    <mergeCell ref="AU67:AU68"/>
    <mergeCell ref="AZ67:BE67"/>
    <mergeCell ref="AN67:AS67"/>
    <mergeCell ref="Y66:AA66"/>
    <mergeCell ref="AI67:AI68"/>
    <mergeCell ref="AI71:AI72"/>
    <mergeCell ref="Z73:AA73"/>
    <mergeCell ref="Z69:Z70"/>
    <mergeCell ref="AE66:AI66"/>
    <mergeCell ref="AI69:AI70"/>
    <mergeCell ref="AL73:AM73"/>
    <mergeCell ref="AK69:AK73"/>
    <mergeCell ref="AA67:AA68"/>
    <mergeCell ref="AH67:AH68"/>
    <mergeCell ref="Y69:Y73"/>
    <mergeCell ref="AB67:AG67"/>
    <mergeCell ref="Z67:Z68"/>
    <mergeCell ref="Y67:Y68"/>
    <mergeCell ref="W67:W68"/>
    <mergeCell ref="K71:K72"/>
    <mergeCell ref="A50:A54"/>
    <mergeCell ref="K35:K36"/>
    <mergeCell ref="K37:K38"/>
    <mergeCell ref="B64:C64"/>
    <mergeCell ref="A66:C66"/>
    <mergeCell ref="M69:M73"/>
    <mergeCell ref="K62:K63"/>
    <mergeCell ref="A67:A68"/>
    <mergeCell ref="D67:I67"/>
    <mergeCell ref="B67:B68"/>
    <mergeCell ref="J67:J68"/>
    <mergeCell ref="B73:C73"/>
    <mergeCell ref="K67:K68"/>
    <mergeCell ref="K69:K70"/>
    <mergeCell ref="A69:A73"/>
    <mergeCell ref="C67:C68"/>
    <mergeCell ref="B44:C44"/>
    <mergeCell ref="B54:C54"/>
    <mergeCell ref="G66:K66"/>
    <mergeCell ref="B55:B56"/>
    <mergeCell ref="M66:O66"/>
    <mergeCell ref="O67:O68"/>
    <mergeCell ref="N69:N70"/>
    <mergeCell ref="A60:A64"/>
    <mergeCell ref="B15:B16"/>
    <mergeCell ref="B20:B21"/>
    <mergeCell ref="A20:A24"/>
    <mergeCell ref="A25:A29"/>
    <mergeCell ref="A30:A34"/>
    <mergeCell ref="K47:K48"/>
    <mergeCell ref="K52:K53"/>
    <mergeCell ref="K42:K43"/>
    <mergeCell ref="B35:B36"/>
    <mergeCell ref="B60:B61"/>
    <mergeCell ref="B59:C59"/>
    <mergeCell ref="K57:K58"/>
    <mergeCell ref="B39:C39"/>
    <mergeCell ref="K30:K31"/>
    <mergeCell ref="B29:C29"/>
    <mergeCell ref="K20:K21"/>
    <mergeCell ref="K22:K23"/>
    <mergeCell ref="B69:B70"/>
    <mergeCell ref="N59:O59"/>
    <mergeCell ref="M55:M59"/>
    <mergeCell ref="M60:M64"/>
    <mergeCell ref="N55:N56"/>
    <mergeCell ref="S66:W66"/>
    <mergeCell ref="J3:J4"/>
    <mergeCell ref="A15:A19"/>
    <mergeCell ref="K27:K28"/>
    <mergeCell ref="K25:K26"/>
    <mergeCell ref="A10:A14"/>
    <mergeCell ref="B14:C14"/>
    <mergeCell ref="B24:C24"/>
    <mergeCell ref="K55:K56"/>
    <mergeCell ref="K60:K61"/>
    <mergeCell ref="B40:B41"/>
    <mergeCell ref="A40:A44"/>
    <mergeCell ref="A55:A59"/>
    <mergeCell ref="A45:A49"/>
    <mergeCell ref="B50:B51"/>
    <mergeCell ref="B19:C19"/>
    <mergeCell ref="A5:A9"/>
    <mergeCell ref="D3:I3"/>
    <mergeCell ref="B9:C9"/>
    <mergeCell ref="A3:C4"/>
    <mergeCell ref="B5:B6"/>
    <mergeCell ref="B10:B11"/>
    <mergeCell ref="B34:C34"/>
    <mergeCell ref="N50:N51"/>
    <mergeCell ref="DB67:DB68"/>
    <mergeCell ref="CM66:CQ66"/>
    <mergeCell ref="DF67:DF68"/>
    <mergeCell ref="DG67:DG68"/>
    <mergeCell ref="DT67:DY67"/>
    <mergeCell ref="DE66:DG66"/>
    <mergeCell ref="CS66:CU66"/>
    <mergeCell ref="DO71:DO72"/>
    <mergeCell ref="DH67:DM67"/>
    <mergeCell ref="DR69:DR70"/>
    <mergeCell ref="DK66:DO66"/>
    <mergeCell ref="DC69:DC70"/>
    <mergeCell ref="CS67:CS68"/>
    <mergeCell ref="DC67:DC68"/>
    <mergeCell ref="DC71:DC72"/>
    <mergeCell ref="DN67:DN68"/>
    <mergeCell ref="CQ67:CQ68"/>
    <mergeCell ref="DQ67:DQ68"/>
    <mergeCell ref="DQ69:DQ73"/>
    <mergeCell ref="DF69:DF70"/>
    <mergeCell ref="DF73:DG73"/>
    <mergeCell ref="DO69:DO70"/>
    <mergeCell ref="DE69:DE73"/>
    <mergeCell ref="CQ69:CQ70"/>
    <mergeCell ref="EC66:EE66"/>
    <mergeCell ref="EC67:EC68"/>
    <mergeCell ref="EC69:EC73"/>
    <mergeCell ref="EF67:EK67"/>
    <mergeCell ref="EM71:EM72"/>
    <mergeCell ref="EM67:EM68"/>
    <mergeCell ref="ED67:ED68"/>
    <mergeCell ref="EM69:EM70"/>
    <mergeCell ref="DQ66:DS66"/>
    <mergeCell ref="DR73:DS73"/>
    <mergeCell ref="DR67:DR68"/>
    <mergeCell ref="EA69:EA70"/>
    <mergeCell ref="DZ67:DZ68"/>
    <mergeCell ref="DS67:DS68"/>
    <mergeCell ref="EI66:EM66"/>
    <mergeCell ref="DW66:EA66"/>
    <mergeCell ref="EA67:EA68"/>
    <mergeCell ref="ED73:EE73"/>
    <mergeCell ref="BX67:CC67"/>
    <mergeCell ref="CD67:CD68"/>
    <mergeCell ref="CQ71:CQ72"/>
    <mergeCell ref="CV67:DA67"/>
    <mergeCell ref="CU67:CU68"/>
    <mergeCell ref="CT67:CT68"/>
    <mergeCell ref="CT73:CU73"/>
    <mergeCell ref="CE71:CE72"/>
    <mergeCell ref="CE69:CE70"/>
    <mergeCell ref="CT69:CT70"/>
    <mergeCell ref="CP67:CP68"/>
    <mergeCell ref="CH73:CI73"/>
    <mergeCell ref="CG69:CG73"/>
    <mergeCell ref="CS69:CS73"/>
    <mergeCell ref="CH67:CH68"/>
    <mergeCell ref="CI67:CI68"/>
    <mergeCell ref="CH69:CH70"/>
    <mergeCell ref="CJ67:CO67"/>
  </mergeCells>
  <phoneticPr fontId="0" type="noConversion"/>
  <printOptions horizontalCentered="1"/>
  <pageMargins left="0.15748031496062992" right="0.15748031496062992" top="0.39370078740157483" bottom="0.19685039370078741" header="0.51181102362204722" footer="0.51181102362204722"/>
  <pageSetup paperSize="9" scale="10"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A14"/>
  <sheetViews>
    <sheetView rightToLeft="1" workbookViewId="0">
      <selection activeCell="H19" sqref="H19"/>
    </sheetView>
  </sheetViews>
  <sheetFormatPr defaultColWidth="9.140625" defaultRowHeight="15.75" x14ac:dyDescent="0.2"/>
  <cols>
    <col min="1" max="1" width="10" style="18" customWidth="1"/>
    <col min="2" max="2" width="7.28515625" style="41" customWidth="1"/>
    <col min="3" max="3" width="6.7109375" style="41" customWidth="1"/>
    <col min="4" max="4" width="9" style="41" customWidth="1"/>
    <col min="5" max="5" width="8.7109375" style="41" customWidth="1"/>
    <col min="6" max="6" width="9.7109375" style="41" customWidth="1"/>
    <col min="7" max="7" width="10.28515625" style="41" customWidth="1"/>
    <col min="8" max="8" width="9.5703125" style="41" customWidth="1"/>
    <col min="9" max="9" width="8.85546875" style="41" customWidth="1"/>
    <col min="10" max="10" width="11.28515625" style="41" customWidth="1"/>
    <col min="11" max="11" width="10" style="41" customWidth="1"/>
    <col min="12" max="12" width="4.28515625" style="41" customWidth="1"/>
    <col min="13" max="13" width="8.5703125" style="18" customWidth="1"/>
    <col min="14" max="14" width="6.85546875" style="41" customWidth="1"/>
    <col min="15" max="15" width="6" style="41" customWidth="1"/>
    <col min="16" max="16" width="9" style="41" customWidth="1"/>
    <col min="17" max="17" width="8.7109375" style="41" customWidth="1"/>
    <col min="18" max="18" width="10.5703125" style="41" customWidth="1"/>
    <col min="19" max="20" width="10.28515625" style="41" customWidth="1"/>
    <col min="21" max="21" width="8.85546875" style="41" customWidth="1"/>
    <col min="22" max="23" width="10.5703125" style="41" customWidth="1"/>
    <col min="24" max="24" width="4.28515625" style="41" customWidth="1"/>
    <col min="25" max="25" width="9" style="18" customWidth="1"/>
    <col min="26" max="26" width="6.140625" style="41" customWidth="1"/>
    <col min="27" max="27" width="4.85546875" style="41" customWidth="1"/>
    <col min="28" max="28" width="8.42578125" style="41" customWidth="1"/>
    <col min="29" max="29" width="8.7109375" style="41" customWidth="1"/>
    <col min="30" max="30" width="10.5703125" style="41" customWidth="1"/>
    <col min="31" max="32" width="10.28515625" style="41" customWidth="1"/>
    <col min="33" max="33" width="8.85546875" style="41" customWidth="1"/>
    <col min="34" max="34" width="10.5703125" style="41" customWidth="1"/>
    <col min="35" max="35" width="10.42578125" style="41" customWidth="1"/>
    <col min="36" max="36" width="4.28515625" style="41" customWidth="1"/>
    <col min="37" max="37" width="8.7109375" style="18" customWidth="1"/>
    <col min="38" max="38" width="5.7109375" style="41" customWidth="1"/>
    <col min="39" max="39" width="4.5703125" style="41" customWidth="1"/>
    <col min="40" max="40" width="9" style="41" customWidth="1"/>
    <col min="41" max="41" width="8.7109375" style="41" customWidth="1"/>
    <col min="42" max="42" width="9.7109375" style="41" customWidth="1"/>
    <col min="43" max="44" width="10.28515625" style="41" customWidth="1"/>
    <col min="45" max="45" width="8.85546875" style="41" customWidth="1"/>
    <col min="46" max="46" width="10.5703125" style="41" customWidth="1"/>
    <col min="47" max="47" width="9.140625" style="41"/>
    <col min="48" max="48" width="4.28515625" style="41" customWidth="1"/>
    <col min="49" max="49" width="7.7109375" style="18" customWidth="1"/>
    <col min="50" max="50" width="6.140625" style="41" customWidth="1"/>
    <col min="51" max="51" width="5.42578125" style="41" customWidth="1"/>
    <col min="52" max="52" width="9" style="41" customWidth="1"/>
    <col min="53" max="53" width="8.7109375" style="41" customWidth="1"/>
    <col min="54" max="54" width="10.5703125" style="41" customWidth="1"/>
    <col min="55" max="56" width="10.28515625" style="41" customWidth="1"/>
    <col min="57" max="57" width="8.85546875" style="41" customWidth="1"/>
    <col min="58" max="58" width="10.5703125" style="41" customWidth="1"/>
    <col min="59" max="59" width="9.7109375" style="41" customWidth="1"/>
    <col min="60" max="60" width="4.28515625" style="41" customWidth="1"/>
    <col min="61" max="61" width="8" style="18" customWidth="1"/>
    <col min="62" max="62" width="6.140625" style="41" customWidth="1"/>
    <col min="63" max="63" width="5.42578125" style="41" customWidth="1"/>
    <col min="64" max="64" width="9" style="41" customWidth="1"/>
    <col min="65" max="65" width="8.7109375" style="41" customWidth="1"/>
    <col min="66" max="66" width="9.5703125" style="41" customWidth="1"/>
    <col min="67" max="68" width="10.28515625" style="41" customWidth="1"/>
    <col min="69" max="69" width="8.85546875" style="41" customWidth="1"/>
    <col min="70" max="70" width="10.5703125" style="41" customWidth="1"/>
    <col min="71" max="71" width="8.85546875" style="41" customWidth="1"/>
    <col min="72" max="72" width="4.28515625" style="41" customWidth="1"/>
    <col min="73" max="73" width="9.5703125" style="18" customWidth="1"/>
    <col min="74" max="74" width="6.140625" style="41" customWidth="1"/>
    <col min="75" max="75" width="5.42578125" style="41" customWidth="1"/>
    <col min="76" max="76" width="9" style="41" customWidth="1"/>
    <col min="77" max="77" width="8.7109375" style="41" customWidth="1"/>
    <col min="78" max="78" width="10.5703125" style="41" customWidth="1"/>
    <col min="79" max="80" width="10.28515625" style="41" customWidth="1"/>
    <col min="81" max="81" width="8.85546875" style="41" customWidth="1"/>
    <col min="82" max="82" width="10.5703125" style="41" customWidth="1"/>
    <col min="83" max="83" width="8.85546875" style="41" customWidth="1"/>
    <col min="84" max="84" width="4.28515625" style="41" customWidth="1"/>
    <col min="85" max="85" width="9.5703125" style="18" customWidth="1"/>
    <col min="86" max="86" width="6.140625" style="41" customWidth="1"/>
    <col min="87" max="87" width="5.42578125" style="41" customWidth="1"/>
    <col min="88" max="88" width="9" style="41" customWidth="1"/>
    <col min="89" max="89" width="8.7109375" style="41" customWidth="1"/>
    <col min="90" max="90" width="10.5703125" style="41" customWidth="1"/>
    <col min="91" max="92" width="10.28515625" style="41" customWidth="1"/>
    <col min="93" max="93" width="8.85546875" style="41" customWidth="1"/>
    <col min="94" max="94" width="10.5703125" style="41" customWidth="1"/>
    <col min="95" max="95" width="8.85546875" style="41" customWidth="1"/>
    <col min="96" max="96" width="4.28515625" style="41" customWidth="1"/>
    <col min="97" max="97" width="9.5703125" style="18" customWidth="1"/>
    <col min="98" max="98" width="6.140625" style="41" customWidth="1"/>
    <col min="99" max="99" width="5.42578125" style="41" customWidth="1"/>
    <col min="100" max="100" width="9" style="41" customWidth="1"/>
    <col min="101" max="101" width="8.7109375" style="41" customWidth="1"/>
    <col min="102" max="102" width="10.5703125" style="41" customWidth="1"/>
    <col min="103" max="104" width="10.28515625" style="41" customWidth="1"/>
    <col min="105" max="105" width="8.85546875" style="41" customWidth="1"/>
    <col min="106" max="106" width="10.5703125" style="41" customWidth="1"/>
    <col min="107" max="107" width="8.85546875" style="41" customWidth="1"/>
    <col min="108" max="108" width="4.28515625" style="41" customWidth="1"/>
    <col min="109" max="109" width="9.5703125" style="18" customWidth="1"/>
    <col min="110" max="110" width="6.140625" style="41" customWidth="1"/>
    <col min="111" max="111" width="5.42578125" style="41" customWidth="1"/>
    <col min="112" max="112" width="9" style="41" customWidth="1"/>
    <col min="113" max="113" width="8.7109375" style="41" customWidth="1"/>
    <col min="114" max="114" width="10.5703125" style="41" customWidth="1"/>
    <col min="115" max="116" width="10.28515625" style="41" customWidth="1"/>
    <col min="117" max="117" width="8.85546875" style="41" customWidth="1"/>
    <col min="118" max="118" width="10.5703125" style="41" customWidth="1"/>
    <col min="119" max="119" width="8.85546875" style="41" customWidth="1"/>
    <col min="120" max="120" width="4.28515625" style="41" customWidth="1"/>
    <col min="121" max="121" width="9.5703125" style="18" customWidth="1"/>
    <col min="122" max="122" width="6.140625" style="41" customWidth="1"/>
    <col min="123" max="123" width="5.42578125" style="41" customWidth="1"/>
    <col min="124" max="124" width="9" style="41" customWidth="1"/>
    <col min="125" max="125" width="8.7109375" style="41" customWidth="1"/>
    <col min="126" max="126" width="10.5703125" style="41" customWidth="1"/>
    <col min="127" max="128" width="10.28515625" style="41" customWidth="1"/>
    <col min="129" max="129" width="8.85546875" style="41" customWidth="1"/>
    <col min="130" max="130" width="10.5703125" style="41" customWidth="1"/>
    <col min="131" max="131" width="8.85546875" style="41" customWidth="1"/>
    <col min="132" max="132" width="4.28515625" style="41" customWidth="1"/>
    <col min="133" max="133" width="9.5703125" style="18" customWidth="1"/>
    <col min="134" max="134" width="6.140625" style="41" customWidth="1"/>
    <col min="135" max="135" width="5.42578125" style="41" customWidth="1"/>
    <col min="136" max="136" width="9" style="41" customWidth="1"/>
    <col min="137" max="137" width="8.7109375" style="41" customWidth="1"/>
    <col min="138" max="138" width="10.5703125" style="41" customWidth="1"/>
    <col min="139" max="140" width="10.28515625" style="41" customWidth="1"/>
    <col min="141" max="141" width="8.85546875" style="41" customWidth="1"/>
    <col min="142" max="142" width="10.5703125" style="41" customWidth="1"/>
    <col min="143" max="143" width="8.85546875" style="41" customWidth="1"/>
    <col min="144" max="144" width="4.28515625" style="41" customWidth="1"/>
    <col min="145" max="145" width="1.85546875" style="41" customWidth="1"/>
    <col min="146" max="146" width="9.140625" style="18"/>
    <col min="147" max="147" width="6.140625" style="41" customWidth="1"/>
    <col min="148" max="148" width="5.42578125" style="41" customWidth="1"/>
    <col min="149" max="149" width="7.7109375" style="41" customWidth="1"/>
    <col min="150" max="150" width="9.140625" style="41"/>
    <col min="151" max="152" width="8.7109375" style="41" customWidth="1"/>
    <col min="153" max="153" width="9.140625" style="41"/>
    <col min="154" max="154" width="8.5703125" style="41" customWidth="1"/>
    <col min="155" max="155" width="11.7109375" style="41" customWidth="1"/>
    <col min="156" max="156" width="10.28515625" style="41" customWidth="1"/>
    <col min="157" max="157" width="3.28515625" style="41" customWidth="1"/>
    <col min="158" max="16384" width="9.140625" style="16"/>
  </cols>
  <sheetData>
    <row r="1" spans="1:157" ht="17.25" customHeight="1" thickBot="1" x14ac:dyDescent="0.25">
      <c r="A1" s="19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9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9"/>
      <c r="Z1" s="17"/>
      <c r="AA1" s="17"/>
      <c r="AB1" s="17"/>
      <c r="AC1" s="17"/>
      <c r="AD1" s="17"/>
      <c r="AE1" s="17"/>
      <c r="AF1" s="17"/>
      <c r="AG1" s="17"/>
      <c r="AH1" s="17"/>
      <c r="AI1" s="17"/>
      <c r="AJ1" s="17"/>
      <c r="AK1" s="19"/>
      <c r="AL1" s="17"/>
      <c r="AM1" s="17"/>
      <c r="AN1" s="17"/>
      <c r="AO1" s="17"/>
      <c r="AP1" s="17"/>
      <c r="AQ1" s="17"/>
      <c r="AR1" s="17"/>
      <c r="AS1" s="17"/>
      <c r="AT1" s="17"/>
      <c r="AU1" s="17"/>
      <c r="AV1" s="17"/>
      <c r="AW1" s="19"/>
      <c r="AX1" s="17"/>
      <c r="AY1" s="17"/>
      <c r="AZ1" s="17"/>
      <c r="BA1" s="17"/>
      <c r="BB1" s="17"/>
      <c r="BC1" s="17"/>
      <c r="BD1" s="17"/>
      <c r="BE1" s="17"/>
      <c r="BF1" s="17"/>
      <c r="BG1" s="17"/>
      <c r="BH1" s="17"/>
      <c r="BI1" s="19"/>
      <c r="BJ1" s="17"/>
      <c r="BK1" s="17"/>
      <c r="BL1" s="17"/>
      <c r="BM1" s="17"/>
      <c r="BN1" s="17"/>
      <c r="BO1" s="17"/>
      <c r="BP1" s="17"/>
      <c r="BQ1" s="17"/>
      <c r="BR1" s="17"/>
      <c r="BS1" s="17"/>
      <c r="BT1" s="17"/>
      <c r="BU1" s="19"/>
      <c r="BV1" s="17"/>
      <c r="BW1" s="17"/>
      <c r="BX1" s="17"/>
      <c r="BY1" s="17"/>
      <c r="BZ1" s="17"/>
      <c r="CA1" s="17"/>
      <c r="CB1" s="17"/>
      <c r="CC1" s="17"/>
      <c r="CD1" s="17"/>
      <c r="CE1" s="17"/>
      <c r="CF1" s="17"/>
      <c r="CG1" s="19"/>
      <c r="CH1" s="17"/>
      <c r="CI1" s="17"/>
      <c r="CJ1" s="17"/>
      <c r="CK1" s="17"/>
      <c r="CL1" s="17"/>
      <c r="CM1" s="17"/>
      <c r="CN1" s="17"/>
      <c r="CO1" s="17"/>
      <c r="CP1" s="17"/>
      <c r="CQ1" s="17"/>
      <c r="CR1" s="17"/>
      <c r="CS1" s="19"/>
      <c r="CT1" s="17"/>
      <c r="CU1" s="17"/>
      <c r="CV1" s="17"/>
      <c r="CW1" s="17"/>
      <c r="CX1" s="17"/>
      <c r="CY1" s="17"/>
      <c r="CZ1" s="17"/>
      <c r="DA1" s="17"/>
      <c r="DB1" s="17"/>
      <c r="DC1" s="17"/>
      <c r="DD1" s="17"/>
      <c r="DE1" s="19"/>
      <c r="DF1" s="17"/>
      <c r="DG1" s="17"/>
      <c r="DH1" s="17"/>
      <c r="DI1" s="17"/>
      <c r="DJ1" s="17"/>
      <c r="DK1" s="17"/>
      <c r="DL1" s="17"/>
      <c r="DM1" s="17"/>
      <c r="DN1" s="17"/>
      <c r="DO1" s="17"/>
      <c r="DP1" s="17"/>
      <c r="DQ1" s="19"/>
      <c r="DR1" s="17"/>
      <c r="DS1" s="17"/>
      <c r="DT1" s="17"/>
      <c r="DU1" s="17"/>
      <c r="DV1" s="17"/>
      <c r="DW1" s="17"/>
      <c r="DX1" s="17"/>
      <c r="DY1" s="17"/>
      <c r="DZ1" s="17"/>
      <c r="EA1" s="17"/>
      <c r="EB1" s="17"/>
      <c r="EC1" s="19"/>
      <c r="ED1" s="17"/>
      <c r="EE1" s="17"/>
      <c r="EF1" s="17"/>
      <c r="EG1" s="17"/>
      <c r="EH1" s="17"/>
      <c r="EI1" s="17"/>
      <c r="EJ1" s="17"/>
      <c r="EK1" s="17"/>
      <c r="EL1" s="17"/>
      <c r="EM1" s="17"/>
      <c r="EN1" s="17"/>
      <c r="EO1" s="17"/>
      <c r="EP1" s="19"/>
      <c r="EQ1" s="17"/>
      <c r="ER1" s="17"/>
      <c r="ES1" s="17"/>
      <c r="ET1" s="17"/>
      <c r="EU1" s="17"/>
      <c r="EV1" s="17"/>
      <c r="EW1" s="17"/>
      <c r="EX1" s="17"/>
      <c r="EY1" s="17"/>
      <c r="EZ1" s="17"/>
      <c r="FA1" s="17"/>
    </row>
    <row r="2" spans="1:157" s="20" customFormat="1" ht="46.5" customHeight="1" thickBot="1" x14ac:dyDescent="0.25">
      <c r="A2" s="52" t="s">
        <v>21</v>
      </c>
      <c r="B2" s="33"/>
      <c r="C2" s="34"/>
      <c r="D2" s="35"/>
      <c r="E2" s="36"/>
      <c r="F2" s="35"/>
      <c r="G2" s="35" t="s">
        <v>0</v>
      </c>
      <c r="H2" s="36">
        <v>1</v>
      </c>
      <c r="I2" s="35">
        <f>SUM('سكان وأسر'!F2)</f>
        <v>1447</v>
      </c>
      <c r="J2" s="34"/>
      <c r="K2" s="37" t="s">
        <v>33</v>
      </c>
      <c r="L2" s="19"/>
      <c r="M2" s="52" t="s">
        <v>21</v>
      </c>
      <c r="N2" s="33"/>
      <c r="O2" s="34"/>
      <c r="P2" s="35"/>
      <c r="Q2" s="36"/>
      <c r="R2" s="35"/>
      <c r="S2" s="35" t="s">
        <v>0</v>
      </c>
      <c r="T2" s="36">
        <v>2</v>
      </c>
      <c r="U2" s="35">
        <f>SUM('سكان وأسر'!R2)</f>
        <v>1447</v>
      </c>
      <c r="V2" s="34"/>
      <c r="W2" s="37" t="s">
        <v>33</v>
      </c>
      <c r="X2" s="19"/>
      <c r="Y2" s="52" t="s">
        <v>21</v>
      </c>
      <c r="Z2" s="33"/>
      <c r="AA2" s="34"/>
      <c r="AB2" s="35"/>
      <c r="AC2" s="36"/>
      <c r="AD2" s="35"/>
      <c r="AE2" s="35" t="s">
        <v>0</v>
      </c>
      <c r="AF2" s="36">
        <v>3</v>
      </c>
      <c r="AG2" s="35">
        <f>SUM('سكان وأسر'!AD2)</f>
        <v>1447</v>
      </c>
      <c r="AH2" s="34"/>
      <c r="AI2" s="37" t="s">
        <v>33</v>
      </c>
      <c r="AJ2" s="19"/>
      <c r="AK2" s="52" t="s">
        <v>21</v>
      </c>
      <c r="AL2" s="33"/>
      <c r="AM2" s="34"/>
      <c r="AN2" s="35"/>
      <c r="AO2" s="36"/>
      <c r="AP2" s="35"/>
      <c r="AQ2" s="35" t="s">
        <v>0</v>
      </c>
      <c r="AR2" s="36">
        <v>4</v>
      </c>
      <c r="AS2" s="35">
        <f>SUM('سكان وأسر'!AP2)</f>
        <v>1447</v>
      </c>
      <c r="AT2" s="34"/>
      <c r="AU2" s="37" t="s">
        <v>33</v>
      </c>
      <c r="AV2" s="19"/>
      <c r="AW2" s="52" t="s">
        <v>21</v>
      </c>
      <c r="AX2" s="33"/>
      <c r="AY2" s="34"/>
      <c r="AZ2" s="35"/>
      <c r="BA2" s="36"/>
      <c r="BB2" s="35"/>
      <c r="BC2" s="35" t="s">
        <v>0</v>
      </c>
      <c r="BD2" s="36">
        <v>5</v>
      </c>
      <c r="BE2" s="35">
        <f>SUM('سكان وأسر'!BB2)</f>
        <v>1447</v>
      </c>
      <c r="BF2" s="34"/>
      <c r="BG2" s="37" t="s">
        <v>33</v>
      </c>
      <c r="BH2" s="19"/>
      <c r="BI2" s="52" t="s">
        <v>21</v>
      </c>
      <c r="BJ2" s="33"/>
      <c r="BK2" s="34"/>
      <c r="BL2" s="35"/>
      <c r="BM2" s="36"/>
      <c r="BN2" s="35"/>
      <c r="BO2" s="35" t="s">
        <v>0</v>
      </c>
      <c r="BP2" s="36">
        <v>6</v>
      </c>
      <c r="BQ2" s="35">
        <f>SUM('سكان وأسر'!BN2)</f>
        <v>1447</v>
      </c>
      <c r="BR2" s="34"/>
      <c r="BS2" s="37" t="s">
        <v>33</v>
      </c>
      <c r="BT2" s="19"/>
      <c r="BU2" s="52" t="s">
        <v>21</v>
      </c>
      <c r="BV2" s="33"/>
      <c r="BW2" s="34"/>
      <c r="BX2" s="35"/>
      <c r="BY2" s="36"/>
      <c r="BZ2" s="35"/>
      <c r="CA2" s="35" t="s">
        <v>0</v>
      </c>
      <c r="CB2" s="36">
        <v>7</v>
      </c>
      <c r="CC2" s="35">
        <f>SUM('سكان وأسر'!BZ2)</f>
        <v>1447</v>
      </c>
      <c r="CD2" s="34"/>
      <c r="CE2" s="37" t="s">
        <v>33</v>
      </c>
      <c r="CF2" s="19"/>
      <c r="CG2" s="52" t="s">
        <v>21</v>
      </c>
      <c r="CH2" s="33"/>
      <c r="CI2" s="34"/>
      <c r="CJ2" s="35"/>
      <c r="CK2" s="36"/>
      <c r="CL2" s="35"/>
      <c r="CM2" s="35" t="s">
        <v>0</v>
      </c>
      <c r="CN2" s="36">
        <v>8</v>
      </c>
      <c r="CO2" s="35">
        <f>SUM('سكان وأسر'!CL2)</f>
        <v>1447</v>
      </c>
      <c r="CP2" s="34"/>
      <c r="CQ2" s="37" t="s">
        <v>33</v>
      </c>
      <c r="CR2" s="19"/>
      <c r="CS2" s="52" t="s">
        <v>21</v>
      </c>
      <c r="CT2" s="33"/>
      <c r="CU2" s="34"/>
      <c r="CV2" s="35"/>
      <c r="CW2" s="36"/>
      <c r="CX2" s="35"/>
      <c r="CY2" s="35" t="s">
        <v>0</v>
      </c>
      <c r="CZ2" s="36">
        <v>9</v>
      </c>
      <c r="DA2" s="35">
        <f>SUM('سكان وأسر'!CX2)</f>
        <v>1447</v>
      </c>
      <c r="DB2" s="34"/>
      <c r="DC2" s="37" t="s">
        <v>33</v>
      </c>
      <c r="DD2" s="19"/>
      <c r="DE2" s="52" t="s">
        <v>21</v>
      </c>
      <c r="DF2" s="33"/>
      <c r="DG2" s="34"/>
      <c r="DH2" s="35"/>
      <c r="DI2" s="36"/>
      <c r="DJ2" s="35"/>
      <c r="DK2" s="35" t="s">
        <v>0</v>
      </c>
      <c r="DL2" s="36">
        <v>10</v>
      </c>
      <c r="DM2" s="35">
        <f>SUM('سكان وأسر'!DJ2)</f>
        <v>1447</v>
      </c>
      <c r="DN2" s="34"/>
      <c r="DO2" s="37" t="s">
        <v>33</v>
      </c>
      <c r="DP2" s="19"/>
      <c r="DQ2" s="52" t="s">
        <v>21</v>
      </c>
      <c r="DR2" s="33"/>
      <c r="DS2" s="34"/>
      <c r="DT2" s="35"/>
      <c r="DU2" s="36"/>
      <c r="DV2" s="35"/>
      <c r="DW2" s="35" t="s">
        <v>0</v>
      </c>
      <c r="DX2" s="36">
        <v>11</v>
      </c>
      <c r="DY2" s="35">
        <f>SUM('سكان وأسر'!DV2)</f>
        <v>1447</v>
      </c>
      <c r="DZ2" s="34"/>
      <c r="EA2" s="37" t="s">
        <v>33</v>
      </c>
      <c r="EB2" s="19"/>
      <c r="EC2" s="52" t="s">
        <v>21</v>
      </c>
      <c r="ED2" s="33"/>
      <c r="EE2" s="34"/>
      <c r="EF2" s="35"/>
      <c r="EG2" s="36"/>
      <c r="EH2" s="35"/>
      <c r="EI2" s="35" t="s">
        <v>0</v>
      </c>
      <c r="EJ2" s="36">
        <v>12</v>
      </c>
      <c r="EK2" s="35">
        <f>SUM('سكان وأسر'!EH2)</f>
        <v>1447</v>
      </c>
      <c r="EL2" s="34"/>
      <c r="EM2" s="37" t="s">
        <v>33</v>
      </c>
      <c r="EN2" s="19"/>
      <c r="EO2" s="19"/>
      <c r="EP2" s="46" t="s">
        <v>1</v>
      </c>
      <c r="EQ2" s="47"/>
      <c r="ER2" s="48"/>
      <c r="ES2" s="49"/>
      <c r="ET2" s="50"/>
      <c r="EU2" s="49"/>
      <c r="EV2" s="49"/>
      <c r="EW2" s="50" t="s">
        <v>20</v>
      </c>
      <c r="EX2" s="49">
        <f>SUM(EK2)</f>
        <v>1447</v>
      </c>
      <c r="EY2" s="48"/>
      <c r="EZ2" s="51" t="s">
        <v>33</v>
      </c>
      <c r="FA2" s="19"/>
    </row>
    <row r="3" spans="1:157" ht="18" customHeight="1" thickBot="1" x14ac:dyDescent="0.25">
      <c r="A3" s="174" t="s">
        <v>19</v>
      </c>
      <c r="B3" s="167" t="s">
        <v>3</v>
      </c>
      <c r="C3" s="167" t="s">
        <v>4</v>
      </c>
      <c r="D3" s="176" t="s">
        <v>2</v>
      </c>
      <c r="E3" s="177"/>
      <c r="F3" s="177"/>
      <c r="G3" s="177"/>
      <c r="H3" s="177"/>
      <c r="I3" s="178"/>
      <c r="J3" s="167" t="s">
        <v>11</v>
      </c>
      <c r="K3" s="167" t="s">
        <v>12</v>
      </c>
      <c r="L3" s="17"/>
      <c r="M3" s="174" t="s">
        <v>19</v>
      </c>
      <c r="N3" s="167" t="s">
        <v>3</v>
      </c>
      <c r="O3" s="167" t="s">
        <v>4</v>
      </c>
      <c r="P3" s="176" t="s">
        <v>2</v>
      </c>
      <c r="Q3" s="177"/>
      <c r="R3" s="177"/>
      <c r="S3" s="177"/>
      <c r="T3" s="177"/>
      <c r="U3" s="178"/>
      <c r="V3" s="167" t="s">
        <v>11</v>
      </c>
      <c r="W3" s="167" t="s">
        <v>12</v>
      </c>
      <c r="X3" s="17"/>
      <c r="Y3" s="174" t="s">
        <v>19</v>
      </c>
      <c r="Z3" s="167" t="s">
        <v>3</v>
      </c>
      <c r="AA3" s="167" t="s">
        <v>4</v>
      </c>
      <c r="AB3" s="176" t="s">
        <v>2</v>
      </c>
      <c r="AC3" s="177"/>
      <c r="AD3" s="177"/>
      <c r="AE3" s="177"/>
      <c r="AF3" s="177"/>
      <c r="AG3" s="178"/>
      <c r="AH3" s="167" t="s">
        <v>11</v>
      </c>
      <c r="AI3" s="167" t="s">
        <v>12</v>
      </c>
      <c r="AJ3" s="17"/>
      <c r="AK3" s="174" t="s">
        <v>19</v>
      </c>
      <c r="AL3" s="167" t="s">
        <v>3</v>
      </c>
      <c r="AM3" s="167" t="s">
        <v>4</v>
      </c>
      <c r="AN3" s="176" t="s">
        <v>2</v>
      </c>
      <c r="AO3" s="177"/>
      <c r="AP3" s="177"/>
      <c r="AQ3" s="177"/>
      <c r="AR3" s="177"/>
      <c r="AS3" s="178"/>
      <c r="AT3" s="167" t="s">
        <v>11</v>
      </c>
      <c r="AU3" s="167" t="s">
        <v>12</v>
      </c>
      <c r="AV3" s="17"/>
      <c r="AW3" s="174" t="s">
        <v>19</v>
      </c>
      <c r="AX3" s="167" t="s">
        <v>3</v>
      </c>
      <c r="AY3" s="167" t="s">
        <v>4</v>
      </c>
      <c r="AZ3" s="176" t="s">
        <v>2</v>
      </c>
      <c r="BA3" s="177"/>
      <c r="BB3" s="177"/>
      <c r="BC3" s="177"/>
      <c r="BD3" s="177"/>
      <c r="BE3" s="178"/>
      <c r="BF3" s="167" t="s">
        <v>11</v>
      </c>
      <c r="BG3" s="167" t="s">
        <v>12</v>
      </c>
      <c r="BH3" s="17"/>
      <c r="BI3" s="174" t="s">
        <v>19</v>
      </c>
      <c r="BJ3" s="167" t="s">
        <v>3</v>
      </c>
      <c r="BK3" s="167" t="s">
        <v>4</v>
      </c>
      <c r="BL3" s="176" t="s">
        <v>2</v>
      </c>
      <c r="BM3" s="177"/>
      <c r="BN3" s="177"/>
      <c r="BO3" s="177"/>
      <c r="BP3" s="177"/>
      <c r="BQ3" s="178"/>
      <c r="BR3" s="167" t="s">
        <v>11</v>
      </c>
      <c r="BS3" s="167" t="s">
        <v>12</v>
      </c>
      <c r="BT3" s="17"/>
      <c r="BU3" s="174" t="s">
        <v>19</v>
      </c>
      <c r="BV3" s="167" t="s">
        <v>3</v>
      </c>
      <c r="BW3" s="167" t="s">
        <v>4</v>
      </c>
      <c r="BX3" s="176" t="s">
        <v>2</v>
      </c>
      <c r="BY3" s="177"/>
      <c r="BZ3" s="177"/>
      <c r="CA3" s="177"/>
      <c r="CB3" s="177"/>
      <c r="CC3" s="178"/>
      <c r="CD3" s="167" t="s">
        <v>11</v>
      </c>
      <c r="CE3" s="167" t="s">
        <v>12</v>
      </c>
      <c r="CF3" s="17"/>
      <c r="CG3" s="174" t="s">
        <v>19</v>
      </c>
      <c r="CH3" s="167" t="s">
        <v>3</v>
      </c>
      <c r="CI3" s="167" t="s">
        <v>4</v>
      </c>
      <c r="CJ3" s="176" t="s">
        <v>2</v>
      </c>
      <c r="CK3" s="177"/>
      <c r="CL3" s="177"/>
      <c r="CM3" s="177"/>
      <c r="CN3" s="177"/>
      <c r="CO3" s="178"/>
      <c r="CP3" s="167" t="s">
        <v>11</v>
      </c>
      <c r="CQ3" s="167" t="s">
        <v>12</v>
      </c>
      <c r="CR3" s="17"/>
      <c r="CS3" s="174" t="s">
        <v>19</v>
      </c>
      <c r="CT3" s="167" t="s">
        <v>3</v>
      </c>
      <c r="CU3" s="167" t="s">
        <v>4</v>
      </c>
      <c r="CV3" s="176" t="s">
        <v>2</v>
      </c>
      <c r="CW3" s="177"/>
      <c r="CX3" s="177"/>
      <c r="CY3" s="177"/>
      <c r="CZ3" s="177"/>
      <c r="DA3" s="178"/>
      <c r="DB3" s="167" t="s">
        <v>11</v>
      </c>
      <c r="DC3" s="167" t="s">
        <v>12</v>
      </c>
      <c r="DD3" s="17"/>
      <c r="DE3" s="174" t="s">
        <v>19</v>
      </c>
      <c r="DF3" s="167" t="s">
        <v>3</v>
      </c>
      <c r="DG3" s="167" t="s">
        <v>4</v>
      </c>
      <c r="DH3" s="176" t="s">
        <v>2</v>
      </c>
      <c r="DI3" s="177"/>
      <c r="DJ3" s="177"/>
      <c r="DK3" s="177"/>
      <c r="DL3" s="177"/>
      <c r="DM3" s="178"/>
      <c r="DN3" s="167" t="s">
        <v>11</v>
      </c>
      <c r="DO3" s="167" t="s">
        <v>12</v>
      </c>
      <c r="DP3" s="17"/>
      <c r="DQ3" s="174" t="s">
        <v>19</v>
      </c>
      <c r="DR3" s="167" t="s">
        <v>3</v>
      </c>
      <c r="DS3" s="167" t="s">
        <v>4</v>
      </c>
      <c r="DT3" s="176" t="s">
        <v>2</v>
      </c>
      <c r="DU3" s="177"/>
      <c r="DV3" s="177"/>
      <c r="DW3" s="177"/>
      <c r="DX3" s="177"/>
      <c r="DY3" s="178"/>
      <c r="DZ3" s="167" t="s">
        <v>11</v>
      </c>
      <c r="EA3" s="167" t="s">
        <v>12</v>
      </c>
      <c r="EB3" s="17"/>
      <c r="EC3" s="174" t="s">
        <v>19</v>
      </c>
      <c r="ED3" s="167" t="s">
        <v>3</v>
      </c>
      <c r="EE3" s="167" t="s">
        <v>4</v>
      </c>
      <c r="EF3" s="176" t="s">
        <v>2</v>
      </c>
      <c r="EG3" s="177"/>
      <c r="EH3" s="177"/>
      <c r="EI3" s="177"/>
      <c r="EJ3" s="177"/>
      <c r="EK3" s="178"/>
      <c r="EL3" s="167" t="s">
        <v>11</v>
      </c>
      <c r="EM3" s="167" t="s">
        <v>12</v>
      </c>
      <c r="EN3" s="17"/>
      <c r="EO3" s="17"/>
      <c r="EP3" s="174" t="s">
        <v>19</v>
      </c>
      <c r="EQ3" s="167" t="s">
        <v>3</v>
      </c>
      <c r="ER3" s="167" t="s">
        <v>4</v>
      </c>
      <c r="ES3" s="176" t="s">
        <v>2</v>
      </c>
      <c r="ET3" s="177"/>
      <c r="EU3" s="177"/>
      <c r="EV3" s="177"/>
      <c r="EW3" s="177"/>
      <c r="EX3" s="178"/>
      <c r="EY3" s="167" t="s">
        <v>11</v>
      </c>
      <c r="EZ3" s="167" t="s">
        <v>12</v>
      </c>
      <c r="FA3" s="17"/>
    </row>
    <row r="4" spans="1:157" ht="18" customHeight="1" thickBot="1" x14ac:dyDescent="0.25">
      <c r="A4" s="175"/>
      <c r="B4" s="168"/>
      <c r="C4" s="168"/>
      <c r="D4" s="15" t="s">
        <v>5</v>
      </c>
      <c r="E4" s="15" t="s">
        <v>6</v>
      </c>
      <c r="F4" s="15" t="s">
        <v>7</v>
      </c>
      <c r="G4" s="15" t="s">
        <v>8</v>
      </c>
      <c r="H4" s="15" t="s">
        <v>9</v>
      </c>
      <c r="I4" s="15" t="s">
        <v>10</v>
      </c>
      <c r="J4" s="168"/>
      <c r="K4" s="168"/>
      <c r="L4" s="17"/>
      <c r="M4" s="175"/>
      <c r="N4" s="168"/>
      <c r="O4" s="168"/>
      <c r="P4" s="15" t="s">
        <v>5</v>
      </c>
      <c r="Q4" s="15" t="s">
        <v>6</v>
      </c>
      <c r="R4" s="15" t="s">
        <v>7</v>
      </c>
      <c r="S4" s="15" t="s">
        <v>8</v>
      </c>
      <c r="T4" s="15" t="s">
        <v>9</v>
      </c>
      <c r="U4" s="15" t="s">
        <v>10</v>
      </c>
      <c r="V4" s="168"/>
      <c r="W4" s="168"/>
      <c r="X4" s="17"/>
      <c r="Y4" s="175"/>
      <c r="Z4" s="168"/>
      <c r="AA4" s="168"/>
      <c r="AB4" s="15" t="s">
        <v>5</v>
      </c>
      <c r="AC4" s="15" t="s">
        <v>6</v>
      </c>
      <c r="AD4" s="15" t="s">
        <v>7</v>
      </c>
      <c r="AE4" s="15" t="s">
        <v>8</v>
      </c>
      <c r="AF4" s="15" t="s">
        <v>9</v>
      </c>
      <c r="AG4" s="15" t="s">
        <v>10</v>
      </c>
      <c r="AH4" s="168"/>
      <c r="AI4" s="168"/>
      <c r="AJ4" s="17"/>
      <c r="AK4" s="175"/>
      <c r="AL4" s="168"/>
      <c r="AM4" s="168"/>
      <c r="AN4" s="15" t="s">
        <v>5</v>
      </c>
      <c r="AO4" s="15" t="s">
        <v>6</v>
      </c>
      <c r="AP4" s="15" t="s">
        <v>7</v>
      </c>
      <c r="AQ4" s="15" t="s">
        <v>8</v>
      </c>
      <c r="AR4" s="15" t="s">
        <v>9</v>
      </c>
      <c r="AS4" s="15" t="s">
        <v>10</v>
      </c>
      <c r="AT4" s="168"/>
      <c r="AU4" s="168"/>
      <c r="AV4" s="17"/>
      <c r="AW4" s="175"/>
      <c r="AX4" s="168"/>
      <c r="AY4" s="168"/>
      <c r="AZ4" s="15" t="s">
        <v>5</v>
      </c>
      <c r="BA4" s="15" t="s">
        <v>6</v>
      </c>
      <c r="BB4" s="15" t="s">
        <v>7</v>
      </c>
      <c r="BC4" s="15" t="s">
        <v>8</v>
      </c>
      <c r="BD4" s="15" t="s">
        <v>9</v>
      </c>
      <c r="BE4" s="15" t="s">
        <v>10</v>
      </c>
      <c r="BF4" s="168"/>
      <c r="BG4" s="168"/>
      <c r="BH4" s="17"/>
      <c r="BI4" s="175"/>
      <c r="BJ4" s="168"/>
      <c r="BK4" s="168"/>
      <c r="BL4" s="15" t="s">
        <v>5</v>
      </c>
      <c r="BM4" s="15" t="s">
        <v>6</v>
      </c>
      <c r="BN4" s="15" t="s">
        <v>7</v>
      </c>
      <c r="BO4" s="15" t="s">
        <v>8</v>
      </c>
      <c r="BP4" s="15" t="s">
        <v>9</v>
      </c>
      <c r="BQ4" s="15" t="s">
        <v>10</v>
      </c>
      <c r="BR4" s="168"/>
      <c r="BS4" s="168"/>
      <c r="BT4" s="17"/>
      <c r="BU4" s="175"/>
      <c r="BV4" s="168"/>
      <c r="BW4" s="168"/>
      <c r="BX4" s="15" t="s">
        <v>5</v>
      </c>
      <c r="BY4" s="15" t="s">
        <v>6</v>
      </c>
      <c r="BZ4" s="15" t="s">
        <v>7</v>
      </c>
      <c r="CA4" s="15" t="s">
        <v>8</v>
      </c>
      <c r="CB4" s="15" t="s">
        <v>9</v>
      </c>
      <c r="CC4" s="15" t="s">
        <v>10</v>
      </c>
      <c r="CD4" s="168"/>
      <c r="CE4" s="168"/>
      <c r="CF4" s="17"/>
      <c r="CG4" s="175"/>
      <c r="CH4" s="168"/>
      <c r="CI4" s="168"/>
      <c r="CJ4" s="15" t="s">
        <v>5</v>
      </c>
      <c r="CK4" s="15" t="s">
        <v>6</v>
      </c>
      <c r="CL4" s="15" t="s">
        <v>7</v>
      </c>
      <c r="CM4" s="15" t="s">
        <v>8</v>
      </c>
      <c r="CN4" s="15" t="s">
        <v>9</v>
      </c>
      <c r="CO4" s="15" t="s">
        <v>10</v>
      </c>
      <c r="CP4" s="168"/>
      <c r="CQ4" s="168"/>
      <c r="CR4" s="17"/>
      <c r="CS4" s="175"/>
      <c r="CT4" s="168"/>
      <c r="CU4" s="168"/>
      <c r="CV4" s="15" t="s">
        <v>5</v>
      </c>
      <c r="CW4" s="15" t="s">
        <v>6</v>
      </c>
      <c r="CX4" s="15" t="s">
        <v>7</v>
      </c>
      <c r="CY4" s="15" t="s">
        <v>8</v>
      </c>
      <c r="CZ4" s="15" t="s">
        <v>9</v>
      </c>
      <c r="DA4" s="15" t="s">
        <v>10</v>
      </c>
      <c r="DB4" s="168"/>
      <c r="DC4" s="168"/>
      <c r="DD4" s="17"/>
      <c r="DE4" s="175"/>
      <c r="DF4" s="168"/>
      <c r="DG4" s="168"/>
      <c r="DH4" s="15" t="s">
        <v>5</v>
      </c>
      <c r="DI4" s="15" t="s">
        <v>6</v>
      </c>
      <c r="DJ4" s="15" t="s">
        <v>7</v>
      </c>
      <c r="DK4" s="15" t="s">
        <v>8</v>
      </c>
      <c r="DL4" s="15" t="s">
        <v>9</v>
      </c>
      <c r="DM4" s="15" t="s">
        <v>10</v>
      </c>
      <c r="DN4" s="168"/>
      <c r="DO4" s="168"/>
      <c r="DP4" s="17"/>
      <c r="DQ4" s="175"/>
      <c r="DR4" s="168"/>
      <c r="DS4" s="168"/>
      <c r="DT4" s="15" t="s">
        <v>5</v>
      </c>
      <c r="DU4" s="15" t="s">
        <v>6</v>
      </c>
      <c r="DV4" s="15" t="s">
        <v>7</v>
      </c>
      <c r="DW4" s="15" t="s">
        <v>8</v>
      </c>
      <c r="DX4" s="15" t="s">
        <v>9</v>
      </c>
      <c r="DY4" s="15" t="s">
        <v>10</v>
      </c>
      <c r="DZ4" s="168"/>
      <c r="EA4" s="168"/>
      <c r="EB4" s="17"/>
      <c r="EC4" s="175"/>
      <c r="ED4" s="168"/>
      <c r="EE4" s="168"/>
      <c r="EF4" s="15" t="s">
        <v>5</v>
      </c>
      <c r="EG4" s="15" t="s">
        <v>6</v>
      </c>
      <c r="EH4" s="15" t="s">
        <v>7</v>
      </c>
      <c r="EI4" s="15" t="s">
        <v>8</v>
      </c>
      <c r="EJ4" s="15" t="s">
        <v>9</v>
      </c>
      <c r="EK4" s="15" t="s">
        <v>10</v>
      </c>
      <c r="EL4" s="168"/>
      <c r="EM4" s="168"/>
      <c r="EN4" s="17"/>
      <c r="EO4" s="17"/>
      <c r="EP4" s="175"/>
      <c r="EQ4" s="168"/>
      <c r="ER4" s="168"/>
      <c r="ES4" s="3" t="s">
        <v>5</v>
      </c>
      <c r="ET4" s="3" t="s">
        <v>6</v>
      </c>
      <c r="EU4" s="3" t="s">
        <v>7</v>
      </c>
      <c r="EV4" s="3" t="s">
        <v>8</v>
      </c>
      <c r="EW4" s="3" t="s">
        <v>9</v>
      </c>
      <c r="EX4" s="3" t="s">
        <v>10</v>
      </c>
      <c r="EY4" s="179"/>
      <c r="EZ4" s="179"/>
      <c r="FA4" s="17"/>
    </row>
    <row r="5" spans="1:157" ht="18" customHeight="1" x14ac:dyDescent="0.2">
      <c r="A5" s="169" t="s">
        <v>32</v>
      </c>
      <c r="B5" s="3"/>
      <c r="C5" s="4" t="s">
        <v>13</v>
      </c>
      <c r="D5" s="9">
        <f>SUM('سكان وأسر'!D69)</f>
        <v>8169</v>
      </c>
      <c r="E5" s="9">
        <f>SUM('سكان وأسر'!E69)</f>
        <v>20698</v>
      </c>
      <c r="F5" s="9">
        <f>SUM('سكان وأسر'!F69)</f>
        <v>39558</v>
      </c>
      <c r="G5" s="9">
        <f>SUM('سكان وأسر'!G69)</f>
        <v>60478</v>
      </c>
      <c r="H5" s="9">
        <f>SUM('سكان وأسر'!H69)</f>
        <v>16703</v>
      </c>
      <c r="I5" s="9">
        <f>SUM('سكان وأسر'!I69)</f>
        <v>6882</v>
      </c>
      <c r="J5" s="10">
        <f>SUM(D5:I5)</f>
        <v>152488</v>
      </c>
      <c r="K5" s="165">
        <f>SUM('سكان وأسر'!K69)</f>
        <v>57225</v>
      </c>
      <c r="L5" s="17"/>
      <c r="M5" s="169" t="s">
        <v>32</v>
      </c>
      <c r="N5" s="3"/>
      <c r="O5" s="4" t="s">
        <v>13</v>
      </c>
      <c r="P5" s="9" t="e">
        <f>SUM('سكان وأسر'!P69)</f>
        <v>#VALUE!</v>
      </c>
      <c r="Q5" s="9">
        <f>SUM('سكان وأسر'!Q69)</f>
        <v>20698</v>
      </c>
      <c r="R5" s="9">
        <f>SUM('سكان وأسر'!R69)</f>
        <v>39558</v>
      </c>
      <c r="S5" s="9">
        <f>SUM('سكان وأسر'!S69)</f>
        <v>60478</v>
      </c>
      <c r="T5" s="9">
        <f>SUM('سكان وأسر'!T69)</f>
        <v>16703</v>
      </c>
      <c r="U5" s="9">
        <f>SUM('سكان وأسر'!U69)</f>
        <v>6882</v>
      </c>
      <c r="V5" s="10" t="e">
        <f>SUM(P5:U5)</f>
        <v>#VALUE!</v>
      </c>
      <c r="W5" s="165">
        <f>SUM('سكان وأسر'!W69)</f>
        <v>57225</v>
      </c>
      <c r="X5" s="17"/>
      <c r="Y5" s="169" t="s">
        <v>32</v>
      </c>
      <c r="Z5" s="3"/>
      <c r="AA5" s="4" t="s">
        <v>13</v>
      </c>
      <c r="AB5" s="9" t="e">
        <f>SUM('سكان وأسر'!AB69)</f>
        <v>#VALUE!</v>
      </c>
      <c r="AC5" s="9">
        <f>SUM('سكان وأسر'!AC69)</f>
        <v>20698</v>
      </c>
      <c r="AD5" s="9">
        <f>SUM('سكان وأسر'!AD69)</f>
        <v>39558</v>
      </c>
      <c r="AE5" s="9">
        <f>SUM('سكان وأسر'!AE69)</f>
        <v>60478</v>
      </c>
      <c r="AF5" s="9">
        <f>SUM('سكان وأسر'!AF69)</f>
        <v>16703</v>
      </c>
      <c r="AG5" s="9">
        <f>SUM('سكان وأسر'!AG69)</f>
        <v>6882</v>
      </c>
      <c r="AH5" s="10" t="e">
        <f>SUM(AB5:AG5)</f>
        <v>#VALUE!</v>
      </c>
      <c r="AI5" s="165">
        <f>SUM('سكان وأسر'!AI69)</f>
        <v>57225</v>
      </c>
      <c r="AJ5" s="17"/>
      <c r="AK5" s="169" t="s">
        <v>32</v>
      </c>
      <c r="AL5" s="3"/>
      <c r="AM5" s="4" t="s">
        <v>13</v>
      </c>
      <c r="AN5" s="9" t="e">
        <f>SUM('سكان وأسر'!AN69)</f>
        <v>#VALUE!</v>
      </c>
      <c r="AO5" s="9">
        <f>SUM('سكان وأسر'!AO69)</f>
        <v>20698</v>
      </c>
      <c r="AP5" s="9">
        <f>SUM('سكان وأسر'!AP69)</f>
        <v>39558</v>
      </c>
      <c r="AQ5" s="9">
        <f>SUM('سكان وأسر'!AQ69)</f>
        <v>60478</v>
      </c>
      <c r="AR5" s="9">
        <f>SUM('سكان وأسر'!AR69)</f>
        <v>16703</v>
      </c>
      <c r="AS5" s="9">
        <f>SUM('سكان وأسر'!AS69)</f>
        <v>6882</v>
      </c>
      <c r="AT5" s="10" t="e">
        <f>SUM(AN5:AS5)</f>
        <v>#VALUE!</v>
      </c>
      <c r="AU5" s="165">
        <f>SUM('سكان وأسر'!AU69)</f>
        <v>57225</v>
      </c>
      <c r="AV5" s="17"/>
      <c r="AW5" s="169" t="s">
        <v>32</v>
      </c>
      <c r="AX5" s="3"/>
      <c r="AY5" s="4" t="s">
        <v>13</v>
      </c>
      <c r="AZ5" s="9" t="e">
        <f>SUM('سكان وأسر'!AZ69)</f>
        <v>#VALUE!</v>
      </c>
      <c r="BA5" s="9">
        <f>SUM('سكان وأسر'!BA69)</f>
        <v>20698</v>
      </c>
      <c r="BB5" s="9">
        <f>SUM('سكان وأسر'!BB69)</f>
        <v>39558</v>
      </c>
      <c r="BC5" s="9">
        <f>SUM('سكان وأسر'!BC69)</f>
        <v>60478</v>
      </c>
      <c r="BD5" s="9">
        <f>SUM('سكان وأسر'!BD69)</f>
        <v>16703</v>
      </c>
      <c r="BE5" s="9">
        <f>SUM('سكان وأسر'!BE69)</f>
        <v>6882</v>
      </c>
      <c r="BF5" s="10" t="e">
        <f>SUM(AZ5:BE5)</f>
        <v>#VALUE!</v>
      </c>
      <c r="BG5" s="165">
        <f>SUM('سكان وأسر'!BG69)</f>
        <v>57225</v>
      </c>
      <c r="BH5" s="17"/>
      <c r="BI5" s="169" t="s">
        <v>32</v>
      </c>
      <c r="BJ5" s="3"/>
      <c r="BK5" s="4" t="s">
        <v>13</v>
      </c>
      <c r="BL5" s="9" t="e">
        <f>SUM('سكان وأسر'!BL69)</f>
        <v>#VALUE!</v>
      </c>
      <c r="BM5" s="9">
        <f>SUM('سكان وأسر'!BM69)</f>
        <v>20698</v>
      </c>
      <c r="BN5" s="9">
        <f>SUM('سكان وأسر'!BN69)</f>
        <v>39558</v>
      </c>
      <c r="BO5" s="9">
        <f>SUM('سكان وأسر'!BO69)</f>
        <v>60478</v>
      </c>
      <c r="BP5" s="9">
        <f>SUM('سكان وأسر'!BP69)</f>
        <v>16703</v>
      </c>
      <c r="BQ5" s="9">
        <f>SUM('سكان وأسر'!BQ69)</f>
        <v>6882</v>
      </c>
      <c r="BR5" s="10" t="e">
        <f>SUM(BL5:BQ5)</f>
        <v>#VALUE!</v>
      </c>
      <c r="BS5" s="165">
        <f>SUM('سكان وأسر'!BS69)</f>
        <v>57225</v>
      </c>
      <c r="BT5" s="17"/>
      <c r="BU5" s="169" t="s">
        <v>32</v>
      </c>
      <c r="BV5" s="3"/>
      <c r="BW5" s="4" t="s">
        <v>13</v>
      </c>
      <c r="BX5" s="9" t="e">
        <f>SUM('سكان وأسر'!BX69)</f>
        <v>#VALUE!</v>
      </c>
      <c r="BY5" s="9">
        <f>SUM('سكان وأسر'!BY69)</f>
        <v>20698</v>
      </c>
      <c r="BZ5" s="9">
        <f>SUM('سكان وأسر'!BZ69)</f>
        <v>39558</v>
      </c>
      <c r="CA5" s="9">
        <f>SUM('سكان وأسر'!CA69)</f>
        <v>60478</v>
      </c>
      <c r="CB5" s="9">
        <f>SUM('سكان وأسر'!CB69)</f>
        <v>16703</v>
      </c>
      <c r="CC5" s="9">
        <f>SUM('سكان وأسر'!CC69)</f>
        <v>6882</v>
      </c>
      <c r="CD5" s="10" t="e">
        <f>SUM(BX5:CC5)</f>
        <v>#VALUE!</v>
      </c>
      <c r="CE5" s="165">
        <f>SUM('سكان وأسر'!CE69)</f>
        <v>57225</v>
      </c>
      <c r="CF5" s="17"/>
      <c r="CG5" s="169" t="s">
        <v>32</v>
      </c>
      <c r="CH5" s="3"/>
      <c r="CI5" s="4" t="s">
        <v>13</v>
      </c>
      <c r="CJ5" s="9" t="e">
        <f>SUM('سكان وأسر'!CJ69)</f>
        <v>#VALUE!</v>
      </c>
      <c r="CK5" s="9">
        <f>SUM('سكان وأسر'!CK69)</f>
        <v>20698</v>
      </c>
      <c r="CL5" s="9">
        <f>SUM('سكان وأسر'!CL69)</f>
        <v>39558</v>
      </c>
      <c r="CM5" s="9">
        <f>SUM('سكان وأسر'!CM69)</f>
        <v>60478</v>
      </c>
      <c r="CN5" s="9">
        <f>SUM('سكان وأسر'!CN69)</f>
        <v>16703</v>
      </c>
      <c r="CO5" s="9">
        <f>SUM('سكان وأسر'!CO69)</f>
        <v>6882</v>
      </c>
      <c r="CP5" s="10" t="e">
        <f>SUM(CJ5:CO5)</f>
        <v>#VALUE!</v>
      </c>
      <c r="CQ5" s="165">
        <f>SUM('سكان وأسر'!CQ69)</f>
        <v>57225</v>
      </c>
      <c r="CR5" s="17"/>
      <c r="CS5" s="169" t="s">
        <v>32</v>
      </c>
      <c r="CT5" s="3"/>
      <c r="CU5" s="4" t="s">
        <v>13</v>
      </c>
      <c r="CV5" s="9" t="e">
        <f>SUM('سكان وأسر'!CV69)</f>
        <v>#VALUE!</v>
      </c>
      <c r="CW5" s="9">
        <f>SUM('سكان وأسر'!CW69)</f>
        <v>20698</v>
      </c>
      <c r="CX5" s="9">
        <f>SUM('سكان وأسر'!CX69)</f>
        <v>39558</v>
      </c>
      <c r="CY5" s="9">
        <f>SUM('سكان وأسر'!CY69)</f>
        <v>60478</v>
      </c>
      <c r="CZ5" s="9">
        <f>SUM('سكان وأسر'!CZ69)</f>
        <v>16703</v>
      </c>
      <c r="DA5" s="9">
        <f>SUM('سكان وأسر'!DA69)</f>
        <v>6882</v>
      </c>
      <c r="DB5" s="10" t="e">
        <f>SUM(CV5:DA5)</f>
        <v>#VALUE!</v>
      </c>
      <c r="DC5" s="165">
        <f>SUM('سكان وأسر'!DC69)</f>
        <v>57225</v>
      </c>
      <c r="DD5" s="17"/>
      <c r="DE5" s="169" t="s">
        <v>32</v>
      </c>
      <c r="DF5" s="3"/>
      <c r="DG5" s="4" t="s">
        <v>13</v>
      </c>
      <c r="DH5" s="9">
        <f>SUM('سكان وأسر'!DH69)</f>
        <v>0</v>
      </c>
      <c r="DI5" s="9">
        <f>SUM('سكان وأسر'!DI69)</f>
        <v>0</v>
      </c>
      <c r="DJ5" s="9">
        <f>SUM('سكان وأسر'!DJ69)</f>
        <v>0</v>
      </c>
      <c r="DK5" s="9">
        <f>SUM('سكان وأسر'!DK69)</f>
        <v>0</v>
      </c>
      <c r="DL5" s="9">
        <f>SUM('سكان وأسر'!DL69)</f>
        <v>0</v>
      </c>
      <c r="DM5" s="9">
        <f>SUM('سكان وأسر'!DM69)</f>
        <v>0</v>
      </c>
      <c r="DN5" s="10">
        <f>SUM(DH5:DM5)</f>
        <v>0</v>
      </c>
      <c r="DO5" s="165">
        <f>SUM('سكان وأسر'!DO69)</f>
        <v>0</v>
      </c>
      <c r="DP5" s="17"/>
      <c r="DQ5" s="169" t="s">
        <v>32</v>
      </c>
      <c r="DR5" s="3"/>
      <c r="DS5" s="4" t="s">
        <v>13</v>
      </c>
      <c r="DT5" s="9">
        <f>SUM('سكان وأسر'!DT69)</f>
        <v>0</v>
      </c>
      <c r="DU5" s="9">
        <f>SUM('سكان وأسر'!DU69)</f>
        <v>0</v>
      </c>
      <c r="DV5" s="9">
        <f>SUM('سكان وأسر'!DV69)</f>
        <v>0</v>
      </c>
      <c r="DW5" s="9">
        <f>SUM('سكان وأسر'!DW69)</f>
        <v>0</v>
      </c>
      <c r="DX5" s="9">
        <f>SUM('سكان وأسر'!DX69)</f>
        <v>0</v>
      </c>
      <c r="DY5" s="9">
        <f>SUM('سكان وأسر'!DY69)</f>
        <v>0</v>
      </c>
      <c r="DZ5" s="10">
        <f>SUM(DT5:DY5)</f>
        <v>0</v>
      </c>
      <c r="EA5" s="165">
        <f>SUM('سكان وأسر'!EA69)</f>
        <v>0</v>
      </c>
      <c r="EB5" s="17"/>
      <c r="EC5" s="169" t="s">
        <v>32</v>
      </c>
      <c r="ED5" s="3"/>
      <c r="EE5" s="4" t="s">
        <v>13</v>
      </c>
      <c r="EF5" s="9">
        <f>SUM('سكان وأسر'!EF69)</f>
        <v>0</v>
      </c>
      <c r="EG5" s="9">
        <f>SUM('سكان وأسر'!EG69)</f>
        <v>0</v>
      </c>
      <c r="EH5" s="9">
        <f>SUM('سكان وأسر'!EH69)</f>
        <v>0</v>
      </c>
      <c r="EI5" s="9">
        <f>SUM('سكان وأسر'!EI69)</f>
        <v>0</v>
      </c>
      <c r="EJ5" s="9">
        <f>SUM('سكان وأسر'!EJ69)</f>
        <v>0</v>
      </c>
      <c r="EK5" s="9">
        <f>SUM('سكان وأسر'!EK69)</f>
        <v>0</v>
      </c>
      <c r="EL5" s="10">
        <f>SUM(EF5:EK5)</f>
        <v>0</v>
      </c>
      <c r="EM5" s="165">
        <f>SUM('سكان وأسر'!EM69)</f>
        <v>0</v>
      </c>
      <c r="EN5" s="17"/>
      <c r="EO5" s="17"/>
      <c r="EP5" s="169" t="s">
        <v>32</v>
      </c>
      <c r="EQ5" s="3"/>
      <c r="ER5" s="4" t="s">
        <v>13</v>
      </c>
      <c r="ES5" s="21">
        <f t="shared" ref="ES5:EV8" si="0">SUM(EF5)</f>
        <v>0</v>
      </c>
      <c r="ET5" s="22">
        <f t="shared" si="0"/>
        <v>0</v>
      </c>
      <c r="EU5" s="22">
        <f t="shared" si="0"/>
        <v>0</v>
      </c>
      <c r="EV5" s="22">
        <f t="shared" si="0"/>
        <v>0</v>
      </c>
      <c r="EW5" s="22">
        <f t="shared" ref="EW5:EX8" si="1">SUM(EJ5)</f>
        <v>0</v>
      </c>
      <c r="EX5" s="22">
        <f t="shared" si="1"/>
        <v>0</v>
      </c>
      <c r="EY5" s="23">
        <f>SUM(ES5:EX5)</f>
        <v>0</v>
      </c>
      <c r="EZ5" s="180">
        <f>SUM(EM5)</f>
        <v>0</v>
      </c>
      <c r="FA5" s="17"/>
    </row>
    <row r="6" spans="1:157" ht="18" customHeight="1" thickBot="1" x14ac:dyDescent="0.25">
      <c r="A6" s="170"/>
      <c r="B6" s="5" t="s">
        <v>14</v>
      </c>
      <c r="C6" s="6" t="s">
        <v>15</v>
      </c>
      <c r="D6" s="11">
        <f>SUM('سكان وأسر'!D70)</f>
        <v>6430</v>
      </c>
      <c r="E6" s="11">
        <f>SUM('سكان وأسر'!E70)</f>
        <v>33944</v>
      </c>
      <c r="F6" s="11">
        <f>SUM('سكان وأسر'!F70)</f>
        <v>37032</v>
      </c>
      <c r="G6" s="11">
        <f>SUM('سكان وأسر'!G70)</f>
        <v>67067</v>
      </c>
      <c r="H6" s="11">
        <f>SUM('سكان وأسر'!H70)</f>
        <v>13092</v>
      </c>
      <c r="I6" s="11">
        <f>SUM('سكان وأسر'!I70)</f>
        <v>4975</v>
      </c>
      <c r="J6" s="12">
        <f>SUM(D6:I6)</f>
        <v>162540</v>
      </c>
      <c r="K6" s="166"/>
      <c r="L6" s="17"/>
      <c r="M6" s="170"/>
      <c r="N6" s="5" t="s">
        <v>14</v>
      </c>
      <c r="O6" s="6" t="s">
        <v>15</v>
      </c>
      <c r="P6" s="11">
        <f>SUM('سكان وأسر'!P70)</f>
        <v>6430</v>
      </c>
      <c r="Q6" s="11">
        <f>SUM('سكان وأسر'!Q70)</f>
        <v>33944</v>
      </c>
      <c r="R6" s="11">
        <f>SUM('سكان وأسر'!R70)</f>
        <v>37032</v>
      </c>
      <c r="S6" s="11">
        <f>SUM('سكان وأسر'!S70)</f>
        <v>67067</v>
      </c>
      <c r="T6" s="11">
        <f>SUM('سكان وأسر'!T70)</f>
        <v>13092</v>
      </c>
      <c r="U6" s="11">
        <f>SUM('سكان وأسر'!U70)</f>
        <v>4975</v>
      </c>
      <c r="V6" s="12">
        <f>SUM(P6:U6)</f>
        <v>162540</v>
      </c>
      <c r="W6" s="166"/>
      <c r="X6" s="17"/>
      <c r="Y6" s="170"/>
      <c r="Z6" s="5" t="s">
        <v>14</v>
      </c>
      <c r="AA6" s="6" t="s">
        <v>15</v>
      </c>
      <c r="AB6" s="11">
        <f>SUM('سكان وأسر'!AB70)</f>
        <v>6430</v>
      </c>
      <c r="AC6" s="11">
        <f>SUM('سكان وأسر'!AC70)</f>
        <v>33944</v>
      </c>
      <c r="AD6" s="11">
        <f>SUM('سكان وأسر'!AD70)</f>
        <v>37032</v>
      </c>
      <c r="AE6" s="11">
        <f>SUM('سكان وأسر'!AE70)</f>
        <v>67067</v>
      </c>
      <c r="AF6" s="11">
        <f>SUM('سكان وأسر'!AF70)</f>
        <v>13092</v>
      </c>
      <c r="AG6" s="11">
        <f>SUM('سكان وأسر'!AG70)</f>
        <v>4975</v>
      </c>
      <c r="AH6" s="12">
        <f>SUM(AB6:AG6)</f>
        <v>162540</v>
      </c>
      <c r="AI6" s="166"/>
      <c r="AJ6" s="17"/>
      <c r="AK6" s="170"/>
      <c r="AL6" s="5" t="s">
        <v>14</v>
      </c>
      <c r="AM6" s="6" t="s">
        <v>15</v>
      </c>
      <c r="AN6" s="11">
        <f>SUM('سكان وأسر'!AN70)</f>
        <v>6430</v>
      </c>
      <c r="AO6" s="11">
        <f>SUM('سكان وأسر'!AO70)</f>
        <v>33944</v>
      </c>
      <c r="AP6" s="11">
        <f>SUM('سكان وأسر'!AP70)</f>
        <v>37032</v>
      </c>
      <c r="AQ6" s="11">
        <f>SUM('سكان وأسر'!AQ70)</f>
        <v>67067</v>
      </c>
      <c r="AR6" s="11">
        <f>SUM('سكان وأسر'!AR70)</f>
        <v>13092</v>
      </c>
      <c r="AS6" s="11">
        <f>SUM('سكان وأسر'!AS70)</f>
        <v>4975</v>
      </c>
      <c r="AT6" s="12">
        <f>SUM(AN6:AS6)</f>
        <v>162540</v>
      </c>
      <c r="AU6" s="166"/>
      <c r="AV6" s="17"/>
      <c r="AW6" s="170"/>
      <c r="AX6" s="5" t="s">
        <v>14</v>
      </c>
      <c r="AY6" s="6" t="s">
        <v>15</v>
      </c>
      <c r="AZ6" s="11">
        <f>SUM('سكان وأسر'!AZ70)</f>
        <v>6430</v>
      </c>
      <c r="BA6" s="11">
        <f>SUM('سكان وأسر'!BA70)</f>
        <v>33944</v>
      </c>
      <c r="BB6" s="11">
        <f>SUM('سكان وأسر'!BB70)</f>
        <v>37032</v>
      </c>
      <c r="BC6" s="11">
        <f>SUM('سكان وأسر'!BC70)</f>
        <v>67067</v>
      </c>
      <c r="BD6" s="11">
        <f>SUM('سكان وأسر'!BD70)</f>
        <v>13092</v>
      </c>
      <c r="BE6" s="11">
        <f>SUM('سكان وأسر'!BE70)</f>
        <v>4975</v>
      </c>
      <c r="BF6" s="12">
        <f>SUM(AZ6:BE6)</f>
        <v>162540</v>
      </c>
      <c r="BG6" s="166"/>
      <c r="BH6" s="17"/>
      <c r="BI6" s="170"/>
      <c r="BJ6" s="5" t="s">
        <v>14</v>
      </c>
      <c r="BK6" s="6" t="s">
        <v>15</v>
      </c>
      <c r="BL6" s="11">
        <f>SUM('سكان وأسر'!BL70)</f>
        <v>6430</v>
      </c>
      <c r="BM6" s="11">
        <f>SUM('سكان وأسر'!BM70)</f>
        <v>33944</v>
      </c>
      <c r="BN6" s="11">
        <f>SUM('سكان وأسر'!BN70)</f>
        <v>37032</v>
      </c>
      <c r="BO6" s="11">
        <f>SUM('سكان وأسر'!BO70)</f>
        <v>67067</v>
      </c>
      <c r="BP6" s="11">
        <f>SUM('سكان وأسر'!BP70)</f>
        <v>13092</v>
      </c>
      <c r="BQ6" s="11">
        <f>SUM('سكان وأسر'!BQ70)</f>
        <v>4975</v>
      </c>
      <c r="BR6" s="12">
        <f>SUM(BL6:BQ6)</f>
        <v>162540</v>
      </c>
      <c r="BS6" s="166"/>
      <c r="BT6" s="17"/>
      <c r="BU6" s="170"/>
      <c r="BV6" s="5" t="s">
        <v>14</v>
      </c>
      <c r="BW6" s="6" t="s">
        <v>15</v>
      </c>
      <c r="BX6" s="11">
        <f>SUM('سكان وأسر'!BX70)</f>
        <v>6430</v>
      </c>
      <c r="BY6" s="11">
        <f>SUM('سكان وأسر'!BY70)</f>
        <v>33944</v>
      </c>
      <c r="BZ6" s="11">
        <f>SUM('سكان وأسر'!BZ70)</f>
        <v>37032</v>
      </c>
      <c r="CA6" s="11">
        <f>SUM('سكان وأسر'!CA70)</f>
        <v>67067</v>
      </c>
      <c r="CB6" s="11">
        <f>SUM('سكان وأسر'!CB70)</f>
        <v>13092</v>
      </c>
      <c r="CC6" s="11">
        <f>SUM('سكان وأسر'!CC70)</f>
        <v>4975</v>
      </c>
      <c r="CD6" s="12">
        <f>SUM(BX6:CC6)</f>
        <v>162540</v>
      </c>
      <c r="CE6" s="166"/>
      <c r="CF6" s="17"/>
      <c r="CG6" s="170"/>
      <c r="CH6" s="5" t="s">
        <v>14</v>
      </c>
      <c r="CI6" s="6" t="s">
        <v>15</v>
      </c>
      <c r="CJ6" s="11">
        <f>SUM('سكان وأسر'!CJ70)</f>
        <v>6430</v>
      </c>
      <c r="CK6" s="11">
        <f>SUM('سكان وأسر'!CK70)</f>
        <v>33944</v>
      </c>
      <c r="CL6" s="11">
        <f>SUM('سكان وأسر'!CL70)</f>
        <v>37032</v>
      </c>
      <c r="CM6" s="11">
        <f>SUM('سكان وأسر'!CM70)</f>
        <v>67067</v>
      </c>
      <c r="CN6" s="11">
        <f>SUM('سكان وأسر'!CN70)</f>
        <v>13092</v>
      </c>
      <c r="CO6" s="11">
        <f>SUM('سكان وأسر'!CO70)</f>
        <v>4975</v>
      </c>
      <c r="CP6" s="12">
        <f>SUM(CJ6:CO6)</f>
        <v>162540</v>
      </c>
      <c r="CQ6" s="166"/>
      <c r="CR6" s="17"/>
      <c r="CS6" s="170"/>
      <c r="CT6" s="5" t="s">
        <v>14</v>
      </c>
      <c r="CU6" s="6" t="s">
        <v>15</v>
      </c>
      <c r="CV6" s="11">
        <f>SUM('سكان وأسر'!CV70)</f>
        <v>6430</v>
      </c>
      <c r="CW6" s="11">
        <f>SUM('سكان وأسر'!CW70)</f>
        <v>33944</v>
      </c>
      <c r="CX6" s="11">
        <f>SUM('سكان وأسر'!CX70)</f>
        <v>37032</v>
      </c>
      <c r="CY6" s="11">
        <f>SUM('سكان وأسر'!CY70)</f>
        <v>67067</v>
      </c>
      <c r="CZ6" s="11">
        <f>SUM('سكان وأسر'!CZ70)</f>
        <v>13092</v>
      </c>
      <c r="DA6" s="11">
        <f>SUM('سكان وأسر'!DA70)</f>
        <v>4975</v>
      </c>
      <c r="DB6" s="12">
        <f>SUM(CV6:DA6)</f>
        <v>162540</v>
      </c>
      <c r="DC6" s="166"/>
      <c r="DD6" s="17"/>
      <c r="DE6" s="170"/>
      <c r="DF6" s="5" t="s">
        <v>14</v>
      </c>
      <c r="DG6" s="6" t="s">
        <v>15</v>
      </c>
      <c r="DH6" s="11">
        <f>SUM('سكان وأسر'!DH70)</f>
        <v>0</v>
      </c>
      <c r="DI6" s="11">
        <f>SUM('سكان وأسر'!DI70)</f>
        <v>0</v>
      </c>
      <c r="DJ6" s="11">
        <f>SUM('سكان وأسر'!DJ70)</f>
        <v>0</v>
      </c>
      <c r="DK6" s="11">
        <f>SUM('سكان وأسر'!DK70)</f>
        <v>0</v>
      </c>
      <c r="DL6" s="11">
        <f>SUM('سكان وأسر'!DL70)</f>
        <v>0</v>
      </c>
      <c r="DM6" s="11">
        <f>SUM('سكان وأسر'!DM70)</f>
        <v>0</v>
      </c>
      <c r="DN6" s="12">
        <f>SUM(DH6:DM6)</f>
        <v>0</v>
      </c>
      <c r="DO6" s="166"/>
      <c r="DP6" s="17"/>
      <c r="DQ6" s="170"/>
      <c r="DR6" s="5" t="s">
        <v>14</v>
      </c>
      <c r="DS6" s="6" t="s">
        <v>15</v>
      </c>
      <c r="DT6" s="11">
        <f>SUM('سكان وأسر'!DT70)</f>
        <v>0</v>
      </c>
      <c r="DU6" s="11">
        <f>SUM('سكان وأسر'!DU70)</f>
        <v>0</v>
      </c>
      <c r="DV6" s="11">
        <f>SUM('سكان وأسر'!DV70)</f>
        <v>0</v>
      </c>
      <c r="DW6" s="11">
        <f>SUM('سكان وأسر'!DW70)</f>
        <v>0</v>
      </c>
      <c r="DX6" s="11">
        <f>SUM('سكان وأسر'!DX70)</f>
        <v>0</v>
      </c>
      <c r="DY6" s="11">
        <f>SUM('سكان وأسر'!DY70)</f>
        <v>0</v>
      </c>
      <c r="DZ6" s="12">
        <f>SUM(DT6:DY6)</f>
        <v>0</v>
      </c>
      <c r="EA6" s="166"/>
      <c r="EB6" s="17"/>
      <c r="EC6" s="170"/>
      <c r="ED6" s="5" t="s">
        <v>14</v>
      </c>
      <c r="EE6" s="6" t="s">
        <v>15</v>
      </c>
      <c r="EF6" s="11">
        <f>SUM('سكان وأسر'!EF70)</f>
        <v>0</v>
      </c>
      <c r="EG6" s="11">
        <f>SUM('سكان وأسر'!EG70)</f>
        <v>0</v>
      </c>
      <c r="EH6" s="11">
        <f>SUM('سكان وأسر'!EH70)</f>
        <v>0</v>
      </c>
      <c r="EI6" s="11">
        <f>SUM('سكان وأسر'!EI70)</f>
        <v>0</v>
      </c>
      <c r="EJ6" s="11">
        <f>SUM('سكان وأسر'!EJ70)</f>
        <v>0</v>
      </c>
      <c r="EK6" s="11">
        <f>SUM('سكان وأسر'!EK70)</f>
        <v>0</v>
      </c>
      <c r="EL6" s="12">
        <f>SUM(EF6:EK6)</f>
        <v>0</v>
      </c>
      <c r="EM6" s="166"/>
      <c r="EN6" s="17"/>
      <c r="EO6" s="17"/>
      <c r="EP6" s="170"/>
      <c r="EQ6" s="5" t="s">
        <v>14</v>
      </c>
      <c r="ER6" s="6" t="s">
        <v>15</v>
      </c>
      <c r="ES6" s="27">
        <f t="shared" si="0"/>
        <v>0</v>
      </c>
      <c r="ET6" s="28">
        <f t="shared" si="0"/>
        <v>0</v>
      </c>
      <c r="EU6" s="28">
        <f t="shared" si="0"/>
        <v>0</v>
      </c>
      <c r="EV6" s="28">
        <f t="shared" si="0"/>
        <v>0</v>
      </c>
      <c r="EW6" s="28">
        <f t="shared" si="1"/>
        <v>0</v>
      </c>
      <c r="EX6" s="28">
        <f t="shared" si="1"/>
        <v>0</v>
      </c>
      <c r="EY6" s="29">
        <f>SUM(ES6:EX6)</f>
        <v>0</v>
      </c>
      <c r="EZ6" s="181"/>
      <c r="FA6" s="17"/>
    </row>
    <row r="7" spans="1:157" ht="18" customHeight="1" x14ac:dyDescent="0.2">
      <c r="A7" s="170"/>
      <c r="B7" s="3" t="s">
        <v>16</v>
      </c>
      <c r="C7" s="7" t="s">
        <v>13</v>
      </c>
      <c r="D7" s="9">
        <f>SUM('سكان وأسر'!D71)</f>
        <v>1505</v>
      </c>
      <c r="E7" s="9">
        <f>SUM('سكان وأسر'!E71)</f>
        <v>1267</v>
      </c>
      <c r="F7" s="9">
        <f>SUM('سكان وأسر'!F71)</f>
        <v>2281</v>
      </c>
      <c r="G7" s="9">
        <f>SUM('سكان وأسر'!G71)</f>
        <v>2741</v>
      </c>
      <c r="H7" s="9">
        <f>SUM('سكان وأسر'!H71)</f>
        <v>1389</v>
      </c>
      <c r="I7" s="9">
        <f>SUM('سكان وأسر'!I71)</f>
        <v>322</v>
      </c>
      <c r="J7" s="10">
        <f>SUM(D7:I7)</f>
        <v>9505</v>
      </c>
      <c r="K7" s="165">
        <f>SUM('سكان وأسر'!K71)</f>
        <v>7269</v>
      </c>
      <c r="L7" s="17"/>
      <c r="M7" s="170"/>
      <c r="N7" s="3" t="s">
        <v>16</v>
      </c>
      <c r="O7" s="7" t="s">
        <v>13</v>
      </c>
      <c r="P7" s="9">
        <f>SUM('سكان وأسر'!P71)</f>
        <v>1505</v>
      </c>
      <c r="Q7" s="9">
        <f>SUM('سكان وأسر'!Q71)</f>
        <v>1267</v>
      </c>
      <c r="R7" s="9">
        <f>SUM('سكان وأسر'!R71)</f>
        <v>2281</v>
      </c>
      <c r="S7" s="9">
        <f>SUM('سكان وأسر'!S71)</f>
        <v>2741</v>
      </c>
      <c r="T7" s="9">
        <f>SUM('سكان وأسر'!T71)</f>
        <v>1389</v>
      </c>
      <c r="U7" s="9">
        <f>SUM('سكان وأسر'!U71)</f>
        <v>322</v>
      </c>
      <c r="V7" s="10">
        <f>SUM(P7:U7)</f>
        <v>9505</v>
      </c>
      <c r="W7" s="165">
        <f>SUM('سكان وأسر'!W71)</f>
        <v>7269</v>
      </c>
      <c r="X7" s="17"/>
      <c r="Y7" s="170"/>
      <c r="Z7" s="3" t="s">
        <v>16</v>
      </c>
      <c r="AA7" s="7" t="s">
        <v>13</v>
      </c>
      <c r="AB7" s="9">
        <f>SUM('سكان وأسر'!AB71)</f>
        <v>1505</v>
      </c>
      <c r="AC7" s="9">
        <f>SUM('سكان وأسر'!AC71)</f>
        <v>1267</v>
      </c>
      <c r="AD7" s="9">
        <f>SUM('سكان وأسر'!AD71)</f>
        <v>2281</v>
      </c>
      <c r="AE7" s="9">
        <f>SUM('سكان وأسر'!AE71)</f>
        <v>2741</v>
      </c>
      <c r="AF7" s="9">
        <f>SUM('سكان وأسر'!AF71)</f>
        <v>1389</v>
      </c>
      <c r="AG7" s="9">
        <f>SUM('سكان وأسر'!AG71)</f>
        <v>322</v>
      </c>
      <c r="AH7" s="10">
        <f>SUM(AB7:AG7)</f>
        <v>9505</v>
      </c>
      <c r="AI7" s="165">
        <f>SUM('سكان وأسر'!AI71)</f>
        <v>7269</v>
      </c>
      <c r="AJ7" s="17"/>
      <c r="AK7" s="170"/>
      <c r="AL7" s="3" t="s">
        <v>16</v>
      </c>
      <c r="AM7" s="7" t="s">
        <v>13</v>
      </c>
      <c r="AN7" s="9">
        <f>SUM('سكان وأسر'!AN71)</f>
        <v>1505</v>
      </c>
      <c r="AO7" s="9">
        <f>SUM('سكان وأسر'!AO71)</f>
        <v>1267</v>
      </c>
      <c r="AP7" s="9">
        <f>SUM('سكان وأسر'!AP71)</f>
        <v>2281</v>
      </c>
      <c r="AQ7" s="9">
        <f>SUM('سكان وأسر'!AQ71)</f>
        <v>2741</v>
      </c>
      <c r="AR7" s="9">
        <f>SUM('سكان وأسر'!AR71)</f>
        <v>1389</v>
      </c>
      <c r="AS7" s="9">
        <f>SUM('سكان وأسر'!AS71)</f>
        <v>322</v>
      </c>
      <c r="AT7" s="10">
        <f>SUM(AN7:AS7)</f>
        <v>9505</v>
      </c>
      <c r="AU7" s="165">
        <f>SUM('سكان وأسر'!AU71)</f>
        <v>7269</v>
      </c>
      <c r="AV7" s="17"/>
      <c r="AW7" s="170"/>
      <c r="AX7" s="3" t="s">
        <v>16</v>
      </c>
      <c r="AY7" s="7" t="s">
        <v>13</v>
      </c>
      <c r="AZ7" s="9">
        <f>SUM('سكان وأسر'!AZ71)</f>
        <v>1505</v>
      </c>
      <c r="BA7" s="9">
        <f>SUM('سكان وأسر'!BA71)</f>
        <v>1267</v>
      </c>
      <c r="BB7" s="9">
        <f>SUM('سكان وأسر'!BB71)</f>
        <v>2281</v>
      </c>
      <c r="BC7" s="9">
        <f>SUM('سكان وأسر'!BC71)</f>
        <v>2741</v>
      </c>
      <c r="BD7" s="9">
        <f>SUM('سكان وأسر'!BD71)</f>
        <v>1389</v>
      </c>
      <c r="BE7" s="9">
        <f>SUM('سكان وأسر'!BE71)</f>
        <v>322</v>
      </c>
      <c r="BF7" s="10">
        <f>SUM(AZ7:BE7)</f>
        <v>9505</v>
      </c>
      <c r="BG7" s="165">
        <f>SUM('سكان وأسر'!BG71)</f>
        <v>7269</v>
      </c>
      <c r="BH7" s="17"/>
      <c r="BI7" s="170"/>
      <c r="BJ7" s="3" t="s">
        <v>16</v>
      </c>
      <c r="BK7" s="7" t="s">
        <v>13</v>
      </c>
      <c r="BL7" s="9">
        <f>SUM('سكان وأسر'!BL71)</f>
        <v>1505</v>
      </c>
      <c r="BM7" s="9">
        <f>SUM('سكان وأسر'!BM71)</f>
        <v>1267</v>
      </c>
      <c r="BN7" s="9">
        <f>SUM('سكان وأسر'!BN71)</f>
        <v>2281</v>
      </c>
      <c r="BO7" s="9">
        <f>SUM('سكان وأسر'!BO71)</f>
        <v>2741</v>
      </c>
      <c r="BP7" s="9">
        <f>SUM('سكان وأسر'!BP71)</f>
        <v>1389</v>
      </c>
      <c r="BQ7" s="9">
        <f>SUM('سكان وأسر'!BQ71)</f>
        <v>322</v>
      </c>
      <c r="BR7" s="10">
        <f>SUM(BL7:BQ7)</f>
        <v>9505</v>
      </c>
      <c r="BS7" s="165">
        <f>SUM('سكان وأسر'!BS71)</f>
        <v>7269</v>
      </c>
      <c r="BT7" s="17"/>
      <c r="BU7" s="170"/>
      <c r="BV7" s="3" t="s">
        <v>16</v>
      </c>
      <c r="BW7" s="7" t="s">
        <v>13</v>
      </c>
      <c r="BX7" s="9">
        <f>SUM('سكان وأسر'!BX71)</f>
        <v>1505</v>
      </c>
      <c r="BY7" s="9">
        <f>SUM('سكان وأسر'!BY71)</f>
        <v>1267</v>
      </c>
      <c r="BZ7" s="9">
        <f>SUM('سكان وأسر'!BZ71)</f>
        <v>2281</v>
      </c>
      <c r="CA7" s="9">
        <f>SUM('سكان وأسر'!CA71)</f>
        <v>2741</v>
      </c>
      <c r="CB7" s="9">
        <f>SUM('سكان وأسر'!CB71)</f>
        <v>1389</v>
      </c>
      <c r="CC7" s="9">
        <f>SUM('سكان وأسر'!CC71)</f>
        <v>322</v>
      </c>
      <c r="CD7" s="10">
        <f>SUM(BX7:CC7)</f>
        <v>9505</v>
      </c>
      <c r="CE7" s="165">
        <f>SUM('سكان وأسر'!CE71)</f>
        <v>7269</v>
      </c>
      <c r="CF7" s="17"/>
      <c r="CG7" s="170"/>
      <c r="CH7" s="3" t="s">
        <v>16</v>
      </c>
      <c r="CI7" s="7" t="s">
        <v>13</v>
      </c>
      <c r="CJ7" s="9">
        <f>SUM('سكان وأسر'!CJ71)</f>
        <v>1505</v>
      </c>
      <c r="CK7" s="9">
        <f>SUM('سكان وأسر'!CK71)</f>
        <v>1267</v>
      </c>
      <c r="CL7" s="9">
        <f>SUM('سكان وأسر'!CL71)</f>
        <v>2281</v>
      </c>
      <c r="CM7" s="9">
        <f>SUM('سكان وأسر'!CM71)</f>
        <v>2741</v>
      </c>
      <c r="CN7" s="9">
        <f>SUM('سكان وأسر'!CN71)</f>
        <v>1389</v>
      </c>
      <c r="CO7" s="9">
        <f>SUM('سكان وأسر'!CO71)</f>
        <v>322</v>
      </c>
      <c r="CP7" s="10">
        <f>SUM(CJ7:CO7)</f>
        <v>9505</v>
      </c>
      <c r="CQ7" s="165">
        <f>SUM('سكان وأسر'!CQ71)</f>
        <v>7269</v>
      </c>
      <c r="CR7" s="17"/>
      <c r="CS7" s="170"/>
      <c r="CT7" s="3" t="s">
        <v>16</v>
      </c>
      <c r="CU7" s="7" t="s">
        <v>13</v>
      </c>
      <c r="CV7" s="9">
        <f>SUM('سكان وأسر'!CV71)</f>
        <v>1505</v>
      </c>
      <c r="CW7" s="9">
        <f>SUM('سكان وأسر'!CW71)</f>
        <v>1267</v>
      </c>
      <c r="CX7" s="9">
        <f>SUM('سكان وأسر'!CX71)</f>
        <v>2281</v>
      </c>
      <c r="CY7" s="9">
        <f>SUM('سكان وأسر'!CY71)</f>
        <v>2741</v>
      </c>
      <c r="CZ7" s="9">
        <f>SUM('سكان وأسر'!CZ71)</f>
        <v>1389</v>
      </c>
      <c r="DA7" s="9">
        <f>SUM('سكان وأسر'!DA71)</f>
        <v>322</v>
      </c>
      <c r="DB7" s="10">
        <f>SUM(CV7:DA7)</f>
        <v>9505</v>
      </c>
      <c r="DC7" s="165">
        <f>SUM('سكان وأسر'!DC71)</f>
        <v>7269</v>
      </c>
      <c r="DD7" s="17"/>
      <c r="DE7" s="170"/>
      <c r="DF7" s="3" t="s">
        <v>16</v>
      </c>
      <c r="DG7" s="7" t="s">
        <v>13</v>
      </c>
      <c r="DH7" s="9">
        <f>SUM('سكان وأسر'!DH71)</f>
        <v>0</v>
      </c>
      <c r="DI7" s="9">
        <f>SUM('سكان وأسر'!DI71)</f>
        <v>0</v>
      </c>
      <c r="DJ7" s="9">
        <f>SUM('سكان وأسر'!DJ71)</f>
        <v>0</v>
      </c>
      <c r="DK7" s="9">
        <f>SUM('سكان وأسر'!DK71)</f>
        <v>0</v>
      </c>
      <c r="DL7" s="9">
        <f>SUM('سكان وأسر'!DL71)</f>
        <v>0</v>
      </c>
      <c r="DM7" s="9">
        <f>SUM('سكان وأسر'!DM71)</f>
        <v>0</v>
      </c>
      <c r="DN7" s="10">
        <f>SUM(DH7:DM7)</f>
        <v>0</v>
      </c>
      <c r="DO7" s="165">
        <f>SUM('سكان وأسر'!DO71)</f>
        <v>0</v>
      </c>
      <c r="DP7" s="17"/>
      <c r="DQ7" s="170"/>
      <c r="DR7" s="3" t="s">
        <v>16</v>
      </c>
      <c r="DS7" s="7" t="s">
        <v>13</v>
      </c>
      <c r="DT7" s="9">
        <f>SUM('سكان وأسر'!DT71)</f>
        <v>0</v>
      </c>
      <c r="DU7" s="9">
        <f>SUM('سكان وأسر'!DU71)</f>
        <v>0</v>
      </c>
      <c r="DV7" s="9">
        <f>SUM('سكان وأسر'!DV71)</f>
        <v>0</v>
      </c>
      <c r="DW7" s="9">
        <f>SUM('سكان وأسر'!DW71)</f>
        <v>0</v>
      </c>
      <c r="DX7" s="9">
        <f>SUM('سكان وأسر'!DX71)</f>
        <v>0</v>
      </c>
      <c r="DY7" s="9">
        <f>SUM('سكان وأسر'!DY71)</f>
        <v>0</v>
      </c>
      <c r="DZ7" s="10">
        <f>SUM(DT7:DY7)</f>
        <v>0</v>
      </c>
      <c r="EA7" s="165">
        <f>SUM('سكان وأسر'!EA71)</f>
        <v>0</v>
      </c>
      <c r="EB7" s="17"/>
      <c r="EC7" s="170"/>
      <c r="ED7" s="3" t="s">
        <v>16</v>
      </c>
      <c r="EE7" s="7" t="s">
        <v>13</v>
      </c>
      <c r="EF7" s="9">
        <f>SUM('سكان وأسر'!EF71)</f>
        <v>0</v>
      </c>
      <c r="EG7" s="9">
        <f>SUM('سكان وأسر'!EG71)</f>
        <v>0</v>
      </c>
      <c r="EH7" s="9">
        <f>SUM('سكان وأسر'!EH71)</f>
        <v>0</v>
      </c>
      <c r="EI7" s="9">
        <f>SUM('سكان وأسر'!EI71)</f>
        <v>0</v>
      </c>
      <c r="EJ7" s="9">
        <f>SUM('سكان وأسر'!EJ71)</f>
        <v>0</v>
      </c>
      <c r="EK7" s="9">
        <f>SUM('سكان وأسر'!EK71)</f>
        <v>0</v>
      </c>
      <c r="EL7" s="10">
        <f>SUM(EF7:EK7)</f>
        <v>0</v>
      </c>
      <c r="EM7" s="165">
        <f>SUM('سكان وأسر'!EM71)</f>
        <v>0</v>
      </c>
      <c r="EN7" s="17"/>
      <c r="EO7" s="17"/>
      <c r="EP7" s="170"/>
      <c r="EQ7" s="3" t="s">
        <v>16</v>
      </c>
      <c r="ER7" s="7" t="s">
        <v>13</v>
      </c>
      <c r="ES7" s="30">
        <f t="shared" si="0"/>
        <v>0</v>
      </c>
      <c r="ET7" s="31">
        <f t="shared" si="0"/>
        <v>0</v>
      </c>
      <c r="EU7" s="31">
        <f t="shared" si="0"/>
        <v>0</v>
      </c>
      <c r="EV7" s="31">
        <f t="shared" si="0"/>
        <v>0</v>
      </c>
      <c r="EW7" s="31">
        <f t="shared" si="1"/>
        <v>0</v>
      </c>
      <c r="EX7" s="31">
        <f t="shared" si="1"/>
        <v>0</v>
      </c>
      <c r="EY7" s="32">
        <f>SUM(ES7:EX7)</f>
        <v>0</v>
      </c>
      <c r="EZ7" s="182">
        <f>SUM(EM7)</f>
        <v>0</v>
      </c>
      <c r="FA7" s="17"/>
    </row>
    <row r="8" spans="1:157" ht="18" customHeight="1" thickBot="1" x14ac:dyDescent="0.25">
      <c r="A8" s="170"/>
      <c r="B8" s="5" t="s">
        <v>14</v>
      </c>
      <c r="C8" s="8" t="s">
        <v>15</v>
      </c>
      <c r="D8" s="11">
        <f>SUM('سكان وأسر'!D72)</f>
        <v>1216</v>
      </c>
      <c r="E8" s="11">
        <f>SUM('سكان وأسر'!E72)</f>
        <v>1278</v>
      </c>
      <c r="F8" s="11">
        <f>SUM('سكان وأسر'!F72)</f>
        <v>2375</v>
      </c>
      <c r="G8" s="11">
        <f>SUM('سكان وأسر'!G72)</f>
        <v>2888</v>
      </c>
      <c r="H8" s="11">
        <f>SUM('سكان وأسر'!H72)</f>
        <v>943</v>
      </c>
      <c r="I8" s="11">
        <f>SUM('سكان وأسر'!I72)</f>
        <v>241</v>
      </c>
      <c r="J8" s="12">
        <f>SUM(D8:I8)</f>
        <v>8941</v>
      </c>
      <c r="K8" s="166"/>
      <c r="L8" s="17"/>
      <c r="M8" s="170"/>
      <c r="N8" s="5" t="s">
        <v>14</v>
      </c>
      <c r="O8" s="8" t="s">
        <v>15</v>
      </c>
      <c r="P8" s="11">
        <f>SUM('سكان وأسر'!P72)</f>
        <v>1216</v>
      </c>
      <c r="Q8" s="11">
        <f>SUM('سكان وأسر'!Q72)</f>
        <v>1278</v>
      </c>
      <c r="R8" s="11">
        <f>SUM('سكان وأسر'!R72)</f>
        <v>2375</v>
      </c>
      <c r="S8" s="11">
        <f>SUM('سكان وأسر'!S72)</f>
        <v>2888</v>
      </c>
      <c r="T8" s="11">
        <f>SUM('سكان وأسر'!T72)</f>
        <v>943</v>
      </c>
      <c r="U8" s="11">
        <f>SUM('سكان وأسر'!U72)</f>
        <v>241</v>
      </c>
      <c r="V8" s="12">
        <f>SUM(P8:U8)</f>
        <v>8941</v>
      </c>
      <c r="W8" s="166"/>
      <c r="X8" s="17"/>
      <c r="Y8" s="170"/>
      <c r="Z8" s="5" t="s">
        <v>14</v>
      </c>
      <c r="AA8" s="8" t="s">
        <v>15</v>
      </c>
      <c r="AB8" s="11">
        <f>SUM('سكان وأسر'!AB72)</f>
        <v>1216</v>
      </c>
      <c r="AC8" s="11">
        <f>SUM('سكان وأسر'!AC72)</f>
        <v>1278</v>
      </c>
      <c r="AD8" s="11">
        <f>SUM('سكان وأسر'!AD72)</f>
        <v>2375</v>
      </c>
      <c r="AE8" s="11">
        <f>SUM('سكان وأسر'!AE72)</f>
        <v>2888</v>
      </c>
      <c r="AF8" s="11">
        <f>SUM('سكان وأسر'!AF72)</f>
        <v>943</v>
      </c>
      <c r="AG8" s="11">
        <f>SUM('سكان وأسر'!AG72)</f>
        <v>241</v>
      </c>
      <c r="AH8" s="12">
        <f>SUM(AB8:AG8)</f>
        <v>8941</v>
      </c>
      <c r="AI8" s="166"/>
      <c r="AJ8" s="17"/>
      <c r="AK8" s="170"/>
      <c r="AL8" s="5" t="s">
        <v>14</v>
      </c>
      <c r="AM8" s="8" t="s">
        <v>15</v>
      </c>
      <c r="AN8" s="11">
        <f>SUM('سكان وأسر'!AN72)</f>
        <v>1216</v>
      </c>
      <c r="AO8" s="11">
        <f>SUM('سكان وأسر'!AO72)</f>
        <v>1278</v>
      </c>
      <c r="AP8" s="11">
        <f>SUM('سكان وأسر'!AP72)</f>
        <v>2375</v>
      </c>
      <c r="AQ8" s="11">
        <f>SUM('سكان وأسر'!AQ72)</f>
        <v>2888</v>
      </c>
      <c r="AR8" s="11">
        <f>SUM('سكان وأسر'!AR72)</f>
        <v>943</v>
      </c>
      <c r="AS8" s="11">
        <f>SUM('سكان وأسر'!AS72)</f>
        <v>241</v>
      </c>
      <c r="AT8" s="12">
        <f>SUM(AN8:AS8)</f>
        <v>8941</v>
      </c>
      <c r="AU8" s="166"/>
      <c r="AV8" s="17"/>
      <c r="AW8" s="170"/>
      <c r="AX8" s="5" t="s">
        <v>14</v>
      </c>
      <c r="AY8" s="8" t="s">
        <v>15</v>
      </c>
      <c r="AZ8" s="11">
        <f>SUM('سكان وأسر'!AZ72)</f>
        <v>1216</v>
      </c>
      <c r="BA8" s="11">
        <f>SUM('سكان وأسر'!BA72)</f>
        <v>1278</v>
      </c>
      <c r="BB8" s="11">
        <f>SUM('سكان وأسر'!BB72)</f>
        <v>2375</v>
      </c>
      <c r="BC8" s="11">
        <f>SUM('سكان وأسر'!BC72)</f>
        <v>2888</v>
      </c>
      <c r="BD8" s="11">
        <f>SUM('سكان وأسر'!BD72)</f>
        <v>943</v>
      </c>
      <c r="BE8" s="11">
        <f>SUM('سكان وأسر'!BE72)</f>
        <v>241</v>
      </c>
      <c r="BF8" s="12">
        <f>SUM(AZ8:BE8)</f>
        <v>8941</v>
      </c>
      <c r="BG8" s="166"/>
      <c r="BH8" s="17"/>
      <c r="BI8" s="170"/>
      <c r="BJ8" s="5" t="s">
        <v>14</v>
      </c>
      <c r="BK8" s="8" t="s">
        <v>15</v>
      </c>
      <c r="BL8" s="11">
        <f>SUM('سكان وأسر'!BL72)</f>
        <v>1216</v>
      </c>
      <c r="BM8" s="11">
        <f>SUM('سكان وأسر'!BM72)</f>
        <v>1278</v>
      </c>
      <c r="BN8" s="11">
        <f>SUM('سكان وأسر'!BN72)</f>
        <v>2375</v>
      </c>
      <c r="BO8" s="11">
        <f>SUM('سكان وأسر'!BO72)</f>
        <v>2888</v>
      </c>
      <c r="BP8" s="11">
        <f>SUM('سكان وأسر'!BP72)</f>
        <v>943</v>
      </c>
      <c r="BQ8" s="11">
        <f>SUM('سكان وأسر'!BQ72)</f>
        <v>241</v>
      </c>
      <c r="BR8" s="12">
        <f>SUM(BL8:BQ8)</f>
        <v>8941</v>
      </c>
      <c r="BS8" s="166"/>
      <c r="BT8" s="17"/>
      <c r="BU8" s="170"/>
      <c r="BV8" s="5" t="s">
        <v>14</v>
      </c>
      <c r="BW8" s="8" t="s">
        <v>15</v>
      </c>
      <c r="BX8" s="11">
        <f>SUM('سكان وأسر'!BX72)</f>
        <v>1216</v>
      </c>
      <c r="BY8" s="11">
        <f>SUM('سكان وأسر'!BY72)</f>
        <v>1278</v>
      </c>
      <c r="BZ8" s="11">
        <f>SUM('سكان وأسر'!BZ72)</f>
        <v>2375</v>
      </c>
      <c r="CA8" s="11">
        <f>SUM('سكان وأسر'!CA72)</f>
        <v>2888</v>
      </c>
      <c r="CB8" s="11">
        <f>SUM('سكان وأسر'!CB72)</f>
        <v>943</v>
      </c>
      <c r="CC8" s="11">
        <f>SUM('سكان وأسر'!CC72)</f>
        <v>241</v>
      </c>
      <c r="CD8" s="12">
        <f>SUM(BX8:CC8)</f>
        <v>8941</v>
      </c>
      <c r="CE8" s="166"/>
      <c r="CF8" s="17"/>
      <c r="CG8" s="170"/>
      <c r="CH8" s="5" t="s">
        <v>14</v>
      </c>
      <c r="CI8" s="8" t="s">
        <v>15</v>
      </c>
      <c r="CJ8" s="11">
        <f>SUM('سكان وأسر'!CJ72)</f>
        <v>1216</v>
      </c>
      <c r="CK8" s="11">
        <f>SUM('سكان وأسر'!CK72)</f>
        <v>1278</v>
      </c>
      <c r="CL8" s="11">
        <f>SUM('سكان وأسر'!CL72)</f>
        <v>2375</v>
      </c>
      <c r="CM8" s="11">
        <f>SUM('سكان وأسر'!CM72)</f>
        <v>2888</v>
      </c>
      <c r="CN8" s="11">
        <f>SUM('سكان وأسر'!CN72)</f>
        <v>943</v>
      </c>
      <c r="CO8" s="11">
        <f>SUM('سكان وأسر'!CO72)</f>
        <v>241</v>
      </c>
      <c r="CP8" s="12">
        <f>SUM(CJ8:CO8)</f>
        <v>8941</v>
      </c>
      <c r="CQ8" s="166"/>
      <c r="CR8" s="17"/>
      <c r="CS8" s="170"/>
      <c r="CT8" s="5" t="s">
        <v>14</v>
      </c>
      <c r="CU8" s="8" t="s">
        <v>15</v>
      </c>
      <c r="CV8" s="11">
        <f>SUM('سكان وأسر'!CV72)</f>
        <v>1216</v>
      </c>
      <c r="CW8" s="11">
        <f>SUM('سكان وأسر'!CW72)</f>
        <v>1278</v>
      </c>
      <c r="CX8" s="11">
        <f>SUM('سكان وأسر'!CX72)</f>
        <v>2375</v>
      </c>
      <c r="CY8" s="11">
        <f>SUM('سكان وأسر'!CY72)</f>
        <v>2888</v>
      </c>
      <c r="CZ8" s="11">
        <f>SUM('سكان وأسر'!CZ72)</f>
        <v>943</v>
      </c>
      <c r="DA8" s="11">
        <f>SUM('سكان وأسر'!DA72)</f>
        <v>241</v>
      </c>
      <c r="DB8" s="12">
        <f>SUM(CV8:DA8)</f>
        <v>8941</v>
      </c>
      <c r="DC8" s="166"/>
      <c r="DD8" s="17"/>
      <c r="DE8" s="170"/>
      <c r="DF8" s="5" t="s">
        <v>14</v>
      </c>
      <c r="DG8" s="8" t="s">
        <v>15</v>
      </c>
      <c r="DH8" s="11">
        <f>SUM('سكان وأسر'!DH72)</f>
        <v>0</v>
      </c>
      <c r="DI8" s="11">
        <f>SUM('سكان وأسر'!DI72)</f>
        <v>0</v>
      </c>
      <c r="DJ8" s="11">
        <f>SUM('سكان وأسر'!DJ72)</f>
        <v>0</v>
      </c>
      <c r="DK8" s="11">
        <f>SUM('سكان وأسر'!DK72)</f>
        <v>0</v>
      </c>
      <c r="DL8" s="11">
        <f>SUM('سكان وأسر'!DL72)</f>
        <v>0</v>
      </c>
      <c r="DM8" s="11">
        <f>SUM('سكان وأسر'!DM72)</f>
        <v>0</v>
      </c>
      <c r="DN8" s="12">
        <f>SUM(DH8:DM8)</f>
        <v>0</v>
      </c>
      <c r="DO8" s="166"/>
      <c r="DP8" s="17"/>
      <c r="DQ8" s="170"/>
      <c r="DR8" s="5" t="s">
        <v>14</v>
      </c>
      <c r="DS8" s="8" t="s">
        <v>15</v>
      </c>
      <c r="DT8" s="11">
        <f>SUM('سكان وأسر'!DT72)</f>
        <v>0</v>
      </c>
      <c r="DU8" s="11">
        <f>SUM('سكان وأسر'!DU72)</f>
        <v>0</v>
      </c>
      <c r="DV8" s="11">
        <f>SUM('سكان وأسر'!DV72)</f>
        <v>0</v>
      </c>
      <c r="DW8" s="11">
        <f>SUM('سكان وأسر'!DW72)</f>
        <v>0</v>
      </c>
      <c r="DX8" s="11">
        <f>SUM('سكان وأسر'!DX72)</f>
        <v>0</v>
      </c>
      <c r="DY8" s="11">
        <f>SUM('سكان وأسر'!DY72)</f>
        <v>0</v>
      </c>
      <c r="DZ8" s="12">
        <f>SUM(DT8:DY8)</f>
        <v>0</v>
      </c>
      <c r="EA8" s="166"/>
      <c r="EB8" s="17"/>
      <c r="EC8" s="170"/>
      <c r="ED8" s="5" t="s">
        <v>14</v>
      </c>
      <c r="EE8" s="8" t="s">
        <v>15</v>
      </c>
      <c r="EF8" s="11">
        <f>SUM('سكان وأسر'!EF72)</f>
        <v>0</v>
      </c>
      <c r="EG8" s="11">
        <f>SUM('سكان وأسر'!EG72)</f>
        <v>0</v>
      </c>
      <c r="EH8" s="11">
        <f>SUM('سكان وأسر'!EH72)</f>
        <v>0</v>
      </c>
      <c r="EI8" s="11">
        <f>SUM('سكان وأسر'!EI72)</f>
        <v>0</v>
      </c>
      <c r="EJ8" s="11">
        <f>SUM('سكان وأسر'!EJ72)</f>
        <v>0</v>
      </c>
      <c r="EK8" s="11">
        <f>SUM('سكان وأسر'!EK72)</f>
        <v>0</v>
      </c>
      <c r="EL8" s="12">
        <f>SUM(EF8:EK8)</f>
        <v>0</v>
      </c>
      <c r="EM8" s="166"/>
      <c r="EN8" s="17"/>
      <c r="EO8" s="17"/>
      <c r="EP8" s="170"/>
      <c r="EQ8" s="5" t="s">
        <v>14</v>
      </c>
      <c r="ER8" s="8" t="s">
        <v>15</v>
      </c>
      <c r="ES8" s="27">
        <f t="shared" si="0"/>
        <v>0</v>
      </c>
      <c r="ET8" s="28">
        <f t="shared" si="0"/>
        <v>0</v>
      </c>
      <c r="EU8" s="28">
        <f t="shared" si="0"/>
        <v>0</v>
      </c>
      <c r="EV8" s="28">
        <f t="shared" si="0"/>
        <v>0</v>
      </c>
      <c r="EW8" s="28">
        <f t="shared" si="1"/>
        <v>0</v>
      </c>
      <c r="EX8" s="28">
        <f t="shared" si="1"/>
        <v>0</v>
      </c>
      <c r="EY8" s="29">
        <f>SUM(ES8:EX8)</f>
        <v>0</v>
      </c>
      <c r="EZ8" s="181"/>
      <c r="FA8" s="17"/>
    </row>
    <row r="9" spans="1:157" ht="18" customHeight="1" thickBot="1" x14ac:dyDescent="0.25">
      <c r="A9" s="171"/>
      <c r="B9" s="172" t="s">
        <v>17</v>
      </c>
      <c r="C9" s="173"/>
      <c r="D9" s="13">
        <f t="shared" ref="D9:K9" si="2">SUM(D5:D8)</f>
        <v>17320</v>
      </c>
      <c r="E9" s="13">
        <f t="shared" si="2"/>
        <v>57187</v>
      </c>
      <c r="F9" s="13">
        <f t="shared" si="2"/>
        <v>81246</v>
      </c>
      <c r="G9" s="13">
        <f t="shared" si="2"/>
        <v>133174</v>
      </c>
      <c r="H9" s="13">
        <f t="shared" si="2"/>
        <v>32127</v>
      </c>
      <c r="I9" s="13">
        <f t="shared" si="2"/>
        <v>12420</v>
      </c>
      <c r="J9" s="14">
        <f t="shared" si="2"/>
        <v>333474</v>
      </c>
      <c r="K9" s="13">
        <f t="shared" si="2"/>
        <v>64494</v>
      </c>
      <c r="L9" s="17"/>
      <c r="M9" s="171"/>
      <c r="N9" s="172" t="s">
        <v>17</v>
      </c>
      <c r="O9" s="173"/>
      <c r="P9" s="13" t="e">
        <f t="shared" ref="P9:W9" si="3">SUM(P5:P8)</f>
        <v>#VALUE!</v>
      </c>
      <c r="Q9" s="13">
        <f t="shared" si="3"/>
        <v>57187</v>
      </c>
      <c r="R9" s="13">
        <f t="shared" si="3"/>
        <v>81246</v>
      </c>
      <c r="S9" s="13">
        <f t="shared" si="3"/>
        <v>133174</v>
      </c>
      <c r="T9" s="13">
        <f t="shared" si="3"/>
        <v>32127</v>
      </c>
      <c r="U9" s="13">
        <f t="shared" si="3"/>
        <v>12420</v>
      </c>
      <c r="V9" s="14" t="e">
        <f t="shared" si="3"/>
        <v>#VALUE!</v>
      </c>
      <c r="W9" s="13">
        <f t="shared" si="3"/>
        <v>64494</v>
      </c>
      <c r="X9" s="17"/>
      <c r="Y9" s="171"/>
      <c r="Z9" s="172" t="s">
        <v>17</v>
      </c>
      <c r="AA9" s="173"/>
      <c r="AB9" s="13" t="e">
        <f t="shared" ref="AB9:AI9" si="4">SUM(AB5:AB8)</f>
        <v>#VALUE!</v>
      </c>
      <c r="AC9" s="13">
        <f t="shared" si="4"/>
        <v>57187</v>
      </c>
      <c r="AD9" s="13">
        <f t="shared" si="4"/>
        <v>81246</v>
      </c>
      <c r="AE9" s="13">
        <f t="shared" si="4"/>
        <v>133174</v>
      </c>
      <c r="AF9" s="13">
        <f t="shared" si="4"/>
        <v>32127</v>
      </c>
      <c r="AG9" s="13">
        <f t="shared" si="4"/>
        <v>12420</v>
      </c>
      <c r="AH9" s="14" t="e">
        <f t="shared" si="4"/>
        <v>#VALUE!</v>
      </c>
      <c r="AI9" s="13">
        <f t="shared" si="4"/>
        <v>64494</v>
      </c>
      <c r="AJ9" s="17"/>
      <c r="AK9" s="171"/>
      <c r="AL9" s="172" t="s">
        <v>17</v>
      </c>
      <c r="AM9" s="173"/>
      <c r="AN9" s="13" t="e">
        <f t="shared" ref="AN9:AU9" si="5">SUM(AN5:AN8)</f>
        <v>#VALUE!</v>
      </c>
      <c r="AO9" s="13">
        <f t="shared" si="5"/>
        <v>57187</v>
      </c>
      <c r="AP9" s="13">
        <f t="shared" si="5"/>
        <v>81246</v>
      </c>
      <c r="AQ9" s="13">
        <f t="shared" si="5"/>
        <v>133174</v>
      </c>
      <c r="AR9" s="13">
        <f t="shared" si="5"/>
        <v>32127</v>
      </c>
      <c r="AS9" s="13">
        <f t="shared" si="5"/>
        <v>12420</v>
      </c>
      <c r="AT9" s="14" t="e">
        <f t="shared" si="5"/>
        <v>#VALUE!</v>
      </c>
      <c r="AU9" s="13">
        <f t="shared" si="5"/>
        <v>64494</v>
      </c>
      <c r="AV9" s="17"/>
      <c r="AW9" s="171"/>
      <c r="AX9" s="172" t="s">
        <v>17</v>
      </c>
      <c r="AY9" s="173"/>
      <c r="AZ9" s="13" t="e">
        <f t="shared" ref="AZ9:BG9" si="6">SUM(AZ5:AZ8)</f>
        <v>#VALUE!</v>
      </c>
      <c r="BA9" s="13">
        <f t="shared" si="6"/>
        <v>57187</v>
      </c>
      <c r="BB9" s="13">
        <f t="shared" si="6"/>
        <v>81246</v>
      </c>
      <c r="BC9" s="13">
        <f t="shared" si="6"/>
        <v>133174</v>
      </c>
      <c r="BD9" s="13">
        <f t="shared" si="6"/>
        <v>32127</v>
      </c>
      <c r="BE9" s="13">
        <f t="shared" si="6"/>
        <v>12420</v>
      </c>
      <c r="BF9" s="14" t="e">
        <f t="shared" si="6"/>
        <v>#VALUE!</v>
      </c>
      <c r="BG9" s="13">
        <f t="shared" si="6"/>
        <v>64494</v>
      </c>
      <c r="BH9" s="17"/>
      <c r="BI9" s="171"/>
      <c r="BJ9" s="172" t="s">
        <v>17</v>
      </c>
      <c r="BK9" s="173"/>
      <c r="BL9" s="13" t="e">
        <f t="shared" ref="BL9:BS9" si="7">SUM(BL5:BL8)</f>
        <v>#VALUE!</v>
      </c>
      <c r="BM9" s="13">
        <f t="shared" si="7"/>
        <v>57187</v>
      </c>
      <c r="BN9" s="13">
        <f t="shared" si="7"/>
        <v>81246</v>
      </c>
      <c r="BO9" s="13">
        <f t="shared" si="7"/>
        <v>133174</v>
      </c>
      <c r="BP9" s="13">
        <f t="shared" si="7"/>
        <v>32127</v>
      </c>
      <c r="BQ9" s="13">
        <f t="shared" si="7"/>
        <v>12420</v>
      </c>
      <c r="BR9" s="14" t="e">
        <f t="shared" si="7"/>
        <v>#VALUE!</v>
      </c>
      <c r="BS9" s="13">
        <f t="shared" si="7"/>
        <v>64494</v>
      </c>
      <c r="BT9" s="17"/>
      <c r="BU9" s="171"/>
      <c r="BV9" s="172" t="s">
        <v>17</v>
      </c>
      <c r="BW9" s="173"/>
      <c r="BX9" s="13" t="e">
        <f t="shared" ref="BX9:CE9" si="8">SUM(BX5:BX8)</f>
        <v>#VALUE!</v>
      </c>
      <c r="BY9" s="13">
        <f t="shared" si="8"/>
        <v>57187</v>
      </c>
      <c r="BZ9" s="13">
        <f t="shared" si="8"/>
        <v>81246</v>
      </c>
      <c r="CA9" s="13">
        <f t="shared" si="8"/>
        <v>133174</v>
      </c>
      <c r="CB9" s="13">
        <f t="shared" si="8"/>
        <v>32127</v>
      </c>
      <c r="CC9" s="13">
        <f t="shared" si="8"/>
        <v>12420</v>
      </c>
      <c r="CD9" s="14" t="e">
        <f t="shared" si="8"/>
        <v>#VALUE!</v>
      </c>
      <c r="CE9" s="13">
        <f t="shared" si="8"/>
        <v>64494</v>
      </c>
      <c r="CF9" s="17"/>
      <c r="CG9" s="171"/>
      <c r="CH9" s="172" t="s">
        <v>17</v>
      </c>
      <c r="CI9" s="173"/>
      <c r="CJ9" s="13" t="e">
        <f t="shared" ref="CJ9:CQ9" si="9">SUM(CJ5:CJ8)</f>
        <v>#VALUE!</v>
      </c>
      <c r="CK9" s="13">
        <f t="shared" si="9"/>
        <v>57187</v>
      </c>
      <c r="CL9" s="13">
        <f t="shared" si="9"/>
        <v>81246</v>
      </c>
      <c r="CM9" s="13">
        <f t="shared" si="9"/>
        <v>133174</v>
      </c>
      <c r="CN9" s="13">
        <f t="shared" si="9"/>
        <v>32127</v>
      </c>
      <c r="CO9" s="13">
        <f t="shared" si="9"/>
        <v>12420</v>
      </c>
      <c r="CP9" s="14" t="e">
        <f t="shared" si="9"/>
        <v>#VALUE!</v>
      </c>
      <c r="CQ9" s="13">
        <f t="shared" si="9"/>
        <v>64494</v>
      </c>
      <c r="CR9" s="17"/>
      <c r="CS9" s="171"/>
      <c r="CT9" s="172" t="s">
        <v>17</v>
      </c>
      <c r="CU9" s="173"/>
      <c r="CV9" s="13" t="e">
        <f t="shared" ref="CV9:DC9" si="10">SUM(CV5:CV8)</f>
        <v>#VALUE!</v>
      </c>
      <c r="CW9" s="13">
        <f t="shared" si="10"/>
        <v>57187</v>
      </c>
      <c r="CX9" s="13">
        <f t="shared" si="10"/>
        <v>81246</v>
      </c>
      <c r="CY9" s="13">
        <f t="shared" si="10"/>
        <v>133174</v>
      </c>
      <c r="CZ9" s="13">
        <f t="shared" si="10"/>
        <v>32127</v>
      </c>
      <c r="DA9" s="13">
        <f t="shared" si="10"/>
        <v>12420</v>
      </c>
      <c r="DB9" s="14" t="e">
        <f t="shared" si="10"/>
        <v>#VALUE!</v>
      </c>
      <c r="DC9" s="13">
        <f t="shared" si="10"/>
        <v>64494</v>
      </c>
      <c r="DD9" s="17"/>
      <c r="DE9" s="171"/>
      <c r="DF9" s="172" t="s">
        <v>17</v>
      </c>
      <c r="DG9" s="173"/>
      <c r="DH9" s="13">
        <f t="shared" ref="DH9:DO9" si="11">SUM(DH5:DH8)</f>
        <v>0</v>
      </c>
      <c r="DI9" s="13">
        <f t="shared" si="11"/>
        <v>0</v>
      </c>
      <c r="DJ9" s="13">
        <f t="shared" si="11"/>
        <v>0</v>
      </c>
      <c r="DK9" s="13">
        <f t="shared" si="11"/>
        <v>0</v>
      </c>
      <c r="DL9" s="13">
        <f t="shared" si="11"/>
        <v>0</v>
      </c>
      <c r="DM9" s="13">
        <f t="shared" si="11"/>
        <v>0</v>
      </c>
      <c r="DN9" s="14">
        <f t="shared" si="11"/>
        <v>0</v>
      </c>
      <c r="DO9" s="13">
        <f t="shared" si="11"/>
        <v>0</v>
      </c>
      <c r="DP9" s="17"/>
      <c r="DQ9" s="171"/>
      <c r="DR9" s="172" t="s">
        <v>17</v>
      </c>
      <c r="DS9" s="173"/>
      <c r="DT9" s="13">
        <f t="shared" ref="DT9:EA9" si="12">SUM(DT5:DT8)</f>
        <v>0</v>
      </c>
      <c r="DU9" s="13">
        <f t="shared" si="12"/>
        <v>0</v>
      </c>
      <c r="DV9" s="13">
        <f t="shared" si="12"/>
        <v>0</v>
      </c>
      <c r="DW9" s="13">
        <f t="shared" si="12"/>
        <v>0</v>
      </c>
      <c r="DX9" s="13">
        <f t="shared" si="12"/>
        <v>0</v>
      </c>
      <c r="DY9" s="13">
        <f t="shared" si="12"/>
        <v>0</v>
      </c>
      <c r="DZ9" s="14">
        <f t="shared" si="12"/>
        <v>0</v>
      </c>
      <c r="EA9" s="13">
        <f t="shared" si="12"/>
        <v>0</v>
      </c>
      <c r="EB9" s="17"/>
      <c r="EC9" s="171"/>
      <c r="ED9" s="172" t="s">
        <v>17</v>
      </c>
      <c r="EE9" s="173"/>
      <c r="EF9" s="13">
        <f t="shared" ref="EF9:EM9" si="13">SUM(EF5:EF8)</f>
        <v>0</v>
      </c>
      <c r="EG9" s="13">
        <f t="shared" si="13"/>
        <v>0</v>
      </c>
      <c r="EH9" s="13">
        <f t="shared" si="13"/>
        <v>0</v>
      </c>
      <c r="EI9" s="13">
        <f t="shared" si="13"/>
        <v>0</v>
      </c>
      <c r="EJ9" s="13">
        <f t="shared" si="13"/>
        <v>0</v>
      </c>
      <c r="EK9" s="13">
        <f t="shared" si="13"/>
        <v>0</v>
      </c>
      <c r="EL9" s="14">
        <f t="shared" si="13"/>
        <v>0</v>
      </c>
      <c r="EM9" s="13">
        <f t="shared" si="13"/>
        <v>0</v>
      </c>
      <c r="EN9" s="17"/>
      <c r="EO9" s="17"/>
      <c r="EP9" s="171"/>
      <c r="EQ9" s="172" t="s">
        <v>17</v>
      </c>
      <c r="ER9" s="173"/>
      <c r="ES9" s="24">
        <f t="shared" ref="ES9:EZ9" si="14">SUM(ES5:ES8)</f>
        <v>0</v>
      </c>
      <c r="ET9" s="25">
        <f t="shared" si="14"/>
        <v>0</v>
      </c>
      <c r="EU9" s="25">
        <f t="shared" si="14"/>
        <v>0</v>
      </c>
      <c r="EV9" s="25">
        <f t="shared" si="14"/>
        <v>0</v>
      </c>
      <c r="EW9" s="25">
        <f t="shared" si="14"/>
        <v>0</v>
      </c>
      <c r="EX9" s="25">
        <f t="shared" si="14"/>
        <v>0</v>
      </c>
      <c r="EY9" s="26">
        <f t="shared" si="14"/>
        <v>0</v>
      </c>
      <c r="EZ9" s="25">
        <f t="shared" si="14"/>
        <v>0</v>
      </c>
      <c r="FA9" s="17"/>
    </row>
    <row r="10" spans="1:157" ht="7.5" customHeight="1" x14ac:dyDescent="0.2">
      <c r="A10" s="39"/>
      <c r="B10" s="17"/>
      <c r="C10" s="17"/>
      <c r="D10" s="17"/>
      <c r="E10" s="17"/>
      <c r="F10" s="17"/>
      <c r="G10" s="17"/>
      <c r="H10" s="17"/>
      <c r="I10" s="17"/>
      <c r="J10" s="17"/>
      <c r="K10" s="40"/>
      <c r="L10" s="17"/>
      <c r="M10" s="39"/>
      <c r="N10" s="17"/>
      <c r="O10" s="17"/>
      <c r="P10" s="17"/>
      <c r="Q10" s="17"/>
      <c r="R10" s="17"/>
      <c r="S10" s="17"/>
      <c r="T10" s="17"/>
      <c r="U10" s="17"/>
      <c r="V10" s="17"/>
      <c r="W10" s="40"/>
      <c r="X10" s="17"/>
      <c r="Y10" s="39"/>
      <c r="Z10" s="17"/>
      <c r="AA10" s="17"/>
      <c r="AB10" s="17"/>
      <c r="AC10" s="17"/>
      <c r="AD10" s="17"/>
      <c r="AE10" s="17"/>
      <c r="AF10" s="17"/>
      <c r="AG10" s="17"/>
      <c r="AH10" s="17"/>
      <c r="AI10" s="40"/>
      <c r="AJ10" s="17"/>
      <c r="AK10" s="39"/>
      <c r="AL10" s="17"/>
      <c r="AM10" s="17"/>
      <c r="AN10" s="17"/>
      <c r="AO10" s="17"/>
      <c r="AP10" s="17"/>
      <c r="AQ10" s="17"/>
      <c r="AR10" s="17"/>
      <c r="AS10" s="17"/>
      <c r="AT10" s="17"/>
      <c r="AU10" s="40"/>
      <c r="AV10" s="17"/>
      <c r="AW10" s="39"/>
      <c r="AX10" s="17"/>
      <c r="AY10" s="17"/>
      <c r="AZ10" s="17"/>
      <c r="BA10" s="17"/>
      <c r="BB10" s="17"/>
      <c r="BC10" s="17"/>
      <c r="BD10" s="17"/>
      <c r="BE10" s="17"/>
      <c r="BF10" s="17"/>
      <c r="BG10" s="40"/>
      <c r="BH10" s="17"/>
      <c r="BI10" s="39"/>
      <c r="BJ10" s="17"/>
      <c r="BK10" s="17"/>
      <c r="BL10" s="17"/>
      <c r="BM10" s="17"/>
      <c r="BN10" s="17"/>
      <c r="BO10" s="17"/>
      <c r="BP10" s="17"/>
      <c r="BQ10" s="17"/>
      <c r="BR10" s="17"/>
      <c r="BS10" s="40"/>
      <c r="BT10" s="17"/>
      <c r="BU10" s="39"/>
      <c r="BV10" s="17"/>
      <c r="BW10" s="17"/>
      <c r="BX10" s="17"/>
      <c r="BY10" s="17"/>
      <c r="BZ10" s="17"/>
      <c r="CA10" s="17"/>
      <c r="CB10" s="17"/>
      <c r="CC10" s="17"/>
      <c r="CD10" s="17"/>
      <c r="CE10" s="40"/>
      <c r="CF10" s="17"/>
      <c r="CG10" s="39"/>
      <c r="CH10" s="17"/>
      <c r="CI10" s="17"/>
      <c r="CJ10" s="17"/>
      <c r="CK10" s="17"/>
      <c r="CL10" s="17"/>
      <c r="CM10" s="17"/>
      <c r="CN10" s="17"/>
      <c r="CO10" s="17"/>
      <c r="CP10" s="17"/>
      <c r="CQ10" s="40"/>
      <c r="CR10" s="17"/>
      <c r="CS10" s="39"/>
      <c r="CT10" s="17"/>
      <c r="CU10" s="17"/>
      <c r="CV10" s="17"/>
      <c r="CW10" s="17"/>
      <c r="CX10" s="17"/>
      <c r="CY10" s="17"/>
      <c r="CZ10" s="17"/>
      <c r="DA10" s="17"/>
      <c r="DB10" s="17"/>
      <c r="DC10" s="40"/>
      <c r="DD10" s="17"/>
      <c r="DE10" s="39"/>
      <c r="DF10" s="17"/>
      <c r="DG10" s="17"/>
      <c r="DH10" s="17"/>
      <c r="DI10" s="17"/>
      <c r="DJ10" s="17"/>
      <c r="DK10" s="17"/>
      <c r="DL10" s="17"/>
      <c r="DM10" s="17"/>
      <c r="DN10" s="17"/>
      <c r="DO10" s="40"/>
      <c r="DP10" s="17"/>
      <c r="DQ10" s="39"/>
      <c r="DR10" s="17"/>
      <c r="DS10" s="17"/>
      <c r="DT10" s="17"/>
      <c r="DU10" s="17"/>
      <c r="DV10" s="17"/>
      <c r="DW10" s="17"/>
      <c r="DX10" s="17"/>
      <c r="DY10" s="17"/>
      <c r="DZ10" s="17"/>
      <c r="EA10" s="40"/>
      <c r="EB10" s="17"/>
      <c r="EC10" s="39"/>
      <c r="ED10" s="17"/>
      <c r="EE10" s="17"/>
      <c r="EF10" s="17"/>
      <c r="EG10" s="17"/>
      <c r="EH10" s="17"/>
      <c r="EI10" s="17"/>
      <c r="EJ10" s="17"/>
      <c r="EK10" s="17"/>
      <c r="EL10" s="17"/>
      <c r="EM10" s="40"/>
      <c r="EN10" s="17"/>
      <c r="EO10" s="17"/>
      <c r="EP10" s="38"/>
      <c r="EZ10" s="42"/>
      <c r="FA10" s="17"/>
    </row>
    <row r="11" spans="1:157" x14ac:dyDescent="0.2">
      <c r="A11" s="38"/>
      <c r="K11" s="42"/>
      <c r="L11" s="17"/>
      <c r="M11" s="38"/>
      <c r="W11" s="42"/>
      <c r="X11" s="17"/>
      <c r="Y11" s="38"/>
      <c r="AI11" s="42"/>
      <c r="AJ11" s="17"/>
      <c r="AK11" s="38"/>
      <c r="AU11" s="42"/>
      <c r="AV11" s="17"/>
      <c r="AW11" s="38"/>
      <c r="BG11" s="42"/>
      <c r="BH11" s="17"/>
      <c r="BI11" s="38"/>
      <c r="BS11" s="42"/>
      <c r="BT11" s="17"/>
      <c r="BU11" s="38"/>
      <c r="CE11" s="42"/>
      <c r="CF11" s="17"/>
      <c r="CG11" s="38"/>
      <c r="CQ11" s="42"/>
      <c r="CR11" s="17"/>
      <c r="CS11" s="38"/>
      <c r="DC11" s="42"/>
      <c r="DD11" s="17"/>
      <c r="DE11" s="38"/>
      <c r="DO11" s="42"/>
      <c r="DP11" s="17"/>
      <c r="DQ11" s="38"/>
      <c r="EA11" s="42"/>
      <c r="EB11" s="17"/>
      <c r="EC11" s="38"/>
      <c r="EM11" s="42"/>
      <c r="EN11" s="17"/>
      <c r="EO11" s="17"/>
      <c r="EP11" s="38"/>
      <c r="EZ11" s="42"/>
      <c r="FA11" s="17"/>
    </row>
    <row r="12" spans="1:157" x14ac:dyDescent="0.2">
      <c r="A12" s="38"/>
      <c r="K12" s="43"/>
      <c r="L12" s="17"/>
      <c r="M12" s="38"/>
      <c r="W12" s="43"/>
      <c r="X12" s="17"/>
      <c r="Y12" s="38"/>
      <c r="AI12" s="43"/>
      <c r="AJ12" s="17"/>
      <c r="AK12" s="38"/>
      <c r="AU12" s="43"/>
      <c r="AV12" s="17"/>
      <c r="AW12" s="38"/>
      <c r="BG12" s="43"/>
      <c r="BH12" s="17"/>
      <c r="BI12" s="38"/>
      <c r="BS12" s="43"/>
      <c r="BT12" s="17"/>
      <c r="BU12" s="38"/>
      <c r="CE12" s="43"/>
      <c r="CF12" s="17"/>
      <c r="CG12" s="38"/>
      <c r="CQ12" s="43"/>
      <c r="CR12" s="17"/>
      <c r="CS12" s="38"/>
      <c r="DC12" s="43"/>
      <c r="DD12" s="17"/>
      <c r="DE12" s="38"/>
      <c r="DO12" s="43"/>
      <c r="DP12" s="17"/>
      <c r="DQ12" s="38"/>
      <c r="EA12" s="43"/>
      <c r="EB12" s="17"/>
      <c r="EC12" s="38"/>
      <c r="EM12" s="43"/>
      <c r="EN12" s="17"/>
      <c r="EO12" s="17"/>
      <c r="EP12" s="38"/>
      <c r="EZ12" s="43"/>
      <c r="FA12" s="17"/>
    </row>
    <row r="13" spans="1:157" ht="16.5" thickBot="1" x14ac:dyDescent="0.25">
      <c r="A13" s="44" t="s">
        <v>23</v>
      </c>
      <c r="B13" s="45"/>
      <c r="C13" s="45"/>
      <c r="D13" s="45"/>
      <c r="E13" s="45"/>
      <c r="F13" s="45"/>
      <c r="G13" s="45"/>
      <c r="H13" s="45"/>
      <c r="I13" s="45"/>
      <c r="J13" s="163" t="s">
        <v>34</v>
      </c>
      <c r="K13" s="164"/>
      <c r="L13" s="17"/>
      <c r="M13" s="44" t="s">
        <v>23</v>
      </c>
      <c r="N13" s="45"/>
      <c r="O13" s="45"/>
      <c r="P13" s="45"/>
      <c r="Q13" s="45"/>
      <c r="R13" s="45"/>
      <c r="S13" s="45"/>
      <c r="T13" s="45"/>
      <c r="U13" s="45"/>
      <c r="V13" s="163" t="s">
        <v>34</v>
      </c>
      <c r="W13" s="164"/>
      <c r="X13" s="17"/>
      <c r="Y13" s="44" t="s">
        <v>23</v>
      </c>
      <c r="Z13" s="45"/>
      <c r="AA13" s="45"/>
      <c r="AB13" s="45"/>
      <c r="AC13" s="45"/>
      <c r="AD13" s="45"/>
      <c r="AE13" s="45"/>
      <c r="AF13" s="45"/>
      <c r="AG13" s="45"/>
      <c r="AH13" s="163" t="s">
        <v>34</v>
      </c>
      <c r="AI13" s="164"/>
      <c r="AJ13" s="17"/>
      <c r="AK13" s="44" t="s">
        <v>23</v>
      </c>
      <c r="AL13" s="45"/>
      <c r="AM13" s="45"/>
      <c r="AN13" s="45"/>
      <c r="AO13" s="45"/>
      <c r="AP13" s="45"/>
      <c r="AQ13" s="45"/>
      <c r="AR13" s="45"/>
      <c r="AS13" s="45"/>
      <c r="AT13" s="163" t="s">
        <v>34</v>
      </c>
      <c r="AU13" s="164"/>
      <c r="AV13" s="17"/>
      <c r="AW13" s="44" t="s">
        <v>23</v>
      </c>
      <c r="AX13" s="45"/>
      <c r="AY13" s="45"/>
      <c r="AZ13" s="45"/>
      <c r="BA13" s="45"/>
      <c r="BB13" s="45"/>
      <c r="BC13" s="45"/>
      <c r="BD13" s="45"/>
      <c r="BE13" s="45"/>
      <c r="BF13" s="163" t="s">
        <v>34</v>
      </c>
      <c r="BG13" s="164"/>
      <c r="BH13" s="17"/>
      <c r="BI13" s="44" t="s">
        <v>23</v>
      </c>
      <c r="BJ13" s="45"/>
      <c r="BK13" s="45"/>
      <c r="BL13" s="45"/>
      <c r="BM13" s="45"/>
      <c r="BN13" s="45"/>
      <c r="BO13" s="45"/>
      <c r="BP13" s="45"/>
      <c r="BQ13" s="45"/>
      <c r="BR13" s="163" t="s">
        <v>34</v>
      </c>
      <c r="BS13" s="164"/>
      <c r="BT13" s="17"/>
      <c r="BU13" s="44" t="s">
        <v>23</v>
      </c>
      <c r="BV13" s="45"/>
      <c r="BW13" s="45"/>
      <c r="BX13" s="45"/>
      <c r="BY13" s="45"/>
      <c r="BZ13" s="45"/>
      <c r="CA13" s="45"/>
      <c r="CB13" s="45"/>
      <c r="CC13" s="45"/>
      <c r="CD13" s="163" t="s">
        <v>34</v>
      </c>
      <c r="CE13" s="164"/>
      <c r="CF13" s="17"/>
      <c r="CG13" s="44" t="s">
        <v>23</v>
      </c>
      <c r="CH13" s="45"/>
      <c r="CI13" s="45"/>
      <c r="CJ13" s="45"/>
      <c r="CK13" s="45"/>
      <c r="CL13" s="45"/>
      <c r="CM13" s="45"/>
      <c r="CN13" s="45"/>
      <c r="CO13" s="45"/>
      <c r="CP13" s="163" t="s">
        <v>34</v>
      </c>
      <c r="CQ13" s="164"/>
      <c r="CR13" s="17"/>
      <c r="CS13" s="44" t="s">
        <v>23</v>
      </c>
      <c r="CT13" s="45"/>
      <c r="CU13" s="45"/>
      <c r="CV13" s="45"/>
      <c r="CW13" s="45"/>
      <c r="CX13" s="45"/>
      <c r="CY13" s="45"/>
      <c r="CZ13" s="45"/>
      <c r="DA13" s="45"/>
      <c r="DB13" s="163" t="s">
        <v>34</v>
      </c>
      <c r="DC13" s="164"/>
      <c r="DD13" s="17"/>
      <c r="DE13" s="44" t="s">
        <v>23</v>
      </c>
      <c r="DF13" s="45"/>
      <c r="DG13" s="45"/>
      <c r="DH13" s="45"/>
      <c r="DI13" s="45"/>
      <c r="DJ13" s="45"/>
      <c r="DK13" s="45"/>
      <c r="DL13" s="45"/>
      <c r="DM13" s="45"/>
      <c r="DN13" s="163" t="s">
        <v>34</v>
      </c>
      <c r="DO13" s="164"/>
      <c r="DP13" s="17"/>
      <c r="DQ13" s="44" t="s">
        <v>23</v>
      </c>
      <c r="DR13" s="45"/>
      <c r="DS13" s="45"/>
      <c r="DT13" s="45"/>
      <c r="DU13" s="45"/>
      <c r="DV13" s="45"/>
      <c r="DW13" s="45"/>
      <c r="DX13" s="45"/>
      <c r="DY13" s="45"/>
      <c r="DZ13" s="163" t="s">
        <v>34</v>
      </c>
      <c r="EA13" s="164"/>
      <c r="EB13" s="17"/>
      <c r="EC13" s="44" t="s">
        <v>23</v>
      </c>
      <c r="ED13" s="45"/>
      <c r="EE13" s="45"/>
      <c r="EF13" s="45"/>
      <c r="EG13" s="45"/>
      <c r="EH13" s="45"/>
      <c r="EI13" s="45"/>
      <c r="EJ13" s="45"/>
      <c r="EK13" s="45"/>
      <c r="EL13" s="163" t="s">
        <v>34</v>
      </c>
      <c r="EM13" s="164"/>
      <c r="EN13" s="17"/>
      <c r="EO13" s="17"/>
      <c r="EP13" s="44" t="s">
        <v>23</v>
      </c>
      <c r="EQ13" s="45"/>
      <c r="ER13" s="45"/>
      <c r="ES13" s="45"/>
      <c r="ET13" s="45"/>
      <c r="EU13" s="45"/>
      <c r="EV13" s="45"/>
      <c r="EW13" s="45"/>
      <c r="EX13" s="45"/>
      <c r="EY13" s="163" t="s">
        <v>34</v>
      </c>
      <c r="EZ13" s="164"/>
      <c r="FA13" s="17"/>
    </row>
    <row r="14" spans="1:157" x14ac:dyDescent="0.2">
      <c r="A14" s="19"/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9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9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9"/>
      <c r="AL14" s="17"/>
      <c r="AM14" s="17"/>
      <c r="AN14" s="17"/>
      <c r="AO14" s="17"/>
      <c r="AP14" s="17"/>
      <c r="AQ14" s="17"/>
      <c r="AR14" s="17"/>
      <c r="AS14" s="17"/>
      <c r="AT14" s="17"/>
      <c r="AU14" s="17"/>
      <c r="AV14" s="17"/>
      <c r="AW14" s="19"/>
      <c r="AX14" s="17"/>
      <c r="AY14" s="17"/>
      <c r="AZ14" s="17"/>
      <c r="BA14" s="17"/>
      <c r="BB14" s="17"/>
      <c r="BC14" s="17"/>
      <c r="BD14" s="17"/>
      <c r="BE14" s="17"/>
      <c r="BF14" s="17"/>
      <c r="BG14" s="17"/>
      <c r="BH14" s="17"/>
      <c r="BI14" s="19"/>
      <c r="BJ14" s="17"/>
      <c r="BK14" s="17"/>
      <c r="BL14" s="17"/>
      <c r="BM14" s="17"/>
      <c r="BN14" s="17"/>
      <c r="BO14" s="17"/>
      <c r="BP14" s="17"/>
      <c r="BQ14" s="17"/>
      <c r="BR14" s="17"/>
      <c r="BS14" s="17"/>
      <c r="BT14" s="17"/>
      <c r="BU14" s="19"/>
      <c r="BV14" s="17"/>
      <c r="BW14" s="17"/>
      <c r="BX14" s="17"/>
      <c r="BY14" s="17"/>
      <c r="BZ14" s="17"/>
      <c r="CA14" s="17"/>
      <c r="CB14" s="17"/>
      <c r="CC14" s="17"/>
      <c r="CD14" s="17"/>
      <c r="CE14" s="17"/>
      <c r="CF14" s="17"/>
      <c r="CG14" s="19"/>
      <c r="CH14" s="17"/>
      <c r="CI14" s="17"/>
      <c r="CJ14" s="17"/>
      <c r="CK14" s="17"/>
      <c r="CL14" s="17"/>
      <c r="CM14" s="17"/>
      <c r="CN14" s="17"/>
      <c r="CO14" s="17"/>
      <c r="CP14" s="17"/>
      <c r="CQ14" s="17"/>
      <c r="CR14" s="17"/>
      <c r="CS14" s="19"/>
      <c r="CT14" s="17"/>
      <c r="CU14" s="17"/>
      <c r="CV14" s="17"/>
      <c r="CW14" s="17"/>
      <c r="CX14" s="17"/>
      <c r="CY14" s="17"/>
      <c r="CZ14" s="17"/>
      <c r="DA14" s="17"/>
      <c r="DB14" s="17"/>
      <c r="DC14" s="17"/>
      <c r="DD14" s="17"/>
      <c r="DE14" s="19"/>
      <c r="DF14" s="17"/>
      <c r="DG14" s="17"/>
      <c r="DH14" s="17"/>
      <c r="DI14" s="17"/>
      <c r="DJ14" s="17"/>
      <c r="DK14" s="17"/>
      <c r="DL14" s="17"/>
      <c r="DM14" s="17"/>
      <c r="DN14" s="17"/>
      <c r="DO14" s="17"/>
      <c r="DP14" s="17"/>
      <c r="DQ14" s="19"/>
      <c r="DR14" s="17"/>
      <c r="DS14" s="17"/>
      <c r="DT14" s="17"/>
      <c r="DU14" s="17"/>
      <c r="DV14" s="17"/>
      <c r="DW14" s="17"/>
      <c r="DX14" s="17"/>
      <c r="DY14" s="17"/>
      <c r="DZ14" s="17"/>
      <c r="EA14" s="17"/>
      <c r="EB14" s="17"/>
      <c r="EC14" s="19"/>
      <c r="ED14" s="17"/>
      <c r="EE14" s="17"/>
      <c r="EF14" s="17"/>
      <c r="EG14" s="17"/>
      <c r="EH14" s="17"/>
      <c r="EI14" s="17"/>
      <c r="EJ14" s="17"/>
      <c r="EK14" s="17"/>
      <c r="EL14" s="17"/>
      <c r="EM14" s="17"/>
      <c r="EN14" s="17"/>
      <c r="EO14" s="17"/>
      <c r="EP14" s="19"/>
      <c r="EQ14" s="17"/>
      <c r="ER14" s="17"/>
      <c r="ES14" s="17"/>
      <c r="ET14" s="17"/>
      <c r="EU14" s="17"/>
      <c r="EV14" s="17"/>
      <c r="EW14" s="17"/>
      <c r="EX14" s="17"/>
      <c r="EY14" s="17"/>
      <c r="EZ14" s="17"/>
      <c r="FA14" s="17"/>
    </row>
  </sheetData>
  <mergeCells count="143">
    <mergeCell ref="DF9:DG9"/>
    <mergeCell ref="DE3:DE4"/>
    <mergeCell ref="DF3:DF4"/>
    <mergeCell ref="DG3:DG4"/>
    <mergeCell ref="DH3:DM3"/>
    <mergeCell ref="DO5:DO6"/>
    <mergeCell ref="DO7:DO8"/>
    <mergeCell ref="DN3:DN4"/>
    <mergeCell ref="EZ3:EZ4"/>
    <mergeCell ref="EZ5:EZ6"/>
    <mergeCell ref="EZ7:EZ8"/>
    <mergeCell ref="EQ3:EQ4"/>
    <mergeCell ref="ER3:ER4"/>
    <mergeCell ref="DO3:DO4"/>
    <mergeCell ref="DE5:DE9"/>
    <mergeCell ref="EP3:EP4"/>
    <mergeCell ref="ES3:EX3"/>
    <mergeCell ref="EY3:EY4"/>
    <mergeCell ref="EP5:EP9"/>
    <mergeCell ref="EQ9:ER9"/>
    <mergeCell ref="DS3:DS4"/>
    <mergeCell ref="DT3:DY3"/>
    <mergeCell ref="EA5:EA6"/>
    <mergeCell ref="EA7:EA8"/>
    <mergeCell ref="CP13:CQ13"/>
    <mergeCell ref="DB3:DB4"/>
    <mergeCell ref="DC3:DC4"/>
    <mergeCell ref="CS5:CS9"/>
    <mergeCell ref="CT9:CU9"/>
    <mergeCell ref="CS3:CS4"/>
    <mergeCell ref="CT3:CT4"/>
    <mergeCell ref="CU3:CU4"/>
    <mergeCell ref="CV3:DA3"/>
    <mergeCell ref="DC5:DC6"/>
    <mergeCell ref="DC7:DC8"/>
    <mergeCell ref="CP3:CP4"/>
    <mergeCell ref="CQ3:CQ4"/>
    <mergeCell ref="DB13:DC13"/>
    <mergeCell ref="CH9:CI9"/>
    <mergeCell ref="CG3:CG4"/>
    <mergeCell ref="CH3:CH4"/>
    <mergeCell ref="CI3:CI4"/>
    <mergeCell ref="CJ3:CO3"/>
    <mergeCell ref="CQ5:CQ6"/>
    <mergeCell ref="CQ7:CQ8"/>
    <mergeCell ref="AM3:AM4"/>
    <mergeCell ref="AN3:AS3"/>
    <mergeCell ref="AT3:AT4"/>
    <mergeCell ref="AU3:AU4"/>
    <mergeCell ref="AX3:AX4"/>
    <mergeCell ref="AY3:AY4"/>
    <mergeCell ref="AZ3:BE3"/>
    <mergeCell ref="CD3:CD4"/>
    <mergeCell ref="CE3:CE4"/>
    <mergeCell ref="BU5:BU9"/>
    <mergeCell ref="AK3:AK4"/>
    <mergeCell ref="AL3:AL4"/>
    <mergeCell ref="BK3:BK4"/>
    <mergeCell ref="BL3:BQ3"/>
    <mergeCell ref="CD13:CE13"/>
    <mergeCell ref="BV9:BW9"/>
    <mergeCell ref="BU3:BU4"/>
    <mergeCell ref="BV3:BV4"/>
    <mergeCell ref="BW3:BW4"/>
    <mergeCell ref="BX3:CC3"/>
    <mergeCell ref="CE5:CE6"/>
    <mergeCell ref="CE7:CE8"/>
    <mergeCell ref="BG5:BG6"/>
    <mergeCell ref="BG7:BG8"/>
    <mergeCell ref="BJ9:BK9"/>
    <mergeCell ref="BI5:BI9"/>
    <mergeCell ref="BF13:BG13"/>
    <mergeCell ref="BR3:BR4"/>
    <mergeCell ref="BS3:BS4"/>
    <mergeCell ref="BF3:BF4"/>
    <mergeCell ref="BG3:BG4"/>
    <mergeCell ref="BI3:BI4"/>
    <mergeCell ref="BJ3:BJ4"/>
    <mergeCell ref="AW3:AW4"/>
    <mergeCell ref="J3:J4"/>
    <mergeCell ref="K3:K4"/>
    <mergeCell ref="M3:M4"/>
    <mergeCell ref="N3:N4"/>
    <mergeCell ref="AH3:AH4"/>
    <mergeCell ref="AI3:AI4"/>
    <mergeCell ref="A3:A4"/>
    <mergeCell ref="B3:B4"/>
    <mergeCell ref="C3:C4"/>
    <mergeCell ref="D3:I3"/>
    <mergeCell ref="Y3:Y4"/>
    <mergeCell ref="Z3:Z4"/>
    <mergeCell ref="AA3:AA4"/>
    <mergeCell ref="AB3:AG3"/>
    <mergeCell ref="O3:O4"/>
    <mergeCell ref="P3:U3"/>
    <mergeCell ref="V3:V4"/>
    <mergeCell ref="W3:W4"/>
    <mergeCell ref="A5:A9"/>
    <mergeCell ref="M5:M9"/>
    <mergeCell ref="Y5:Y9"/>
    <mergeCell ref="AK5:AK9"/>
    <mergeCell ref="K7:K8"/>
    <mergeCell ref="W5:W6"/>
    <mergeCell ref="W7:W8"/>
    <mergeCell ref="AI5:AI6"/>
    <mergeCell ref="AI7:AI8"/>
    <mergeCell ref="J13:K13"/>
    <mergeCell ref="B9:C9"/>
    <mergeCell ref="N9:O9"/>
    <mergeCell ref="Z9:AA9"/>
    <mergeCell ref="AL9:AM9"/>
    <mergeCell ref="AX9:AY9"/>
    <mergeCell ref="AU5:AU6"/>
    <mergeCell ref="AU7:AU8"/>
    <mergeCell ref="K5:K6"/>
    <mergeCell ref="AW5:AW9"/>
    <mergeCell ref="V13:W13"/>
    <mergeCell ref="AH13:AI13"/>
    <mergeCell ref="AT13:AU13"/>
    <mergeCell ref="DN13:DO13"/>
    <mergeCell ref="DZ13:EA13"/>
    <mergeCell ref="EL13:EM13"/>
    <mergeCell ref="EY13:EZ13"/>
    <mergeCell ref="BS5:BS6"/>
    <mergeCell ref="BS7:BS8"/>
    <mergeCell ref="BR13:BS13"/>
    <mergeCell ref="EL3:EL4"/>
    <mergeCell ref="EM3:EM4"/>
    <mergeCell ref="EC5:EC9"/>
    <mergeCell ref="ED9:EE9"/>
    <mergeCell ref="EC3:EC4"/>
    <mergeCell ref="ED3:ED4"/>
    <mergeCell ref="EE3:EE4"/>
    <mergeCell ref="EF3:EK3"/>
    <mergeCell ref="EM5:EM6"/>
    <mergeCell ref="EM7:EM8"/>
    <mergeCell ref="DZ3:DZ4"/>
    <mergeCell ref="EA3:EA4"/>
    <mergeCell ref="DQ5:DQ9"/>
    <mergeCell ref="DR9:DS9"/>
    <mergeCell ref="DQ3:DQ4"/>
    <mergeCell ref="DR3:DR4"/>
    <mergeCell ref="CG5:CG9"/>
  </mergeCells>
  <phoneticPr fontId="0" type="noConversion"/>
  <printOptions horizontalCentered="1" verticalCentered="1"/>
  <pageMargins left="0.35433070866141736" right="0.35433070866141736" top="0.39370078740157483" bottom="0.39370078740157483" header="0.51181102362204722" footer="0.51181102362204722"/>
  <pageSetup paperSize="9" scale="10" pageOrder="overThenDown" orientation="portrait" horizontalDpi="360" verticalDpi="18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أوراق العمل</vt:lpstr>
      </vt:variant>
      <vt:variant>
        <vt:i4>2</vt:i4>
      </vt:variant>
      <vt:variant>
        <vt:lpstr>نطاقات تمت تسميتها</vt:lpstr>
      </vt:variant>
      <vt:variant>
        <vt:i4>1</vt:i4>
      </vt:variant>
    </vt:vector>
  </HeadingPairs>
  <TitlesOfParts>
    <vt:vector size="3" baseType="lpstr">
      <vt:lpstr>سكان وأسر</vt:lpstr>
      <vt:lpstr>الإجمالي</vt:lpstr>
      <vt:lpstr>'سكان وأسر'!Print_Titles</vt:lpstr>
    </vt:vector>
  </TitlesOfParts>
  <Company>مؤسسة سارة التجارية بصبيح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يحي</dc:creator>
  <cp:lastModifiedBy>Entesar Mansor Hamoud Aljedani</cp:lastModifiedBy>
  <cp:lastPrinted>2017-05-02T09:53:09Z</cp:lastPrinted>
  <dcterms:created xsi:type="dcterms:W3CDTF">2001-04-25T06:34:56Z</dcterms:created>
  <dcterms:modified xsi:type="dcterms:W3CDTF">2026-04-13T05:49:08Z</dcterms:modified>
</cp:coreProperties>
</file>