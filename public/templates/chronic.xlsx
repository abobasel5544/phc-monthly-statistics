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ljedani\Desktop\كراسة الانشطة شهر 10\"/>
    </mc:Choice>
  </mc:AlternateContent>
  <bookViews>
    <workbookView xWindow="0" yWindow="0" windowWidth="28800" windowHeight="12450" tabRatio="632"/>
  </bookViews>
  <sheets>
    <sheet name="الأمراض المزمنة" sheetId="1" r:id="rId1"/>
    <sheet name="إجمالية" sheetId="2" r:id="rId2"/>
  </sheets>
  <definedNames>
    <definedName name="_xlnm.Print_Titles" localSheetId="0">'الأمراض المزمنة'!$1:$4</definedName>
  </definedNames>
  <calcPr calcId="152511"/>
</workbook>
</file>

<file path=xl/calcChain.xml><?xml version="1.0" encoding="utf-8"?>
<calcChain xmlns="http://schemas.openxmlformats.org/spreadsheetml/2006/main">
  <c r="FC51" i="1" l="1"/>
  <c r="FB51" i="1"/>
  <c r="FA51" i="1"/>
  <c r="EZ51" i="1"/>
  <c r="EY51" i="1"/>
  <c r="EX51" i="1"/>
  <c r="EW51" i="1"/>
  <c r="EV51" i="1"/>
  <c r="ET51" i="1"/>
  <c r="ES51" i="1"/>
  <c r="ER51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M51" i="1" l="1"/>
  <c r="EL51" i="1"/>
  <c r="EK51" i="1"/>
  <c r="EJ51" i="1"/>
  <c r="EI51" i="1"/>
  <c r="EH51" i="1"/>
  <c r="EG51" i="1"/>
  <c r="EF51" i="1"/>
  <c r="EE51" i="1"/>
  <c r="ED51" i="1"/>
  <c r="EC51" i="1"/>
  <c r="EB51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M27" i="1"/>
  <c r="EL27" i="1"/>
  <c r="EK27" i="1"/>
  <c r="EJ27" i="1"/>
  <c r="EI27" i="1"/>
  <c r="EH27" i="1"/>
  <c r="EG27" i="1"/>
  <c r="EF27" i="1"/>
  <c r="EE27" i="1"/>
  <c r="ED27" i="1"/>
  <c r="EC27" i="1"/>
  <c r="EB27" i="1"/>
  <c r="EM21" i="1"/>
  <c r="EL21" i="1"/>
  <c r="EK21" i="1"/>
  <c r="EJ21" i="1"/>
  <c r="EI21" i="1"/>
  <c r="EH21" i="1"/>
  <c r="EG21" i="1"/>
  <c r="EF21" i="1"/>
  <c r="EE21" i="1"/>
  <c r="ED21" i="1"/>
  <c r="EC21" i="1"/>
  <c r="EB21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M9" i="1"/>
  <c r="EL9" i="1"/>
  <c r="EK9" i="1"/>
  <c r="EJ9" i="1"/>
  <c r="EI9" i="1"/>
  <c r="EH9" i="1"/>
  <c r="EG9" i="1"/>
  <c r="EF9" i="1"/>
  <c r="EE9" i="1"/>
  <c r="ED9" i="1"/>
  <c r="EC9" i="1"/>
  <c r="EB9" i="1"/>
  <c r="DW69" i="1" l="1"/>
  <c r="DV69" i="1"/>
  <c r="DU69" i="1"/>
  <c r="DT69" i="1"/>
  <c r="DS69" i="1"/>
  <c r="DR69" i="1"/>
  <c r="DQ69" i="1"/>
  <c r="DP69" i="1"/>
  <c r="DO69" i="1"/>
  <c r="DN69" i="1"/>
  <c r="DM69" i="1"/>
  <c r="DL69" i="1"/>
  <c r="DW63" i="1"/>
  <c r="DV63" i="1"/>
  <c r="DU63" i="1"/>
  <c r="DT63" i="1"/>
  <c r="DS63" i="1"/>
  <c r="DR63" i="1"/>
  <c r="DQ63" i="1"/>
  <c r="DP63" i="1"/>
  <c r="DO63" i="1"/>
  <c r="DN63" i="1"/>
  <c r="DM63" i="1"/>
  <c r="DL63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W39" i="1"/>
  <c r="DV39" i="1"/>
  <c r="DU39" i="1"/>
  <c r="DT39" i="1"/>
  <c r="DS39" i="1"/>
  <c r="DR39" i="1"/>
  <c r="DQ39" i="1"/>
  <c r="DP39" i="1"/>
  <c r="DO39" i="1"/>
  <c r="DN39" i="1"/>
  <c r="DM39" i="1"/>
  <c r="DL39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W9" i="1"/>
  <c r="DV9" i="1"/>
  <c r="DU9" i="1"/>
  <c r="DT9" i="1"/>
  <c r="DS9" i="1"/>
  <c r="DR9" i="1"/>
  <c r="DQ9" i="1"/>
  <c r="DP9" i="1"/>
  <c r="DO9" i="1"/>
  <c r="DN9" i="1"/>
  <c r="DM9" i="1"/>
  <c r="DL9" i="1"/>
  <c r="CI57" i="1"/>
  <c r="GY76" i="1" l="1"/>
  <c r="GV76" i="1"/>
  <c r="GR76" i="1"/>
  <c r="GY70" i="1"/>
  <c r="GV70" i="1"/>
  <c r="GR70" i="1"/>
  <c r="GY64" i="1"/>
  <c r="GV64" i="1"/>
  <c r="GR64" i="1"/>
  <c r="GY58" i="1"/>
  <c r="GV58" i="1"/>
  <c r="GR58" i="1"/>
  <c r="GY52" i="1"/>
  <c r="GV52" i="1"/>
  <c r="GR52" i="1"/>
  <c r="GY46" i="1"/>
  <c r="GV46" i="1"/>
  <c r="GR46" i="1"/>
  <c r="GY40" i="1"/>
  <c r="GV40" i="1"/>
  <c r="GR40" i="1"/>
  <c r="GY34" i="1"/>
  <c r="GV34" i="1"/>
  <c r="GR34" i="1"/>
  <c r="GY28" i="1"/>
  <c r="GV28" i="1"/>
  <c r="GR28" i="1"/>
  <c r="GY22" i="1"/>
  <c r="GV22" i="1"/>
  <c r="GR22" i="1"/>
  <c r="GY16" i="1"/>
  <c r="GV16" i="1"/>
  <c r="GR16" i="1"/>
  <c r="GY10" i="1"/>
  <c r="GV10" i="1"/>
  <c r="GR10" i="1"/>
  <c r="GI86" i="1"/>
  <c r="GF86" i="1"/>
  <c r="GB86" i="1"/>
  <c r="FS86" i="1"/>
  <c r="FP86" i="1"/>
  <c r="FL86" i="1"/>
  <c r="FC86" i="1"/>
  <c r="EZ86" i="1"/>
  <c r="EV86" i="1"/>
  <c r="EM86" i="1"/>
  <c r="EJ86" i="1"/>
  <c r="EF86" i="1"/>
  <c r="DW86" i="1"/>
  <c r="DT86" i="1"/>
  <c r="DP86" i="1"/>
  <c r="DG86" i="1"/>
  <c r="DD86" i="1"/>
  <c r="CZ86" i="1"/>
  <c r="CQ86" i="1"/>
  <c r="CN86" i="1"/>
  <c r="CJ86" i="1"/>
  <c r="CA86" i="1"/>
  <c r="BX86" i="1"/>
  <c r="BT86" i="1"/>
  <c r="BK86" i="1"/>
  <c r="BH86" i="1"/>
  <c r="BD86" i="1"/>
  <c r="AU86" i="1"/>
  <c r="AR86" i="1"/>
  <c r="AN86" i="1"/>
  <c r="AE86" i="1"/>
  <c r="AB86" i="1"/>
  <c r="X86" i="1"/>
  <c r="O86" i="1"/>
  <c r="L86" i="1"/>
  <c r="H86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GI83" i="1"/>
  <c r="GH83" i="1"/>
  <c r="GG83" i="1"/>
  <c r="GF83" i="1"/>
  <c r="GE83" i="1"/>
  <c r="GD83" i="1"/>
  <c r="GC83" i="1"/>
  <c r="GB83" i="1"/>
  <c r="GA83" i="1"/>
  <c r="FZ83" i="1"/>
  <c r="FY83" i="1"/>
  <c r="FX83" i="1"/>
  <c r="GI82" i="1"/>
  <c r="GH82" i="1"/>
  <c r="GG82" i="1"/>
  <c r="GF82" i="1"/>
  <c r="GE82" i="1"/>
  <c r="GD82" i="1"/>
  <c r="GC82" i="1"/>
  <c r="GB82" i="1"/>
  <c r="GA82" i="1"/>
  <c r="FZ82" i="1"/>
  <c r="FY82" i="1"/>
  <c r="FX82" i="1"/>
  <c r="GI81" i="1"/>
  <c r="GI85" i="1" s="1"/>
  <c r="GH81" i="1"/>
  <c r="GH85" i="1" s="1"/>
  <c r="GG81" i="1"/>
  <c r="GG85" i="1" s="1"/>
  <c r="GF81" i="1"/>
  <c r="GF85" i="1" s="1"/>
  <c r="GE81" i="1"/>
  <c r="GE85" i="1" s="1"/>
  <c r="GD81" i="1"/>
  <c r="GD85" i="1" s="1"/>
  <c r="GC81" i="1"/>
  <c r="GC85" i="1" s="1"/>
  <c r="GB81" i="1"/>
  <c r="GB85" i="1" s="1"/>
  <c r="GA81" i="1"/>
  <c r="GA85" i="1" s="1"/>
  <c r="FZ81" i="1"/>
  <c r="FZ85" i="1" s="1"/>
  <c r="FY81" i="1"/>
  <c r="FY85" i="1" s="1"/>
  <c r="FX81" i="1"/>
  <c r="FX85" i="1" s="1"/>
  <c r="GA78" i="1"/>
  <c r="FY78" i="1"/>
  <c r="GI75" i="1"/>
  <c r="GH75" i="1"/>
  <c r="GG75" i="1"/>
  <c r="GF75" i="1"/>
  <c r="GE75" i="1"/>
  <c r="GD75" i="1"/>
  <c r="GC75" i="1"/>
  <c r="GB75" i="1"/>
  <c r="GA75" i="1"/>
  <c r="FZ75" i="1"/>
  <c r="FY75" i="1"/>
  <c r="FX75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GI63" i="1"/>
  <c r="GH63" i="1"/>
  <c r="GG63" i="1"/>
  <c r="GF63" i="1"/>
  <c r="GE63" i="1"/>
  <c r="GD63" i="1"/>
  <c r="GC63" i="1"/>
  <c r="GB63" i="1"/>
  <c r="GA63" i="1"/>
  <c r="FZ63" i="1"/>
  <c r="FY63" i="1"/>
  <c r="FX63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GI39" i="1"/>
  <c r="GH39" i="1"/>
  <c r="GG39" i="1"/>
  <c r="GF39" i="1"/>
  <c r="GE39" i="1"/>
  <c r="GD39" i="1"/>
  <c r="GC39" i="1"/>
  <c r="GB39" i="1"/>
  <c r="GA39" i="1"/>
  <c r="FZ39" i="1"/>
  <c r="FY39" i="1"/>
  <c r="FX39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GI27" i="1"/>
  <c r="GH27" i="1"/>
  <c r="GG27" i="1"/>
  <c r="GF27" i="1"/>
  <c r="GE27" i="1"/>
  <c r="GD27" i="1"/>
  <c r="GC27" i="1"/>
  <c r="GB27" i="1"/>
  <c r="GA27" i="1"/>
  <c r="FZ27" i="1"/>
  <c r="FY27" i="1"/>
  <c r="FX27" i="1"/>
  <c r="GI21" i="1"/>
  <c r="GH21" i="1"/>
  <c r="GG21" i="1"/>
  <c r="GF21" i="1"/>
  <c r="GE21" i="1"/>
  <c r="GD21" i="1"/>
  <c r="GC21" i="1"/>
  <c r="GB21" i="1"/>
  <c r="GA21" i="1"/>
  <c r="FZ21" i="1"/>
  <c r="FY21" i="1"/>
  <c r="FX21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GI9" i="1"/>
  <c r="GH9" i="1"/>
  <c r="GG9" i="1"/>
  <c r="GF9" i="1"/>
  <c r="GE9" i="1"/>
  <c r="GD9" i="1"/>
  <c r="GC9" i="1"/>
  <c r="GB9" i="1"/>
  <c r="GA9" i="1"/>
  <c r="FZ9" i="1"/>
  <c r="FY9" i="1"/>
  <c r="FX9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S81" i="1"/>
  <c r="FS85" i="1" s="1"/>
  <c r="FR81" i="1"/>
  <c r="FR85" i="1" s="1"/>
  <c r="FQ81" i="1"/>
  <c r="FQ85" i="1" s="1"/>
  <c r="FP81" i="1"/>
  <c r="FP85" i="1" s="1"/>
  <c r="FO81" i="1"/>
  <c r="FO85" i="1" s="1"/>
  <c r="FN81" i="1"/>
  <c r="FN85" i="1" s="1"/>
  <c r="FM81" i="1"/>
  <c r="FM85" i="1" s="1"/>
  <c r="FL81" i="1"/>
  <c r="FL85" i="1" s="1"/>
  <c r="FK81" i="1"/>
  <c r="FK85" i="1" s="1"/>
  <c r="FJ81" i="1"/>
  <c r="FJ85" i="1" s="1"/>
  <c r="FI81" i="1"/>
  <c r="FI85" i="1" s="1"/>
  <c r="FH81" i="1"/>
  <c r="FH85" i="1" s="1"/>
  <c r="FK78" i="1"/>
  <c r="FI78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S9" i="1"/>
  <c r="FR9" i="1"/>
  <c r="FQ9" i="1"/>
  <c r="FP9" i="1"/>
  <c r="FO9" i="1"/>
  <c r="FN9" i="1"/>
  <c r="FM9" i="1"/>
  <c r="FL9" i="1"/>
  <c r="FK9" i="1"/>
  <c r="FJ9" i="1"/>
  <c r="FI9" i="1"/>
  <c r="FH9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FC81" i="1"/>
  <c r="FC85" i="1" s="1"/>
  <c r="FB81" i="1"/>
  <c r="FB85" i="1" s="1"/>
  <c r="FA81" i="1"/>
  <c r="FA85" i="1" s="1"/>
  <c r="EZ81" i="1"/>
  <c r="EZ85" i="1" s="1"/>
  <c r="EY81" i="1"/>
  <c r="EY85" i="1" s="1"/>
  <c r="EX81" i="1"/>
  <c r="EX85" i="1" s="1"/>
  <c r="EW81" i="1"/>
  <c r="EW85" i="1" s="1"/>
  <c r="EV81" i="1"/>
  <c r="EV85" i="1" s="1"/>
  <c r="EU81" i="1"/>
  <c r="EU85" i="1" s="1"/>
  <c r="ET81" i="1"/>
  <c r="ET85" i="1" s="1"/>
  <c r="ES81" i="1"/>
  <c r="ES85" i="1" s="1"/>
  <c r="ER81" i="1"/>
  <c r="ER85" i="1" s="1"/>
  <c r="EU78" i="1"/>
  <c r="ES78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FC9" i="1"/>
  <c r="FB9" i="1"/>
  <c r="FA9" i="1"/>
  <c r="EZ9" i="1"/>
  <c r="EY9" i="1"/>
  <c r="EX9" i="1"/>
  <c r="EW9" i="1"/>
  <c r="EV9" i="1"/>
  <c r="EU9" i="1"/>
  <c r="ET9" i="1"/>
  <c r="ES9" i="1"/>
  <c r="ER9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M83" i="1"/>
  <c r="EL83" i="1"/>
  <c r="EK83" i="1"/>
  <c r="EJ83" i="1"/>
  <c r="EI83" i="1"/>
  <c r="EH83" i="1"/>
  <c r="EG83" i="1"/>
  <c r="EF83" i="1"/>
  <c r="EE83" i="1"/>
  <c r="ED83" i="1"/>
  <c r="EC83" i="1"/>
  <c r="EB83" i="1"/>
  <c r="EM82" i="1"/>
  <c r="EL82" i="1"/>
  <c r="EK82" i="1"/>
  <c r="EJ82" i="1"/>
  <c r="EI82" i="1"/>
  <c r="EH82" i="1"/>
  <c r="EG82" i="1"/>
  <c r="EF82" i="1"/>
  <c r="EE82" i="1"/>
  <c r="ED82" i="1"/>
  <c r="EC82" i="1"/>
  <c r="EB82" i="1"/>
  <c r="EM81" i="1"/>
  <c r="EM85" i="1" s="1"/>
  <c r="EL81" i="1"/>
  <c r="EL85" i="1" s="1"/>
  <c r="EK81" i="1"/>
  <c r="EK85" i="1" s="1"/>
  <c r="EJ81" i="1"/>
  <c r="EJ85" i="1" s="1"/>
  <c r="EI81" i="1"/>
  <c r="EI85" i="1" s="1"/>
  <c r="EH81" i="1"/>
  <c r="EH85" i="1" s="1"/>
  <c r="EG81" i="1"/>
  <c r="EG85" i="1" s="1"/>
  <c r="EF81" i="1"/>
  <c r="EF85" i="1" s="1"/>
  <c r="EE81" i="1"/>
  <c r="EE85" i="1" s="1"/>
  <c r="ED81" i="1"/>
  <c r="ED85" i="1" s="1"/>
  <c r="EC81" i="1"/>
  <c r="EC85" i="1" s="1"/>
  <c r="EB81" i="1"/>
  <c r="EB85" i="1" s="1"/>
  <c r="EE78" i="1"/>
  <c r="EC78" i="1"/>
  <c r="EM75" i="1"/>
  <c r="EL75" i="1"/>
  <c r="EK75" i="1"/>
  <c r="EJ75" i="1"/>
  <c r="EI75" i="1"/>
  <c r="EH75" i="1"/>
  <c r="EG75" i="1"/>
  <c r="EF75" i="1"/>
  <c r="EE75" i="1"/>
  <c r="ED75" i="1"/>
  <c r="EC75" i="1"/>
  <c r="EB75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M63" i="1"/>
  <c r="EL63" i="1"/>
  <c r="EK63" i="1"/>
  <c r="EJ63" i="1"/>
  <c r="EI63" i="1"/>
  <c r="EH63" i="1"/>
  <c r="EG63" i="1"/>
  <c r="EF63" i="1"/>
  <c r="EE63" i="1"/>
  <c r="ED63" i="1"/>
  <c r="EC63" i="1"/>
  <c r="EB63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W83" i="1"/>
  <c r="DV83" i="1"/>
  <c r="DU83" i="1"/>
  <c r="DT83" i="1"/>
  <c r="DS83" i="1"/>
  <c r="DR83" i="1"/>
  <c r="DQ83" i="1"/>
  <c r="DP83" i="1"/>
  <c r="DO83" i="1"/>
  <c r="DN83" i="1"/>
  <c r="DM83" i="1"/>
  <c r="DL83" i="1"/>
  <c r="DW82" i="1"/>
  <c r="DV82" i="1"/>
  <c r="DU82" i="1"/>
  <c r="DT82" i="1"/>
  <c r="DS82" i="1"/>
  <c r="DR82" i="1"/>
  <c r="DQ82" i="1"/>
  <c r="DP82" i="1"/>
  <c r="DO82" i="1"/>
  <c r="DN82" i="1"/>
  <c r="DM82" i="1"/>
  <c r="DL82" i="1"/>
  <c r="DW81" i="1"/>
  <c r="DW85" i="1" s="1"/>
  <c r="DV81" i="1"/>
  <c r="DV85" i="1" s="1"/>
  <c r="DU81" i="1"/>
  <c r="DU85" i="1" s="1"/>
  <c r="DT81" i="1"/>
  <c r="DT85" i="1" s="1"/>
  <c r="DS81" i="1"/>
  <c r="DS85" i="1" s="1"/>
  <c r="DR81" i="1"/>
  <c r="DR85" i="1" s="1"/>
  <c r="DQ81" i="1"/>
  <c r="DQ85" i="1" s="1"/>
  <c r="DP81" i="1"/>
  <c r="DP85" i="1" s="1"/>
  <c r="DO81" i="1"/>
  <c r="DO85" i="1" s="1"/>
  <c r="DN81" i="1"/>
  <c r="DN85" i="1" s="1"/>
  <c r="DM81" i="1"/>
  <c r="DM85" i="1" s="1"/>
  <c r="DL81" i="1"/>
  <c r="DL85" i="1" s="1"/>
  <c r="DO78" i="1"/>
  <c r="DM78" i="1"/>
  <c r="DW75" i="1"/>
  <c r="DV75" i="1"/>
  <c r="DU75" i="1"/>
  <c r="DT75" i="1"/>
  <c r="DS75" i="1"/>
  <c r="DR75" i="1"/>
  <c r="DQ75" i="1"/>
  <c r="DP75" i="1"/>
  <c r="DO75" i="1"/>
  <c r="DN75" i="1"/>
  <c r="DM75" i="1"/>
  <c r="DL75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DG81" i="1"/>
  <c r="DG85" i="1" s="1"/>
  <c r="DF81" i="1"/>
  <c r="DF85" i="1" s="1"/>
  <c r="DE81" i="1"/>
  <c r="DE85" i="1" s="1"/>
  <c r="DD81" i="1"/>
  <c r="DD85" i="1" s="1"/>
  <c r="DC81" i="1"/>
  <c r="DC85" i="1" s="1"/>
  <c r="DB81" i="1"/>
  <c r="DA81" i="1"/>
  <c r="DA85" i="1" s="1"/>
  <c r="CZ81" i="1"/>
  <c r="CZ85" i="1" s="1"/>
  <c r="CY81" i="1"/>
  <c r="CY85" i="1" s="1"/>
  <c r="CX81" i="1"/>
  <c r="CX85" i="1" s="1"/>
  <c r="CW81" i="1"/>
  <c r="CW85" i="1" s="1"/>
  <c r="CV81" i="1"/>
  <c r="CV85" i="1" s="1"/>
  <c r="CY78" i="1"/>
  <c r="CW78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Q81" i="1"/>
  <c r="CQ85" i="1" s="1"/>
  <c r="CP81" i="1"/>
  <c r="CP85" i="1" s="1"/>
  <c r="CO81" i="1"/>
  <c r="CO85" i="1" s="1"/>
  <c r="CN81" i="1"/>
  <c r="CN85" i="1" s="1"/>
  <c r="CM81" i="1"/>
  <c r="CM85" i="1" s="1"/>
  <c r="CL81" i="1"/>
  <c r="CL85" i="1" s="1"/>
  <c r="CK81" i="1"/>
  <c r="CK85" i="1" s="1"/>
  <c r="CJ81" i="1"/>
  <c r="CJ85" i="1" s="1"/>
  <c r="CI81" i="1"/>
  <c r="CI85" i="1" s="1"/>
  <c r="CH81" i="1"/>
  <c r="CH85" i="1" s="1"/>
  <c r="CG81" i="1"/>
  <c r="CG85" i="1" s="1"/>
  <c r="CF81" i="1"/>
  <c r="CF85" i="1" s="1"/>
  <c r="CI78" i="1"/>
  <c r="CG78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Q57" i="1"/>
  <c r="CP57" i="1"/>
  <c r="CO57" i="1"/>
  <c r="CN57" i="1"/>
  <c r="CM57" i="1"/>
  <c r="CL57" i="1"/>
  <c r="CK57" i="1"/>
  <c r="CJ57" i="1"/>
  <c r="CH57" i="1"/>
  <c r="CG57" i="1"/>
  <c r="CF57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Q9" i="1"/>
  <c r="CP9" i="1"/>
  <c r="CO9" i="1"/>
  <c r="CN9" i="1"/>
  <c r="CM9" i="1"/>
  <c r="CL9" i="1"/>
  <c r="CK9" i="1"/>
  <c r="CJ9" i="1"/>
  <c r="CI9" i="1"/>
  <c r="CH9" i="1"/>
  <c r="CG9" i="1"/>
  <c r="CF9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CA81" i="1"/>
  <c r="CA85" i="1" s="1"/>
  <c r="BZ81" i="1"/>
  <c r="BZ85" i="1" s="1"/>
  <c r="BY81" i="1"/>
  <c r="BY85" i="1" s="1"/>
  <c r="BX81" i="1"/>
  <c r="BX85" i="1" s="1"/>
  <c r="BW81" i="1"/>
  <c r="BW85" i="1" s="1"/>
  <c r="BV81" i="1"/>
  <c r="BV85" i="1" s="1"/>
  <c r="BU81" i="1"/>
  <c r="BU85" i="1" s="1"/>
  <c r="BT81" i="1"/>
  <c r="BT85" i="1" s="1"/>
  <c r="BS81" i="1"/>
  <c r="BS85" i="1" s="1"/>
  <c r="BR81" i="1"/>
  <c r="BR85" i="1" s="1"/>
  <c r="BQ81" i="1"/>
  <c r="BQ85" i="1" s="1"/>
  <c r="BP81" i="1"/>
  <c r="BP85" i="1" s="1"/>
  <c r="BS78" i="1"/>
  <c r="BQ78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CA9" i="1"/>
  <c r="BZ9" i="1"/>
  <c r="BY9" i="1"/>
  <c r="BX9" i="1"/>
  <c r="BW9" i="1"/>
  <c r="BV9" i="1"/>
  <c r="BU9" i="1"/>
  <c r="BT9" i="1"/>
  <c r="BS9" i="1"/>
  <c r="BR9" i="1"/>
  <c r="BQ9" i="1"/>
  <c r="BP9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BK81" i="1"/>
  <c r="BK85" i="1" s="1"/>
  <c r="BJ81" i="1"/>
  <c r="BJ85" i="1" s="1"/>
  <c r="BI81" i="1"/>
  <c r="BI85" i="1" s="1"/>
  <c r="BH81" i="1"/>
  <c r="BH85" i="1" s="1"/>
  <c r="BG81" i="1"/>
  <c r="BG85" i="1" s="1"/>
  <c r="BF81" i="1"/>
  <c r="BF85" i="1" s="1"/>
  <c r="BE81" i="1"/>
  <c r="BD81" i="1"/>
  <c r="BD85" i="1" s="1"/>
  <c r="BC81" i="1"/>
  <c r="BB81" i="1"/>
  <c r="BB85" i="1" s="1"/>
  <c r="BA81" i="1"/>
  <c r="BA85" i="1" s="1"/>
  <c r="AZ81" i="1"/>
  <c r="AZ85" i="1" s="1"/>
  <c r="BC78" i="1"/>
  <c r="BA78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BK9" i="1"/>
  <c r="BJ9" i="1"/>
  <c r="BI9" i="1"/>
  <c r="BH9" i="1"/>
  <c r="BG9" i="1"/>
  <c r="BF9" i="1"/>
  <c r="BE9" i="1"/>
  <c r="BD9" i="1"/>
  <c r="BC9" i="1"/>
  <c r="BB9" i="1"/>
  <c r="BA9" i="1"/>
  <c r="AZ9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U81" i="1"/>
  <c r="AU85" i="1" s="1"/>
  <c r="AT81" i="1"/>
  <c r="AT85" i="1" s="1"/>
  <c r="AS81" i="1"/>
  <c r="AS85" i="1" s="1"/>
  <c r="AR81" i="1"/>
  <c r="AR85" i="1" s="1"/>
  <c r="AQ81" i="1"/>
  <c r="AP81" i="1"/>
  <c r="AP85" i="1" s="1"/>
  <c r="AO81" i="1"/>
  <c r="AO85" i="1" s="1"/>
  <c r="AN81" i="1"/>
  <c r="AN85" i="1" s="1"/>
  <c r="AM81" i="1"/>
  <c r="AM85" i="1" s="1"/>
  <c r="AL81" i="1"/>
  <c r="AL85" i="1" s="1"/>
  <c r="AK81" i="1"/>
  <c r="AK85" i="1" s="1"/>
  <c r="AJ81" i="1"/>
  <c r="AJ85" i="1" s="1"/>
  <c r="AM78" i="1"/>
  <c r="AK78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E84" i="1"/>
  <c r="AD84" i="1"/>
  <c r="AC84" i="1"/>
  <c r="AB84" i="1"/>
  <c r="AA84" i="1"/>
  <c r="Z84" i="1"/>
  <c r="Y84" i="1"/>
  <c r="X84" i="1"/>
  <c r="W84" i="1"/>
  <c r="V84" i="1"/>
  <c r="U84" i="1"/>
  <c r="T84" i="1"/>
  <c r="AE83" i="1"/>
  <c r="AD83" i="1"/>
  <c r="AC83" i="1"/>
  <c r="AB83" i="1"/>
  <c r="AA83" i="1"/>
  <c r="Z83" i="1"/>
  <c r="Y83" i="1"/>
  <c r="X83" i="1"/>
  <c r="W83" i="1"/>
  <c r="V83" i="1"/>
  <c r="U83" i="1"/>
  <c r="T83" i="1"/>
  <c r="AE82" i="1"/>
  <c r="AD82" i="1"/>
  <c r="AC82" i="1"/>
  <c r="AB82" i="1"/>
  <c r="AA82" i="1"/>
  <c r="Z82" i="1"/>
  <c r="Y82" i="1"/>
  <c r="X82" i="1"/>
  <c r="W82" i="1"/>
  <c r="V82" i="1"/>
  <c r="U82" i="1"/>
  <c r="T82" i="1"/>
  <c r="AE81" i="1"/>
  <c r="AD81" i="1"/>
  <c r="AD85" i="1" s="1"/>
  <c r="AC81" i="1"/>
  <c r="AC85" i="1" s="1"/>
  <c r="AB81" i="1"/>
  <c r="AB85" i="1" s="1"/>
  <c r="AA81" i="1"/>
  <c r="AA85" i="1" s="1"/>
  <c r="Z81" i="1"/>
  <c r="Z85" i="1" s="1"/>
  <c r="Y81" i="1"/>
  <c r="Y85" i="1" s="1"/>
  <c r="X81" i="1"/>
  <c r="X85" i="1" s="1"/>
  <c r="W81" i="1"/>
  <c r="W85" i="1" s="1"/>
  <c r="V81" i="1"/>
  <c r="V85" i="1" s="1"/>
  <c r="U81" i="1"/>
  <c r="U85" i="1" s="1"/>
  <c r="T81" i="1"/>
  <c r="T85" i="1" s="1"/>
  <c r="W78" i="1"/>
  <c r="U78" i="1"/>
  <c r="AE75" i="1"/>
  <c r="AD75" i="1"/>
  <c r="AC75" i="1"/>
  <c r="AB75" i="1"/>
  <c r="AA75" i="1"/>
  <c r="Z75" i="1"/>
  <c r="Y75" i="1"/>
  <c r="X75" i="1"/>
  <c r="W75" i="1"/>
  <c r="V75" i="1"/>
  <c r="U75" i="1"/>
  <c r="T75" i="1"/>
  <c r="AE69" i="1"/>
  <c r="AD69" i="1"/>
  <c r="AC69" i="1"/>
  <c r="AB69" i="1"/>
  <c r="AA69" i="1"/>
  <c r="Z69" i="1"/>
  <c r="Y69" i="1"/>
  <c r="X69" i="1"/>
  <c r="W69" i="1"/>
  <c r="V69" i="1"/>
  <c r="U69" i="1"/>
  <c r="T69" i="1"/>
  <c r="AE63" i="1"/>
  <c r="AD63" i="1"/>
  <c r="AC63" i="1"/>
  <c r="AB63" i="1"/>
  <c r="AA63" i="1"/>
  <c r="Z63" i="1"/>
  <c r="Y63" i="1"/>
  <c r="X63" i="1"/>
  <c r="W63" i="1"/>
  <c r="V63" i="1"/>
  <c r="U63" i="1"/>
  <c r="T63" i="1"/>
  <c r="AE57" i="1"/>
  <c r="AD57" i="1"/>
  <c r="AC57" i="1"/>
  <c r="AB57" i="1"/>
  <c r="AA57" i="1"/>
  <c r="Z57" i="1"/>
  <c r="Y57" i="1"/>
  <c r="X57" i="1"/>
  <c r="W57" i="1"/>
  <c r="V57" i="1"/>
  <c r="U57" i="1"/>
  <c r="T57" i="1"/>
  <c r="AE51" i="1"/>
  <c r="AD51" i="1"/>
  <c r="AC51" i="1"/>
  <c r="AB51" i="1"/>
  <c r="AA51" i="1"/>
  <c r="Z51" i="1"/>
  <c r="Y51" i="1"/>
  <c r="X51" i="1"/>
  <c r="W51" i="1"/>
  <c r="V51" i="1"/>
  <c r="U51" i="1"/>
  <c r="T51" i="1"/>
  <c r="AE45" i="1"/>
  <c r="AD45" i="1"/>
  <c r="AC45" i="1"/>
  <c r="AB45" i="1"/>
  <c r="AA45" i="1"/>
  <c r="Z45" i="1"/>
  <c r="Y45" i="1"/>
  <c r="X45" i="1"/>
  <c r="W45" i="1"/>
  <c r="V45" i="1"/>
  <c r="U45" i="1"/>
  <c r="T45" i="1"/>
  <c r="AE39" i="1"/>
  <c r="AD39" i="1"/>
  <c r="AC39" i="1"/>
  <c r="AB39" i="1"/>
  <c r="AA39" i="1"/>
  <c r="Z39" i="1"/>
  <c r="Y39" i="1"/>
  <c r="X39" i="1"/>
  <c r="W39" i="1"/>
  <c r="V39" i="1"/>
  <c r="U39" i="1"/>
  <c r="T39" i="1"/>
  <c r="AE33" i="1"/>
  <c r="AD33" i="1"/>
  <c r="AC33" i="1"/>
  <c r="AB33" i="1"/>
  <c r="AA33" i="1"/>
  <c r="Z33" i="1"/>
  <c r="Y33" i="1"/>
  <c r="X33" i="1"/>
  <c r="W33" i="1"/>
  <c r="V33" i="1"/>
  <c r="U33" i="1"/>
  <c r="T33" i="1"/>
  <c r="AE27" i="1"/>
  <c r="AD27" i="1"/>
  <c r="AC27" i="1"/>
  <c r="AB27" i="1"/>
  <c r="AA27" i="1"/>
  <c r="Z27" i="1"/>
  <c r="Y27" i="1"/>
  <c r="X27" i="1"/>
  <c r="W27" i="1"/>
  <c r="V27" i="1"/>
  <c r="U27" i="1"/>
  <c r="T27" i="1"/>
  <c r="AE21" i="1"/>
  <c r="AD21" i="1"/>
  <c r="AC21" i="1"/>
  <c r="AB21" i="1"/>
  <c r="AA21" i="1"/>
  <c r="Z21" i="1"/>
  <c r="Y21" i="1"/>
  <c r="X21" i="1"/>
  <c r="W21" i="1"/>
  <c r="V21" i="1"/>
  <c r="U21" i="1"/>
  <c r="T21" i="1"/>
  <c r="AE15" i="1"/>
  <c r="AD15" i="1"/>
  <c r="AC15" i="1"/>
  <c r="AB15" i="1"/>
  <c r="AA15" i="1"/>
  <c r="Z15" i="1"/>
  <c r="Y15" i="1"/>
  <c r="X15" i="1"/>
  <c r="W15" i="1"/>
  <c r="V15" i="1"/>
  <c r="U15" i="1"/>
  <c r="T15" i="1"/>
  <c r="AE9" i="1"/>
  <c r="AD9" i="1"/>
  <c r="AC9" i="1"/>
  <c r="AB9" i="1"/>
  <c r="AA9" i="1"/>
  <c r="Z9" i="1"/>
  <c r="Y9" i="1"/>
  <c r="X9" i="1"/>
  <c r="W9" i="1"/>
  <c r="V9" i="1"/>
  <c r="U9" i="1"/>
  <c r="T9" i="1"/>
  <c r="D82" i="1"/>
  <c r="E82" i="1"/>
  <c r="F82" i="1"/>
  <c r="G82" i="1"/>
  <c r="H82" i="1"/>
  <c r="I82" i="1"/>
  <c r="J82" i="1"/>
  <c r="K82" i="1"/>
  <c r="L82" i="1"/>
  <c r="M82" i="1"/>
  <c r="N82" i="1"/>
  <c r="O82" i="1"/>
  <c r="D83" i="1"/>
  <c r="E83" i="1"/>
  <c r="F83" i="1"/>
  <c r="G83" i="1"/>
  <c r="H83" i="1"/>
  <c r="I83" i="1"/>
  <c r="J83" i="1"/>
  <c r="K83" i="1"/>
  <c r="L83" i="1"/>
  <c r="M83" i="1"/>
  <c r="N83" i="1"/>
  <c r="O83" i="1"/>
  <c r="D84" i="1"/>
  <c r="E84" i="1"/>
  <c r="F84" i="1"/>
  <c r="G84" i="1"/>
  <c r="H84" i="1"/>
  <c r="I84" i="1"/>
  <c r="J84" i="1"/>
  <c r="K84" i="1"/>
  <c r="L84" i="1"/>
  <c r="M84" i="1"/>
  <c r="N84" i="1"/>
  <c r="O84" i="1"/>
  <c r="E81" i="1"/>
  <c r="F81" i="1"/>
  <c r="G81" i="1"/>
  <c r="H81" i="1"/>
  <c r="I81" i="1"/>
  <c r="J81" i="1"/>
  <c r="K81" i="1"/>
  <c r="L81" i="1"/>
  <c r="M81" i="1"/>
  <c r="N81" i="1"/>
  <c r="O81" i="1"/>
  <c r="D81" i="1"/>
  <c r="GR86" i="1" l="1"/>
  <c r="BE85" i="1"/>
  <c r="AQ85" i="1"/>
  <c r="DB85" i="1"/>
  <c r="BC85" i="1"/>
  <c r="AE85" i="1"/>
  <c r="GV86" i="1"/>
  <c r="GY86" i="1"/>
  <c r="GK11" i="1"/>
  <c r="GK17" i="1"/>
  <c r="GK23" i="1"/>
  <c r="GK29" i="1"/>
  <c r="GK35" i="1"/>
  <c r="GK41" i="1"/>
  <c r="GK47" i="1"/>
  <c r="GK53" i="1"/>
  <c r="GK59" i="1"/>
  <c r="GK65" i="1"/>
  <c r="GK71" i="1"/>
  <c r="GK5" i="1"/>
  <c r="GY74" i="1" l="1"/>
  <c r="GX74" i="1"/>
  <c r="GW74" i="1"/>
  <c r="GV74" i="1"/>
  <c r="GU74" i="1"/>
  <c r="GT74" i="1"/>
  <c r="GS74" i="1"/>
  <c r="GR74" i="1"/>
  <c r="GQ74" i="1"/>
  <c r="GP74" i="1"/>
  <c r="GO74" i="1"/>
  <c r="GN74" i="1"/>
  <c r="GY73" i="1"/>
  <c r="GX73" i="1"/>
  <c r="GW73" i="1"/>
  <c r="GV73" i="1"/>
  <c r="GU73" i="1"/>
  <c r="GT73" i="1"/>
  <c r="GS73" i="1"/>
  <c r="GR73" i="1"/>
  <c r="GQ73" i="1"/>
  <c r="GP73" i="1"/>
  <c r="GO73" i="1"/>
  <c r="GN73" i="1"/>
  <c r="GY72" i="1"/>
  <c r="GX72" i="1"/>
  <c r="GW72" i="1"/>
  <c r="GV72" i="1"/>
  <c r="GU72" i="1"/>
  <c r="GT72" i="1"/>
  <c r="GS72" i="1"/>
  <c r="GR72" i="1"/>
  <c r="GQ72" i="1"/>
  <c r="GP72" i="1"/>
  <c r="GO72" i="1"/>
  <c r="GN72" i="1"/>
  <c r="GY71" i="1"/>
  <c r="GY75" i="1" s="1"/>
  <c r="GX71" i="1"/>
  <c r="GW71" i="1"/>
  <c r="GW75" i="1" s="1"/>
  <c r="GV71" i="1"/>
  <c r="GV75" i="1" s="1"/>
  <c r="GU71" i="1"/>
  <c r="GT71" i="1"/>
  <c r="GS71" i="1"/>
  <c r="GR71" i="1"/>
  <c r="GR75" i="1" s="1"/>
  <c r="GQ71" i="1"/>
  <c r="GP71" i="1"/>
  <c r="GO71" i="1"/>
  <c r="GN71" i="1"/>
  <c r="GN75" i="1" s="1"/>
  <c r="GY68" i="1"/>
  <c r="GX68" i="1"/>
  <c r="GW68" i="1"/>
  <c r="GV68" i="1"/>
  <c r="GU68" i="1"/>
  <c r="GT68" i="1"/>
  <c r="GS68" i="1"/>
  <c r="GR68" i="1"/>
  <c r="GQ68" i="1"/>
  <c r="GP68" i="1"/>
  <c r="GO68" i="1"/>
  <c r="GN68" i="1"/>
  <c r="GY67" i="1"/>
  <c r="GX67" i="1"/>
  <c r="GW67" i="1"/>
  <c r="GV67" i="1"/>
  <c r="GU67" i="1"/>
  <c r="GT67" i="1"/>
  <c r="GS67" i="1"/>
  <c r="GR67" i="1"/>
  <c r="GQ67" i="1"/>
  <c r="GP67" i="1"/>
  <c r="GO67" i="1"/>
  <c r="GN67" i="1"/>
  <c r="GY66" i="1"/>
  <c r="GX66" i="1"/>
  <c r="GW66" i="1"/>
  <c r="GV66" i="1"/>
  <c r="GU66" i="1"/>
  <c r="GT66" i="1"/>
  <c r="GS66" i="1"/>
  <c r="GR66" i="1"/>
  <c r="GQ66" i="1"/>
  <c r="GP66" i="1"/>
  <c r="GO66" i="1"/>
  <c r="GN66" i="1"/>
  <c r="GY65" i="1"/>
  <c r="GX65" i="1"/>
  <c r="GW65" i="1"/>
  <c r="GV65" i="1"/>
  <c r="GV69" i="1" s="1"/>
  <c r="GU65" i="1"/>
  <c r="GT65" i="1"/>
  <c r="GS65" i="1"/>
  <c r="GR65" i="1"/>
  <c r="GR69" i="1" s="1"/>
  <c r="GQ65" i="1"/>
  <c r="GP65" i="1"/>
  <c r="GO65" i="1"/>
  <c r="GN65" i="1"/>
  <c r="GN69" i="1" s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Y59" i="1"/>
  <c r="GX59" i="1"/>
  <c r="GX63" i="1" s="1"/>
  <c r="GW59" i="1"/>
  <c r="GV59" i="1"/>
  <c r="GV63" i="1" s="1"/>
  <c r="GU59" i="1"/>
  <c r="GT59" i="1"/>
  <c r="GS59" i="1"/>
  <c r="GR59" i="1"/>
  <c r="GR63" i="1" s="1"/>
  <c r="GQ59" i="1"/>
  <c r="GP59" i="1"/>
  <c r="GO59" i="1"/>
  <c r="GO63" i="1" s="1"/>
  <c r="GN59" i="1"/>
  <c r="GN63" i="1" s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Y53" i="1"/>
  <c r="GX53" i="1"/>
  <c r="GW53" i="1"/>
  <c r="GV53" i="1"/>
  <c r="GV57" i="1" s="1"/>
  <c r="GU53" i="1"/>
  <c r="GT53" i="1"/>
  <c r="GS53" i="1"/>
  <c r="GS57" i="1" s="1"/>
  <c r="GR53" i="1"/>
  <c r="GQ53" i="1"/>
  <c r="GP53" i="1"/>
  <c r="GO53" i="1"/>
  <c r="GO57" i="1" s="1"/>
  <c r="GN53" i="1"/>
  <c r="GN57" i="1" s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Y47" i="1"/>
  <c r="GY51" i="1" s="1"/>
  <c r="GX47" i="1"/>
  <c r="GX51" i="1" s="1"/>
  <c r="GW47" i="1"/>
  <c r="GV47" i="1"/>
  <c r="GV51" i="1" s="1"/>
  <c r="GU47" i="1"/>
  <c r="GT47" i="1"/>
  <c r="GT51" i="1" s="1"/>
  <c r="GS47" i="1"/>
  <c r="GR47" i="1"/>
  <c r="GR51" i="1" s="1"/>
  <c r="GQ47" i="1"/>
  <c r="GP47" i="1"/>
  <c r="GO47" i="1"/>
  <c r="GO51" i="1" s="1"/>
  <c r="GN47" i="1"/>
  <c r="GN51" i="1" s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Y41" i="1"/>
  <c r="GX41" i="1"/>
  <c r="GW41" i="1"/>
  <c r="GV41" i="1"/>
  <c r="GV45" i="1" s="1"/>
  <c r="GU41" i="1"/>
  <c r="GT41" i="1"/>
  <c r="GS41" i="1"/>
  <c r="GR41" i="1"/>
  <c r="GR45" i="1" s="1"/>
  <c r="GQ41" i="1"/>
  <c r="GP41" i="1"/>
  <c r="GO41" i="1"/>
  <c r="GN41" i="1"/>
  <c r="GN45" i="1" s="1"/>
  <c r="GY38" i="1"/>
  <c r="GX38" i="1"/>
  <c r="GW38" i="1"/>
  <c r="GV38" i="1"/>
  <c r="GU38" i="1"/>
  <c r="GT38" i="1"/>
  <c r="GS38" i="1"/>
  <c r="GR38" i="1"/>
  <c r="GQ38" i="1"/>
  <c r="GP38" i="1"/>
  <c r="GO38" i="1"/>
  <c r="GN38" i="1"/>
  <c r="GY37" i="1"/>
  <c r="GX37" i="1"/>
  <c r="GW37" i="1"/>
  <c r="GV37" i="1"/>
  <c r="GU37" i="1"/>
  <c r="GT37" i="1"/>
  <c r="GS37" i="1"/>
  <c r="GR37" i="1"/>
  <c r="GQ37" i="1"/>
  <c r="GP37" i="1"/>
  <c r="GO37" i="1"/>
  <c r="GN37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Y35" i="1"/>
  <c r="GX35" i="1"/>
  <c r="GW35" i="1"/>
  <c r="GV35" i="1"/>
  <c r="GV39" i="1" s="1"/>
  <c r="GU35" i="1"/>
  <c r="GT35" i="1"/>
  <c r="GT39" i="1" s="1"/>
  <c r="GS35" i="1"/>
  <c r="GR35" i="1"/>
  <c r="GR39" i="1" s="1"/>
  <c r="GQ35" i="1"/>
  <c r="GP35" i="1"/>
  <c r="GO35" i="1"/>
  <c r="GN35" i="1"/>
  <c r="GN39" i="1" s="1"/>
  <c r="GY32" i="1"/>
  <c r="GX32" i="1"/>
  <c r="GW32" i="1"/>
  <c r="GV32" i="1"/>
  <c r="GU32" i="1"/>
  <c r="GT32" i="1"/>
  <c r="GS32" i="1"/>
  <c r="GR32" i="1"/>
  <c r="GQ32" i="1"/>
  <c r="GP32" i="1"/>
  <c r="GO32" i="1"/>
  <c r="GN32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Y30" i="1"/>
  <c r="GX30" i="1"/>
  <c r="GW30" i="1"/>
  <c r="GV30" i="1"/>
  <c r="GU30" i="1"/>
  <c r="GT30" i="1"/>
  <c r="GS30" i="1"/>
  <c r="GR30" i="1"/>
  <c r="GQ30" i="1"/>
  <c r="GP30" i="1"/>
  <c r="GO30" i="1"/>
  <c r="GN30" i="1"/>
  <c r="GY29" i="1"/>
  <c r="GX29" i="1"/>
  <c r="GX33" i="1" s="1"/>
  <c r="GW29" i="1"/>
  <c r="GW33" i="1" s="1"/>
  <c r="GV29" i="1"/>
  <c r="GV33" i="1" s="1"/>
  <c r="GU29" i="1"/>
  <c r="GT29" i="1"/>
  <c r="GT33" i="1" s="1"/>
  <c r="GS29" i="1"/>
  <c r="GR29" i="1"/>
  <c r="GR33" i="1" s="1"/>
  <c r="GQ29" i="1"/>
  <c r="GP29" i="1"/>
  <c r="GP33" i="1" s="1"/>
  <c r="GO29" i="1"/>
  <c r="GO33" i="1" s="1"/>
  <c r="GN29" i="1"/>
  <c r="GN33" i="1" s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Y25" i="1"/>
  <c r="GX25" i="1"/>
  <c r="GW25" i="1"/>
  <c r="GV25" i="1"/>
  <c r="GU25" i="1"/>
  <c r="GT25" i="1"/>
  <c r="GS25" i="1"/>
  <c r="GR25" i="1"/>
  <c r="GQ25" i="1"/>
  <c r="GP25" i="1"/>
  <c r="GO25" i="1"/>
  <c r="GN25" i="1"/>
  <c r="GY24" i="1"/>
  <c r="GX24" i="1"/>
  <c r="GW24" i="1"/>
  <c r="GV24" i="1"/>
  <c r="GU24" i="1"/>
  <c r="GT24" i="1"/>
  <c r="GS24" i="1"/>
  <c r="GR24" i="1"/>
  <c r="GQ24" i="1"/>
  <c r="GP24" i="1"/>
  <c r="GO24" i="1"/>
  <c r="GN24" i="1"/>
  <c r="GY23" i="1"/>
  <c r="GX23" i="1"/>
  <c r="GX27" i="1" s="1"/>
  <c r="GW23" i="1"/>
  <c r="GW27" i="1" s="1"/>
  <c r="GV23" i="1"/>
  <c r="GV27" i="1" s="1"/>
  <c r="GU23" i="1"/>
  <c r="GT23" i="1"/>
  <c r="GS23" i="1"/>
  <c r="GR23" i="1"/>
  <c r="GR27" i="1" s="1"/>
  <c r="GQ23" i="1"/>
  <c r="GP23" i="1"/>
  <c r="GO23" i="1"/>
  <c r="GO27" i="1" s="1"/>
  <c r="GN23" i="1"/>
  <c r="GN27" i="1" s="1"/>
  <c r="GY20" i="1"/>
  <c r="GX20" i="1"/>
  <c r="GW20" i="1"/>
  <c r="GV20" i="1"/>
  <c r="GU20" i="1"/>
  <c r="GT20" i="1"/>
  <c r="GS20" i="1"/>
  <c r="GR20" i="1"/>
  <c r="GQ20" i="1"/>
  <c r="GP20" i="1"/>
  <c r="GO20" i="1"/>
  <c r="GN20" i="1"/>
  <c r="GY19" i="1"/>
  <c r="GX19" i="1"/>
  <c r="GW19" i="1"/>
  <c r="GV19" i="1"/>
  <c r="GU19" i="1"/>
  <c r="GT19" i="1"/>
  <c r="GS19" i="1"/>
  <c r="GR19" i="1"/>
  <c r="GQ19" i="1"/>
  <c r="GP19" i="1"/>
  <c r="GO19" i="1"/>
  <c r="GN19" i="1"/>
  <c r="GY18" i="1"/>
  <c r="GX18" i="1"/>
  <c r="GW18" i="1"/>
  <c r="GV18" i="1"/>
  <c r="GU18" i="1"/>
  <c r="GT18" i="1"/>
  <c r="GS18" i="1"/>
  <c r="GR18" i="1"/>
  <c r="GQ18" i="1"/>
  <c r="GP18" i="1"/>
  <c r="GO18" i="1"/>
  <c r="GN18" i="1"/>
  <c r="GY17" i="1"/>
  <c r="GX17" i="1"/>
  <c r="GW17" i="1"/>
  <c r="GV17" i="1"/>
  <c r="GV21" i="1" s="1"/>
  <c r="GU17" i="1"/>
  <c r="GT17" i="1"/>
  <c r="GS17" i="1"/>
  <c r="GR17" i="1"/>
  <c r="GR21" i="1" s="1"/>
  <c r="GQ17" i="1"/>
  <c r="GP17" i="1"/>
  <c r="GO17" i="1"/>
  <c r="GN17" i="1"/>
  <c r="GN21" i="1" s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Y11" i="1"/>
  <c r="GX11" i="1"/>
  <c r="GX15" i="1" s="1"/>
  <c r="GW11" i="1"/>
  <c r="GV11" i="1"/>
  <c r="GU11" i="1"/>
  <c r="GT11" i="1"/>
  <c r="GS11" i="1"/>
  <c r="GR11" i="1"/>
  <c r="GR15" i="1" s="1"/>
  <c r="GQ11" i="1"/>
  <c r="GP11" i="1"/>
  <c r="GO11" i="1"/>
  <c r="GN11" i="1"/>
  <c r="GN15" i="1" s="1"/>
  <c r="GV6" i="1"/>
  <c r="GV7" i="1"/>
  <c r="GV8" i="1"/>
  <c r="GV5" i="1"/>
  <c r="GV81" i="1" s="1"/>
  <c r="GR6" i="1"/>
  <c r="GR7" i="1"/>
  <c r="GR8" i="1"/>
  <c r="GR5" i="1"/>
  <c r="GR81" i="1" s="1"/>
  <c r="GN6" i="1"/>
  <c r="GN7" i="1"/>
  <c r="GN8" i="1"/>
  <c r="GN5" i="1"/>
  <c r="GN81" i="1" s="1"/>
  <c r="GS33" i="1" l="1"/>
  <c r="GN84" i="1"/>
  <c r="GV84" i="1"/>
  <c r="GN83" i="1"/>
  <c r="GR83" i="1"/>
  <c r="GV83" i="1"/>
  <c r="GR84" i="1"/>
  <c r="GN82" i="1"/>
  <c r="GR82" i="1"/>
  <c r="GV82" i="1"/>
  <c r="GW69" i="1"/>
  <c r="GP39" i="1"/>
  <c r="GX45" i="1"/>
  <c r="GS69" i="1"/>
  <c r="GW51" i="1"/>
  <c r="GS75" i="1"/>
  <c r="GQ75" i="1"/>
  <c r="GT63" i="1"/>
  <c r="GU57" i="1"/>
  <c r="GX39" i="1"/>
  <c r="GP69" i="1"/>
  <c r="GQ51" i="1"/>
  <c r="GS27" i="1"/>
  <c r="GU51" i="1"/>
  <c r="GV15" i="1"/>
  <c r="GR57" i="1"/>
  <c r="GQ69" i="1"/>
  <c r="GY69" i="1"/>
  <c r="GU69" i="1"/>
  <c r="GO69" i="1"/>
  <c r="GU63" i="1"/>
  <c r="GY57" i="1"/>
  <c r="GS51" i="1"/>
  <c r="GP51" i="1"/>
  <c r="GQ63" i="1"/>
  <c r="GY63" i="1"/>
  <c r="GS63" i="1"/>
  <c r="GT57" i="1"/>
  <c r="GP75" i="1"/>
  <c r="GT75" i="1"/>
  <c r="GP63" i="1"/>
  <c r="GX75" i="1"/>
  <c r="GX69" i="1"/>
  <c r="GP57" i="1"/>
  <c r="GX57" i="1"/>
  <c r="GY45" i="1"/>
  <c r="GT69" i="1"/>
  <c r="GO75" i="1"/>
  <c r="GW63" i="1"/>
  <c r="GQ57" i="1"/>
  <c r="GW15" i="1"/>
  <c r="GT45" i="1"/>
  <c r="GU45" i="1"/>
  <c r="GS45" i="1"/>
  <c r="GQ45" i="1"/>
  <c r="GP45" i="1"/>
  <c r="GO45" i="1"/>
  <c r="GX21" i="1"/>
  <c r="GW57" i="1"/>
  <c r="GY39" i="1"/>
  <c r="GO39" i="1"/>
  <c r="GW45" i="1"/>
  <c r="GU75" i="1"/>
  <c r="GW39" i="1"/>
  <c r="GU39" i="1"/>
  <c r="GS39" i="1"/>
  <c r="GQ39" i="1"/>
  <c r="GY33" i="1"/>
  <c r="GU33" i="1"/>
  <c r="GQ33" i="1"/>
  <c r="GW21" i="1"/>
  <c r="GY21" i="1"/>
  <c r="GU21" i="1"/>
  <c r="GT21" i="1"/>
  <c r="GS21" i="1"/>
  <c r="GQ21" i="1"/>
  <c r="GP21" i="1"/>
  <c r="GO21" i="1"/>
  <c r="GY27" i="1"/>
  <c r="GU27" i="1"/>
  <c r="GT27" i="1"/>
  <c r="GQ27" i="1"/>
  <c r="GP27" i="1"/>
  <c r="GY15" i="1"/>
  <c r="GU15" i="1"/>
  <c r="GT15" i="1"/>
  <c r="GS15" i="1"/>
  <c r="GQ15" i="1"/>
  <c r="GP15" i="1"/>
  <c r="GO15" i="1"/>
  <c r="GA1" i="2" l="1"/>
  <c r="FK1" i="2"/>
  <c r="EU1" i="2"/>
  <c r="EE1" i="2"/>
  <c r="DO1" i="2"/>
  <c r="CY1" i="2"/>
  <c r="CI1" i="2"/>
  <c r="BS1" i="2"/>
  <c r="BC1" i="2"/>
  <c r="AM1" i="2"/>
  <c r="W1" i="2"/>
  <c r="GI7" i="2"/>
  <c r="GH7" i="2"/>
  <c r="GG7" i="2"/>
  <c r="GF7" i="2"/>
  <c r="GE7" i="2"/>
  <c r="GD7" i="2"/>
  <c r="GC7" i="2"/>
  <c r="GB7" i="2"/>
  <c r="GA7" i="2"/>
  <c r="FZ7" i="2"/>
  <c r="FY7" i="2"/>
  <c r="FX7" i="2"/>
  <c r="GI6" i="2"/>
  <c r="GH6" i="2"/>
  <c r="GG6" i="2"/>
  <c r="GF6" i="2"/>
  <c r="GE6" i="2"/>
  <c r="GD6" i="2"/>
  <c r="GC6" i="2"/>
  <c r="GB6" i="2"/>
  <c r="GA6" i="2"/>
  <c r="FZ6" i="2"/>
  <c r="FY6" i="2"/>
  <c r="FX6" i="2"/>
  <c r="GI5" i="2"/>
  <c r="GH5" i="2"/>
  <c r="GG5" i="2"/>
  <c r="GF5" i="2"/>
  <c r="GE5" i="2"/>
  <c r="GD5" i="2"/>
  <c r="GC5" i="2"/>
  <c r="GB5" i="2"/>
  <c r="GA5" i="2"/>
  <c r="FZ5" i="2"/>
  <c r="FY5" i="2"/>
  <c r="FX5" i="2"/>
  <c r="FS7" i="2"/>
  <c r="FR7" i="2"/>
  <c r="FQ7" i="2"/>
  <c r="FP7" i="2"/>
  <c r="FO7" i="2"/>
  <c r="FN7" i="2"/>
  <c r="FM7" i="2"/>
  <c r="FL7" i="2"/>
  <c r="FK7" i="2"/>
  <c r="FJ7" i="2"/>
  <c r="FI7" i="2"/>
  <c r="FH7" i="2"/>
  <c r="FS6" i="2"/>
  <c r="FR6" i="2"/>
  <c r="FQ6" i="2"/>
  <c r="FP6" i="2"/>
  <c r="FO6" i="2"/>
  <c r="FN6" i="2"/>
  <c r="FM6" i="2"/>
  <c r="FL6" i="2"/>
  <c r="FK6" i="2"/>
  <c r="FJ6" i="2"/>
  <c r="FI6" i="2"/>
  <c r="FH6" i="2"/>
  <c r="FS5" i="2"/>
  <c r="FR5" i="2"/>
  <c r="FQ5" i="2"/>
  <c r="FP5" i="2"/>
  <c r="FO5" i="2"/>
  <c r="FN5" i="2"/>
  <c r="FM5" i="2"/>
  <c r="FL5" i="2"/>
  <c r="FK5" i="2"/>
  <c r="FJ5" i="2"/>
  <c r="FI5" i="2"/>
  <c r="FH5" i="2"/>
  <c r="FC7" i="2"/>
  <c r="FB7" i="2"/>
  <c r="FA7" i="2"/>
  <c r="EZ7" i="2"/>
  <c r="EY7" i="2"/>
  <c r="EX7" i="2"/>
  <c r="EW7" i="2"/>
  <c r="EV7" i="2"/>
  <c r="EU7" i="2"/>
  <c r="ET7" i="2"/>
  <c r="ES7" i="2"/>
  <c r="ER7" i="2"/>
  <c r="FC6" i="2"/>
  <c r="FB6" i="2"/>
  <c r="FA6" i="2"/>
  <c r="EZ6" i="2"/>
  <c r="EY6" i="2"/>
  <c r="EX6" i="2"/>
  <c r="EW6" i="2"/>
  <c r="EV6" i="2"/>
  <c r="EU6" i="2"/>
  <c r="ET6" i="2"/>
  <c r="ES6" i="2"/>
  <c r="ER6" i="2"/>
  <c r="FC5" i="2"/>
  <c r="FB5" i="2"/>
  <c r="FA5" i="2"/>
  <c r="EZ5" i="2"/>
  <c r="EY5" i="2"/>
  <c r="EX5" i="2"/>
  <c r="EW5" i="2"/>
  <c r="EV5" i="2"/>
  <c r="EU5" i="2"/>
  <c r="ET5" i="2"/>
  <c r="ES5" i="2"/>
  <c r="ER5" i="2"/>
  <c r="EM7" i="2"/>
  <c r="EL7" i="2"/>
  <c r="EK7" i="2"/>
  <c r="EJ7" i="2"/>
  <c r="EI7" i="2"/>
  <c r="EH7" i="2"/>
  <c r="EG7" i="2"/>
  <c r="EF7" i="2"/>
  <c r="EE7" i="2"/>
  <c r="ED7" i="2"/>
  <c r="EC7" i="2"/>
  <c r="EB7" i="2"/>
  <c r="EM6" i="2"/>
  <c r="EL6" i="2"/>
  <c r="EK6" i="2"/>
  <c r="EJ6" i="2"/>
  <c r="EI6" i="2"/>
  <c r="EH6" i="2"/>
  <c r="EG6" i="2"/>
  <c r="EF6" i="2"/>
  <c r="EE6" i="2"/>
  <c r="ED6" i="2"/>
  <c r="EC6" i="2"/>
  <c r="EB6" i="2"/>
  <c r="EM5" i="2"/>
  <c r="EL5" i="2"/>
  <c r="EK5" i="2"/>
  <c r="EJ5" i="2"/>
  <c r="EI5" i="2"/>
  <c r="EH5" i="2"/>
  <c r="EG5" i="2"/>
  <c r="EF5" i="2"/>
  <c r="EE5" i="2"/>
  <c r="ED5" i="2"/>
  <c r="EC5" i="2"/>
  <c r="EB5" i="2"/>
  <c r="DW7" i="2"/>
  <c r="DV7" i="2"/>
  <c r="DU7" i="2"/>
  <c r="DT7" i="2"/>
  <c r="DS7" i="2"/>
  <c r="DR7" i="2"/>
  <c r="DQ7" i="2"/>
  <c r="DP7" i="2"/>
  <c r="DO7" i="2"/>
  <c r="DN7" i="2"/>
  <c r="DM7" i="2"/>
  <c r="DL7" i="2"/>
  <c r="DW6" i="2"/>
  <c r="DV6" i="2"/>
  <c r="DU6" i="2"/>
  <c r="DT6" i="2"/>
  <c r="DS6" i="2"/>
  <c r="DR6" i="2"/>
  <c r="DQ6" i="2"/>
  <c r="DP6" i="2"/>
  <c r="DO6" i="2"/>
  <c r="DN6" i="2"/>
  <c r="DM6" i="2"/>
  <c r="DL6" i="2"/>
  <c r="DW5" i="2"/>
  <c r="DV5" i="2"/>
  <c r="DU5" i="2"/>
  <c r="DT5" i="2"/>
  <c r="DS5" i="2"/>
  <c r="DR5" i="2"/>
  <c r="DQ5" i="2"/>
  <c r="DP5" i="2"/>
  <c r="DO5" i="2"/>
  <c r="DN5" i="2"/>
  <c r="DM5" i="2"/>
  <c r="DL5" i="2"/>
  <c r="DG7" i="2"/>
  <c r="DF7" i="2"/>
  <c r="DE7" i="2"/>
  <c r="DD7" i="2"/>
  <c r="DC7" i="2"/>
  <c r="DB7" i="2"/>
  <c r="DA7" i="2"/>
  <c r="CZ7" i="2"/>
  <c r="CY7" i="2"/>
  <c r="CX7" i="2"/>
  <c r="CW7" i="2"/>
  <c r="CV7" i="2"/>
  <c r="DG6" i="2"/>
  <c r="DF6" i="2"/>
  <c r="DE6" i="2"/>
  <c r="DD6" i="2"/>
  <c r="DC6" i="2"/>
  <c r="DB6" i="2"/>
  <c r="DA6" i="2"/>
  <c r="CZ6" i="2"/>
  <c r="CY6" i="2"/>
  <c r="CX6" i="2"/>
  <c r="CW6" i="2"/>
  <c r="CV6" i="2"/>
  <c r="DG5" i="2"/>
  <c r="DF5" i="2"/>
  <c r="DE5" i="2"/>
  <c r="DD5" i="2"/>
  <c r="DC5" i="2"/>
  <c r="DB5" i="2"/>
  <c r="DA5" i="2"/>
  <c r="CZ5" i="2"/>
  <c r="CY5" i="2"/>
  <c r="CX5" i="2"/>
  <c r="CW5" i="2"/>
  <c r="CV5" i="2"/>
  <c r="CQ7" i="2"/>
  <c r="CP7" i="2"/>
  <c r="CO7" i="2"/>
  <c r="CN7" i="2"/>
  <c r="CM7" i="2"/>
  <c r="CL7" i="2"/>
  <c r="CK7" i="2"/>
  <c r="CJ7" i="2"/>
  <c r="CI7" i="2"/>
  <c r="CH7" i="2"/>
  <c r="CG7" i="2"/>
  <c r="CF7" i="2"/>
  <c r="CQ6" i="2"/>
  <c r="CP6" i="2"/>
  <c r="CO6" i="2"/>
  <c r="CN6" i="2"/>
  <c r="CM6" i="2"/>
  <c r="CL6" i="2"/>
  <c r="CK6" i="2"/>
  <c r="CJ6" i="2"/>
  <c r="CI6" i="2"/>
  <c r="CH6" i="2"/>
  <c r="CG6" i="2"/>
  <c r="CF6" i="2"/>
  <c r="CQ5" i="2"/>
  <c r="CP5" i="2"/>
  <c r="CO5" i="2"/>
  <c r="CN5" i="2"/>
  <c r="CM5" i="2"/>
  <c r="CL5" i="2"/>
  <c r="CK5" i="2"/>
  <c r="CJ5" i="2"/>
  <c r="CI5" i="2"/>
  <c r="CH5" i="2"/>
  <c r="CG5" i="2"/>
  <c r="CF5" i="2"/>
  <c r="CA7" i="2"/>
  <c r="BZ7" i="2"/>
  <c r="BY7" i="2"/>
  <c r="BX7" i="2"/>
  <c r="BW7" i="2"/>
  <c r="BV7" i="2"/>
  <c r="BU7" i="2"/>
  <c r="BT7" i="2"/>
  <c r="BS7" i="2"/>
  <c r="BR7" i="2"/>
  <c r="BQ7" i="2"/>
  <c r="BP7" i="2"/>
  <c r="CA6" i="2"/>
  <c r="BZ6" i="2"/>
  <c r="BY6" i="2"/>
  <c r="BX6" i="2"/>
  <c r="BW6" i="2"/>
  <c r="BV6" i="2"/>
  <c r="BU6" i="2"/>
  <c r="BT6" i="2"/>
  <c r="BS6" i="2"/>
  <c r="BR6" i="2"/>
  <c r="BQ6" i="2"/>
  <c r="BP6" i="2"/>
  <c r="CA5" i="2"/>
  <c r="BZ5" i="2"/>
  <c r="BY5" i="2"/>
  <c r="BX5" i="2"/>
  <c r="BW5" i="2"/>
  <c r="BV5" i="2"/>
  <c r="BU5" i="2"/>
  <c r="BT5" i="2"/>
  <c r="BS5" i="2"/>
  <c r="BR5" i="2"/>
  <c r="BQ5" i="2"/>
  <c r="BP5" i="2"/>
  <c r="BK7" i="2"/>
  <c r="BJ7" i="2"/>
  <c r="BI7" i="2"/>
  <c r="BH7" i="2"/>
  <c r="BG7" i="2"/>
  <c r="BF7" i="2"/>
  <c r="BE7" i="2"/>
  <c r="BD7" i="2"/>
  <c r="BC7" i="2"/>
  <c r="BB7" i="2"/>
  <c r="BA7" i="2"/>
  <c r="AZ7" i="2"/>
  <c r="BK6" i="2"/>
  <c r="BJ6" i="2"/>
  <c r="BI6" i="2"/>
  <c r="BH6" i="2"/>
  <c r="BG6" i="2"/>
  <c r="BF6" i="2"/>
  <c r="BE6" i="2"/>
  <c r="BD6" i="2"/>
  <c r="BC6" i="2"/>
  <c r="BB6" i="2"/>
  <c r="BA6" i="2"/>
  <c r="AZ6" i="2"/>
  <c r="BK5" i="2"/>
  <c r="BJ5" i="2"/>
  <c r="BI5" i="2"/>
  <c r="BH5" i="2"/>
  <c r="BG5" i="2"/>
  <c r="BF5" i="2"/>
  <c r="BE5" i="2"/>
  <c r="BD5" i="2"/>
  <c r="BC5" i="2"/>
  <c r="BB5" i="2"/>
  <c r="BA5" i="2"/>
  <c r="AZ5" i="2"/>
  <c r="AU7" i="2"/>
  <c r="AT7" i="2"/>
  <c r="AS7" i="2"/>
  <c r="AR7" i="2"/>
  <c r="AQ7" i="2"/>
  <c r="AP7" i="2"/>
  <c r="AO7" i="2"/>
  <c r="AN7" i="2"/>
  <c r="AM7" i="2"/>
  <c r="AL7" i="2"/>
  <c r="AK7" i="2"/>
  <c r="AJ7" i="2"/>
  <c r="AU6" i="2"/>
  <c r="AT6" i="2"/>
  <c r="AS6" i="2"/>
  <c r="AR6" i="2"/>
  <c r="AQ6" i="2"/>
  <c r="AP6" i="2"/>
  <c r="AO6" i="2"/>
  <c r="AN6" i="2"/>
  <c r="AM6" i="2"/>
  <c r="AL6" i="2"/>
  <c r="AK6" i="2"/>
  <c r="AJ6" i="2"/>
  <c r="AU5" i="2"/>
  <c r="AT5" i="2"/>
  <c r="AS5" i="2"/>
  <c r="AR5" i="2"/>
  <c r="AQ5" i="2"/>
  <c r="AP5" i="2"/>
  <c r="AO5" i="2"/>
  <c r="AN5" i="2"/>
  <c r="AM5" i="2"/>
  <c r="AL5" i="2"/>
  <c r="AK5" i="2"/>
  <c r="AJ5" i="2"/>
  <c r="AE7" i="2"/>
  <c r="AD7" i="2"/>
  <c r="AC7" i="2"/>
  <c r="AB7" i="2"/>
  <c r="AA7" i="2"/>
  <c r="Z7" i="2"/>
  <c r="Y7" i="2"/>
  <c r="X7" i="2"/>
  <c r="W7" i="2"/>
  <c r="V7" i="2"/>
  <c r="U7" i="2"/>
  <c r="T7" i="2"/>
  <c r="AE6" i="2"/>
  <c r="AD6" i="2"/>
  <c r="AC6" i="2"/>
  <c r="AB6" i="2"/>
  <c r="AA6" i="2"/>
  <c r="Z6" i="2"/>
  <c r="Y6" i="2"/>
  <c r="X6" i="2"/>
  <c r="W6" i="2"/>
  <c r="V6" i="2"/>
  <c r="U6" i="2"/>
  <c r="T6" i="2"/>
  <c r="AE5" i="2"/>
  <c r="AD5" i="2"/>
  <c r="AC5" i="2"/>
  <c r="AB5" i="2"/>
  <c r="AA5" i="2"/>
  <c r="Z5" i="2"/>
  <c r="Y5" i="2"/>
  <c r="X5" i="2"/>
  <c r="W5" i="2"/>
  <c r="V5" i="2"/>
  <c r="U5" i="2"/>
  <c r="T5" i="2"/>
  <c r="E78" i="1"/>
  <c r="G78" i="1"/>
  <c r="GO6" i="1"/>
  <c r="GO82" i="1" s="1"/>
  <c r="GP6" i="1"/>
  <c r="GP82" i="1" s="1"/>
  <c r="GQ6" i="1"/>
  <c r="GQ82" i="1" s="1"/>
  <c r="GS6" i="1"/>
  <c r="GS82" i="1" s="1"/>
  <c r="GT6" i="1"/>
  <c r="GT82" i="1" s="1"/>
  <c r="GU6" i="1"/>
  <c r="GU82" i="1" s="1"/>
  <c r="GW6" i="1"/>
  <c r="GW82" i="1" s="1"/>
  <c r="GX6" i="1"/>
  <c r="GX82" i="1" s="1"/>
  <c r="GY6" i="1"/>
  <c r="GY82" i="1" s="1"/>
  <c r="GO7" i="1"/>
  <c r="GO83" i="1" s="1"/>
  <c r="GP7" i="1"/>
  <c r="GP83" i="1" s="1"/>
  <c r="GQ7" i="1"/>
  <c r="GQ83" i="1" s="1"/>
  <c r="GS7" i="1"/>
  <c r="GS83" i="1" s="1"/>
  <c r="GT7" i="1"/>
  <c r="GT83" i="1" s="1"/>
  <c r="GU7" i="1"/>
  <c r="GU83" i="1" s="1"/>
  <c r="GW7" i="1"/>
  <c r="GW83" i="1" s="1"/>
  <c r="GX7" i="1"/>
  <c r="GX83" i="1" s="1"/>
  <c r="GY7" i="1"/>
  <c r="GY83" i="1" s="1"/>
  <c r="GO8" i="1"/>
  <c r="GO84" i="1" s="1"/>
  <c r="GP8" i="1"/>
  <c r="GP84" i="1" s="1"/>
  <c r="GQ8" i="1"/>
  <c r="GQ84" i="1" s="1"/>
  <c r="GS8" i="1"/>
  <c r="GS84" i="1" s="1"/>
  <c r="GT8" i="1"/>
  <c r="GT84" i="1" s="1"/>
  <c r="GU8" i="1"/>
  <c r="GU84" i="1" s="1"/>
  <c r="GW8" i="1"/>
  <c r="GW84" i="1" s="1"/>
  <c r="GX8" i="1"/>
  <c r="GX84" i="1" s="1"/>
  <c r="GY8" i="1"/>
  <c r="GY84" i="1" s="1"/>
  <c r="GO5" i="1"/>
  <c r="GO81" i="1" s="1"/>
  <c r="GP5" i="1"/>
  <c r="GP81" i="1" s="1"/>
  <c r="GQ5" i="1"/>
  <c r="GQ81" i="1" s="1"/>
  <c r="GS5" i="1"/>
  <c r="GS81" i="1" s="1"/>
  <c r="GT5" i="1"/>
  <c r="GT81" i="1" s="1"/>
  <c r="GU5" i="1"/>
  <c r="GU81" i="1" s="1"/>
  <c r="GW5" i="1"/>
  <c r="GW81" i="1" s="1"/>
  <c r="GX5" i="1"/>
  <c r="GX81" i="1" s="1"/>
  <c r="GY5" i="1"/>
  <c r="GY81" i="1" s="1"/>
  <c r="FJ4" i="2" l="1"/>
  <c r="FJ8" i="2" s="1"/>
  <c r="FN4" i="2"/>
  <c r="FN8" i="2" s="1"/>
  <c r="FR4" i="2"/>
  <c r="FR8" i="2" s="1"/>
  <c r="FY4" i="2"/>
  <c r="FY8" i="2" s="1"/>
  <c r="GC4" i="2"/>
  <c r="GG4" i="2"/>
  <c r="FI4" i="2"/>
  <c r="FI8" i="2" s="1"/>
  <c r="FM4" i="2"/>
  <c r="FM8" i="2" s="1"/>
  <c r="FQ4" i="2"/>
  <c r="FQ8" i="2" s="1"/>
  <c r="GB4" i="2"/>
  <c r="GB8" i="2" s="1"/>
  <c r="GF4" i="2"/>
  <c r="GF8" i="2" s="1"/>
  <c r="EK4" i="2"/>
  <c r="EK8" i="2" s="1"/>
  <c r="FA4" i="2"/>
  <c r="FA8" i="2" s="1"/>
  <c r="FH4" i="2"/>
  <c r="FH8" i="2" s="1"/>
  <c r="FL4" i="2"/>
  <c r="FL8" i="2" s="1"/>
  <c r="FP4" i="2"/>
  <c r="FP8" i="2" s="1"/>
  <c r="GA4" i="2"/>
  <c r="GA8" i="2" s="1"/>
  <c r="GE4" i="2"/>
  <c r="GE8" i="2" s="1"/>
  <c r="FK4" i="2"/>
  <c r="FK8" i="2" s="1"/>
  <c r="FO4" i="2"/>
  <c r="FO8" i="2" s="1"/>
  <c r="FS4" i="2"/>
  <c r="FS8" i="2" s="1"/>
  <c r="FZ4" i="2"/>
  <c r="FZ8" i="2" s="1"/>
  <c r="GD4" i="2"/>
  <c r="GD8" i="2" s="1"/>
  <c r="GH4" i="2"/>
  <c r="GH8" i="2" s="1"/>
  <c r="FB4" i="2"/>
  <c r="FB8" i="2" s="1"/>
  <c r="FC4" i="2"/>
  <c r="FC8" i="2" s="1"/>
  <c r="EZ4" i="2"/>
  <c r="EZ8" i="2" s="1"/>
  <c r="EX4" i="2"/>
  <c r="EX8" i="2" s="1"/>
  <c r="ET4" i="2"/>
  <c r="ET8" i="2" s="1"/>
  <c r="EY4" i="2"/>
  <c r="EY8" i="2" s="1"/>
  <c r="EW4" i="2"/>
  <c r="EW8" i="2" s="1"/>
  <c r="EV4" i="2"/>
  <c r="EV8" i="2" s="1"/>
  <c r="EU4" i="2"/>
  <c r="EU8" i="2" s="1"/>
  <c r="ES4" i="2"/>
  <c r="ES8" i="2" s="1"/>
  <c r="ER4" i="2"/>
  <c r="ER8" i="2" s="1"/>
  <c r="EL4" i="2"/>
  <c r="EL8" i="2" s="1"/>
  <c r="EG4" i="2"/>
  <c r="EG8" i="2" s="1"/>
  <c r="EC4" i="2"/>
  <c r="EC8" i="2" s="1"/>
  <c r="EM4" i="2"/>
  <c r="EM8" i="2" s="1"/>
  <c r="EJ4" i="2"/>
  <c r="EI4" i="2"/>
  <c r="EI8" i="2" s="1"/>
  <c r="EH4" i="2"/>
  <c r="EH8" i="2" s="1"/>
  <c r="EF4" i="2"/>
  <c r="EE4" i="2"/>
  <c r="EE8" i="2" s="1"/>
  <c r="ED4" i="2"/>
  <c r="ED8" i="2" s="1"/>
  <c r="EB4" i="2"/>
  <c r="DV4" i="2"/>
  <c r="DV8" i="2" s="1"/>
  <c r="DW4" i="2"/>
  <c r="DW8" i="2" s="1"/>
  <c r="DT4" i="2"/>
  <c r="DT8" i="2" s="1"/>
  <c r="DU4" i="2"/>
  <c r="DU8" i="2" s="1"/>
  <c r="DS4" i="2"/>
  <c r="DS8" i="2" s="1"/>
  <c r="DR4" i="2"/>
  <c r="DR8" i="2" s="1"/>
  <c r="DQ4" i="2"/>
  <c r="DQ8" i="2" s="1"/>
  <c r="DP4" i="2"/>
  <c r="DP8" i="2" s="1"/>
  <c r="DO4" i="2"/>
  <c r="DO8" i="2" s="1"/>
  <c r="DN4" i="2"/>
  <c r="DN8" i="2" s="1"/>
  <c r="DM4" i="2"/>
  <c r="DM8" i="2" s="1"/>
  <c r="DL4" i="2"/>
  <c r="DL8" i="2" s="1"/>
  <c r="DE4" i="2"/>
  <c r="DE8" i="2" s="1"/>
  <c r="DG4" i="2"/>
  <c r="DG8" i="2" s="1"/>
  <c r="DF4" i="2"/>
  <c r="DF8" i="2" s="1"/>
  <c r="DD4" i="2"/>
  <c r="DD8" i="2" s="1"/>
  <c r="DC4" i="2"/>
  <c r="DC8" i="2" s="1"/>
  <c r="DB4" i="2"/>
  <c r="DB8" i="2" s="1"/>
  <c r="DA4" i="2"/>
  <c r="DA8" i="2" s="1"/>
  <c r="CZ4" i="2"/>
  <c r="CZ8" i="2" s="1"/>
  <c r="CY4" i="2"/>
  <c r="CY8" i="2" s="1"/>
  <c r="CX4" i="2"/>
  <c r="CX8" i="2" s="1"/>
  <c r="CW4" i="2"/>
  <c r="CW8" i="2" s="1"/>
  <c r="CV4" i="2"/>
  <c r="CV8" i="2" s="1"/>
  <c r="CP4" i="2"/>
  <c r="CP8" i="2" s="1"/>
  <c r="CO4" i="2"/>
  <c r="CO8" i="2" s="1"/>
  <c r="CQ4" i="2"/>
  <c r="CQ8" i="2" s="1"/>
  <c r="CN4" i="2"/>
  <c r="CN8" i="2" s="1"/>
  <c r="CM4" i="2"/>
  <c r="CM8" i="2" s="1"/>
  <c r="CL4" i="2"/>
  <c r="CL8" i="2" s="1"/>
  <c r="CK4" i="2"/>
  <c r="CK8" i="2" s="1"/>
  <c r="CJ4" i="2"/>
  <c r="CI4" i="2"/>
  <c r="CI8" i="2" s="1"/>
  <c r="CH4" i="2"/>
  <c r="CH8" i="2" s="1"/>
  <c r="CG4" i="2"/>
  <c r="CG8" i="2" s="1"/>
  <c r="CF4" i="2"/>
  <c r="BY4" i="2"/>
  <c r="BY8" i="2" s="1"/>
  <c r="BZ4" i="2"/>
  <c r="BZ8" i="2" s="1"/>
  <c r="CA4" i="2"/>
  <c r="CA8" i="2" s="1"/>
  <c r="BX4" i="2"/>
  <c r="BX8" i="2" s="1"/>
  <c r="BW4" i="2"/>
  <c r="BW8" i="2" s="1"/>
  <c r="BV4" i="2"/>
  <c r="BV8" i="2" s="1"/>
  <c r="BU4" i="2"/>
  <c r="BU8" i="2" s="1"/>
  <c r="BT4" i="2"/>
  <c r="BS4" i="2"/>
  <c r="BS8" i="2" s="1"/>
  <c r="BR4" i="2"/>
  <c r="BR8" i="2" s="1"/>
  <c r="BQ4" i="2"/>
  <c r="BQ8" i="2" s="1"/>
  <c r="BP4" i="2"/>
  <c r="BJ4" i="2"/>
  <c r="BJ8" i="2" s="1"/>
  <c r="BI4" i="2"/>
  <c r="BI8" i="2" s="1"/>
  <c r="BK4" i="2"/>
  <c r="BK8" i="2" s="1"/>
  <c r="BH4" i="2"/>
  <c r="BG4" i="2"/>
  <c r="BG8" i="2" s="1"/>
  <c r="BF4" i="2"/>
  <c r="BF8" i="2" s="1"/>
  <c r="BE4" i="2"/>
  <c r="BE8" i="2" s="1"/>
  <c r="BD4" i="2"/>
  <c r="BD8" i="2" s="1"/>
  <c r="BC4" i="2"/>
  <c r="BC8" i="2" s="1"/>
  <c r="BB4" i="2"/>
  <c r="BB8" i="2" s="1"/>
  <c r="BA4" i="2"/>
  <c r="BA8" i="2" s="1"/>
  <c r="AZ4" i="2"/>
  <c r="AZ8" i="2" s="1"/>
  <c r="AD4" i="2"/>
  <c r="AD8" i="2" s="1"/>
  <c r="AC4" i="2"/>
  <c r="AE4" i="2"/>
  <c r="AE8" i="2" s="1"/>
  <c r="AB4" i="2"/>
  <c r="AA4" i="2"/>
  <c r="AA8" i="2" s="1"/>
  <c r="Z4" i="2"/>
  <c r="Z8" i="2" s="1"/>
  <c r="Y4" i="2"/>
  <c r="X4" i="2"/>
  <c r="W4" i="2"/>
  <c r="W8" i="2" s="1"/>
  <c r="V4" i="2"/>
  <c r="V8" i="2" s="1"/>
  <c r="U4" i="2"/>
  <c r="T4" i="2"/>
  <c r="AL4" i="2"/>
  <c r="AL8" i="2" s="1"/>
  <c r="AP4" i="2"/>
  <c r="AP8" i="2" s="1"/>
  <c r="AT4" i="2"/>
  <c r="AT8" i="2" s="1"/>
  <c r="AK4" i="2"/>
  <c r="AO4" i="2"/>
  <c r="AS4" i="2"/>
  <c r="AJ4" i="2"/>
  <c r="AN4" i="2"/>
  <c r="AR4" i="2"/>
  <c r="AM4" i="2"/>
  <c r="AM8" i="2" s="1"/>
  <c r="AQ4" i="2"/>
  <c r="AQ8" i="2" s="1"/>
  <c r="AU4" i="2"/>
  <c r="AU8" i="2" s="1"/>
  <c r="GI4" i="2"/>
  <c r="GI8" i="2" s="1"/>
  <c r="FX4" i="2"/>
  <c r="FX8" i="2" s="1"/>
  <c r="GC8" i="2"/>
  <c r="GG8" i="2"/>
  <c r="AC8" i="2" l="1"/>
  <c r="EF8" i="2"/>
  <c r="EJ8" i="2"/>
  <c r="EB8" i="2"/>
  <c r="CJ8" i="2"/>
  <c r="CF8" i="2"/>
  <c r="BT8" i="2"/>
  <c r="BP8" i="2"/>
  <c r="BH8" i="2"/>
  <c r="AS8" i="2"/>
  <c r="AR8" i="2"/>
  <c r="AN8" i="2"/>
  <c r="AO8" i="2"/>
  <c r="AK8" i="2"/>
  <c r="AJ8" i="2"/>
  <c r="U8" i="2"/>
  <c r="T8" i="2"/>
  <c r="Y8" i="2"/>
  <c r="AB8" i="2"/>
  <c r="X8" i="2"/>
  <c r="O75" i="1" l="1"/>
  <c r="N75" i="1"/>
  <c r="M75" i="1"/>
  <c r="L75" i="1"/>
  <c r="K75" i="1"/>
  <c r="J75" i="1"/>
  <c r="I75" i="1"/>
  <c r="H75" i="1"/>
  <c r="G75" i="1"/>
  <c r="F75" i="1"/>
  <c r="E75" i="1"/>
  <c r="D75" i="1"/>
  <c r="O69" i="1"/>
  <c r="N69" i="1"/>
  <c r="M69" i="1"/>
  <c r="L69" i="1"/>
  <c r="K69" i="1"/>
  <c r="J69" i="1"/>
  <c r="I69" i="1"/>
  <c r="H69" i="1"/>
  <c r="G69" i="1"/>
  <c r="F69" i="1"/>
  <c r="E69" i="1"/>
  <c r="D69" i="1"/>
  <c r="O63" i="1" l="1"/>
  <c r="N63" i="1"/>
  <c r="M63" i="1"/>
  <c r="L63" i="1"/>
  <c r="K63" i="1"/>
  <c r="J63" i="1"/>
  <c r="I63" i="1"/>
  <c r="H63" i="1"/>
  <c r="G63" i="1"/>
  <c r="F63" i="1"/>
  <c r="E63" i="1"/>
  <c r="D63" i="1"/>
  <c r="O57" i="1"/>
  <c r="N57" i="1"/>
  <c r="M57" i="1"/>
  <c r="L57" i="1"/>
  <c r="K57" i="1"/>
  <c r="J57" i="1"/>
  <c r="I57" i="1"/>
  <c r="H57" i="1"/>
  <c r="G57" i="1"/>
  <c r="F57" i="1"/>
  <c r="E57" i="1"/>
  <c r="D57" i="1"/>
  <c r="O51" i="1"/>
  <c r="N51" i="1"/>
  <c r="M51" i="1"/>
  <c r="L51" i="1"/>
  <c r="K51" i="1"/>
  <c r="J51" i="1"/>
  <c r="I51" i="1"/>
  <c r="H51" i="1"/>
  <c r="G51" i="1"/>
  <c r="F51" i="1"/>
  <c r="E51" i="1"/>
  <c r="D51" i="1"/>
  <c r="O45" i="1"/>
  <c r="N45" i="1"/>
  <c r="M45" i="1"/>
  <c r="L45" i="1"/>
  <c r="K45" i="1"/>
  <c r="J45" i="1"/>
  <c r="I45" i="1"/>
  <c r="H45" i="1"/>
  <c r="G45" i="1"/>
  <c r="F45" i="1"/>
  <c r="E45" i="1"/>
  <c r="D45" i="1"/>
  <c r="O39" i="1"/>
  <c r="N39" i="1"/>
  <c r="M39" i="1"/>
  <c r="L39" i="1"/>
  <c r="K39" i="1"/>
  <c r="J39" i="1"/>
  <c r="I39" i="1"/>
  <c r="H39" i="1"/>
  <c r="G39" i="1"/>
  <c r="F39" i="1"/>
  <c r="E39" i="1"/>
  <c r="D39" i="1"/>
  <c r="O33" i="1"/>
  <c r="N33" i="1"/>
  <c r="M33" i="1"/>
  <c r="L33" i="1"/>
  <c r="K33" i="1"/>
  <c r="J33" i="1"/>
  <c r="I33" i="1"/>
  <c r="H33" i="1"/>
  <c r="G33" i="1"/>
  <c r="F33" i="1"/>
  <c r="E33" i="1"/>
  <c r="D33" i="1"/>
  <c r="O27" i="1"/>
  <c r="N27" i="1"/>
  <c r="M27" i="1"/>
  <c r="L27" i="1"/>
  <c r="K27" i="1"/>
  <c r="J27" i="1"/>
  <c r="I27" i="1"/>
  <c r="H27" i="1"/>
  <c r="G27" i="1"/>
  <c r="F27" i="1"/>
  <c r="E27" i="1"/>
  <c r="D27" i="1"/>
  <c r="O21" i="1"/>
  <c r="N21" i="1"/>
  <c r="M21" i="1"/>
  <c r="L21" i="1"/>
  <c r="K21" i="1"/>
  <c r="J21" i="1"/>
  <c r="I21" i="1"/>
  <c r="H21" i="1"/>
  <c r="G21" i="1"/>
  <c r="F21" i="1"/>
  <c r="E21" i="1"/>
  <c r="D21" i="1"/>
  <c r="O15" i="1"/>
  <c r="N15" i="1"/>
  <c r="M15" i="1"/>
  <c r="L15" i="1"/>
  <c r="K15" i="1"/>
  <c r="J15" i="1"/>
  <c r="I15" i="1"/>
  <c r="H15" i="1"/>
  <c r="G15" i="1"/>
  <c r="F15" i="1"/>
  <c r="E15" i="1"/>
  <c r="D15" i="1"/>
  <c r="O9" i="1"/>
  <c r="N9" i="1"/>
  <c r="M9" i="1"/>
  <c r="L9" i="1"/>
  <c r="K9" i="1"/>
  <c r="J9" i="1"/>
  <c r="I9" i="1"/>
  <c r="H9" i="1"/>
  <c r="G9" i="1"/>
  <c r="F9" i="1"/>
  <c r="E9" i="1"/>
  <c r="D9" i="1"/>
  <c r="GV9" i="1"/>
  <c r="GR9" i="1"/>
  <c r="GY9" i="1" l="1"/>
  <c r="GW9" i="1"/>
  <c r="GX9" i="1"/>
  <c r="GN9" i="1"/>
  <c r="GS9" i="1"/>
  <c r="GT9" i="1"/>
  <c r="GQ9" i="1"/>
  <c r="GP9" i="1"/>
  <c r="GU9" i="1"/>
  <c r="GO9" i="1"/>
  <c r="M85" i="1" l="1"/>
  <c r="N85" i="1"/>
  <c r="J85" i="1"/>
  <c r="O85" i="1"/>
  <c r="L85" i="1"/>
  <c r="K85" i="1"/>
  <c r="I85" i="1"/>
  <c r="H85" i="1"/>
  <c r="G1" i="2" l="1"/>
  <c r="O7" i="2"/>
  <c r="N7" i="2"/>
  <c r="M7" i="2"/>
  <c r="L7" i="2"/>
  <c r="K7" i="2"/>
  <c r="J7" i="2"/>
  <c r="I7" i="2"/>
  <c r="H7" i="2"/>
  <c r="G7" i="2"/>
  <c r="F7" i="2"/>
  <c r="E7" i="2"/>
  <c r="D7" i="2"/>
  <c r="O6" i="2"/>
  <c r="N6" i="2"/>
  <c r="M6" i="2"/>
  <c r="L6" i="2"/>
  <c r="K6" i="2"/>
  <c r="J6" i="2"/>
  <c r="I6" i="2"/>
  <c r="H6" i="2"/>
  <c r="G6" i="2"/>
  <c r="F6" i="2"/>
  <c r="E6" i="2"/>
  <c r="D6" i="2"/>
  <c r="O5" i="2"/>
  <c r="N5" i="2"/>
  <c r="M5" i="2"/>
  <c r="L5" i="2"/>
  <c r="K5" i="2"/>
  <c r="J5" i="2"/>
  <c r="I5" i="2"/>
  <c r="H5" i="2"/>
  <c r="G5" i="2"/>
  <c r="F5" i="2"/>
  <c r="E5" i="2"/>
  <c r="D5" i="2"/>
  <c r="G85" i="1"/>
  <c r="F85" i="1"/>
  <c r="E85" i="1"/>
  <c r="D85" i="1"/>
  <c r="D4" i="2" l="1"/>
  <c r="F4" i="2"/>
  <c r="H4" i="2"/>
  <c r="J4" i="2"/>
  <c r="L4" i="2"/>
  <c r="N4" i="2"/>
  <c r="E4" i="2"/>
  <c r="G4" i="2"/>
  <c r="I4" i="2"/>
  <c r="K4" i="2"/>
  <c r="M4" i="2"/>
  <c r="O4" i="2"/>
  <c r="GK81" i="1" l="1"/>
  <c r="GX7" i="2"/>
  <c r="GW6" i="2"/>
  <c r="GW7" i="2"/>
  <c r="GV7" i="2"/>
  <c r="GV6" i="2"/>
  <c r="GV5" i="2"/>
  <c r="GR7" i="2"/>
  <c r="GR6" i="2"/>
  <c r="GR5" i="2"/>
  <c r="GN7" i="2"/>
  <c r="GN6" i="2"/>
  <c r="GN5" i="2"/>
  <c r="GX6" i="2"/>
  <c r="GY7" i="2"/>
  <c r="GX5" i="2"/>
  <c r="GY6" i="2"/>
  <c r="GT7" i="2"/>
  <c r="GT6" i="2"/>
  <c r="GP7" i="2"/>
  <c r="GP6" i="2"/>
  <c r="GW5" i="2"/>
  <c r="GT5" i="2"/>
  <c r="GS7" i="2"/>
  <c r="GS5" i="2"/>
  <c r="GP5" i="2"/>
  <c r="GO7" i="2"/>
  <c r="GO5" i="2"/>
  <c r="GY5" i="2"/>
  <c r="GS6" i="2"/>
  <c r="GU7" i="2"/>
  <c r="GU6" i="2"/>
  <c r="GU5" i="2"/>
  <c r="GQ7" i="2"/>
  <c r="GQ6" i="2"/>
  <c r="GQ5" i="2"/>
  <c r="GO6" i="2"/>
  <c r="GW4" i="2"/>
  <c r="GX85" i="1" l="1"/>
  <c r="GV85" i="1"/>
  <c r="GV4" i="2"/>
  <c r="GR85" i="1"/>
  <c r="GR4" i="2"/>
  <c r="GN85" i="1"/>
  <c r="GN4" i="2"/>
  <c r="GP85" i="1"/>
  <c r="GW8" i="2"/>
  <c r="GW85" i="1"/>
  <c r="GT85" i="1"/>
  <c r="GS85" i="1"/>
  <c r="GO85" i="1"/>
  <c r="GY85" i="1"/>
  <c r="GY4" i="2"/>
  <c r="GY8" i="2" s="1"/>
  <c r="GU85" i="1"/>
  <c r="GQ85" i="1"/>
  <c r="GS4" i="2"/>
  <c r="GO4" i="2"/>
  <c r="GU4" i="2"/>
  <c r="GQ4" i="2"/>
  <c r="GX4" i="2"/>
  <c r="GT4" i="2"/>
  <c r="GP4" i="2"/>
  <c r="E8" i="2"/>
  <c r="G8" i="2"/>
  <c r="I8" i="2"/>
  <c r="K8" i="2"/>
  <c r="M8" i="2"/>
  <c r="O8" i="2"/>
  <c r="GX8" i="2" l="1"/>
  <c r="GU8" i="2"/>
  <c r="GS8" i="2"/>
  <c r="GQ8" i="2"/>
  <c r="GO8" i="2"/>
  <c r="GV8" i="2"/>
  <c r="GR8" i="2"/>
  <c r="GN8" i="2"/>
  <c r="GT8" i="2"/>
  <c r="GP8" i="2"/>
  <c r="N8" i="2"/>
  <c r="L8" i="2"/>
  <c r="J8" i="2"/>
  <c r="H8" i="2"/>
  <c r="F8" i="2"/>
  <c r="D8" i="2"/>
  <c r="GT2" i="1" l="1"/>
  <c r="GR78" i="1" l="1"/>
  <c r="GQ1" i="2"/>
</calcChain>
</file>

<file path=xl/sharedStrings.xml><?xml version="1.0" encoding="utf-8"?>
<sst xmlns="http://schemas.openxmlformats.org/spreadsheetml/2006/main" count="3111" uniqueCount="36">
  <si>
    <t>شهر</t>
  </si>
  <si>
    <t>مراجعي الأمراض المزمنة</t>
  </si>
  <si>
    <t>مرضى السكري</t>
  </si>
  <si>
    <t>مرضى ضغط الدم</t>
  </si>
  <si>
    <t>مرضى الربو</t>
  </si>
  <si>
    <t>الجنسية</t>
  </si>
  <si>
    <t>الجنس</t>
  </si>
  <si>
    <t>المسجلين</t>
  </si>
  <si>
    <t>الجدد</t>
  </si>
  <si>
    <t>المحالين</t>
  </si>
  <si>
    <t>ذكر</t>
  </si>
  <si>
    <t>سعودي</t>
  </si>
  <si>
    <t>أنثى</t>
  </si>
  <si>
    <t>غير</t>
  </si>
  <si>
    <t>المجموع</t>
  </si>
  <si>
    <t xml:space="preserve">العدد المتوقع للمصابين :   </t>
  </si>
  <si>
    <t>مرضى الضغط</t>
  </si>
  <si>
    <t>م.الربو</t>
  </si>
  <si>
    <t>مراكز</t>
  </si>
  <si>
    <t>عام</t>
  </si>
  <si>
    <t>المركز الصحي</t>
  </si>
  <si>
    <t>عدد الزيارات خلال الشهر</t>
  </si>
  <si>
    <t>زيارات</t>
  </si>
  <si>
    <t>عدد الزيارات خلال العام</t>
  </si>
  <si>
    <t>محمد الزهراني</t>
  </si>
  <si>
    <t>الربيع والتوفيق</t>
  </si>
  <si>
    <t>السليمانية</t>
  </si>
  <si>
    <t>المطار القديم</t>
  </si>
  <si>
    <t>الروابي</t>
  </si>
  <si>
    <t>قويزة</t>
  </si>
  <si>
    <t>عدد الزيارات</t>
  </si>
  <si>
    <t>الرغامة</t>
  </si>
  <si>
    <t>الجامعة</t>
  </si>
  <si>
    <t>إجمالي مراكز شرق جدة</t>
  </si>
  <si>
    <t>ادارة الاحصاء</t>
  </si>
  <si>
    <t>الواحة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</si>
</sst>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  <charset val="178"/>
    </font>
    <font>
      <b/>
      <sz val="12"/>
      <name val="Arial"/>
      <family val="2"/>
      <charset val="178"/>
    </font>
    <font>
      <b/>
      <sz val="12"/>
      <color indexed="10"/>
      <name val="Arial"/>
      <family val="2"/>
      <charset val="178"/>
    </font>
    <font>
      <sz val="12"/>
      <name val="Arial"/>
      <family val="2"/>
      <charset val="178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</fills>
  <borders count="9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3" fillId="2" borderId="0" xfId="0" applyFont="1" applyFill="1" applyAlignment="1">
      <alignment readingOrder="2"/>
    </xf>
    <xf numFmtId="0" fontId="3" fillId="0" borderId="0" xfId="0" applyFont="1" applyAlignment="1">
      <alignment readingOrder="2"/>
    </xf>
    <xf numFmtId="0" fontId="1" fillId="2" borderId="1" xfId="0" applyFont="1" applyFill="1" applyBorder="1" applyAlignment="1">
      <alignment horizontal="center" readingOrder="2"/>
    </xf>
    <xf numFmtId="0" fontId="1" fillId="0" borderId="2" xfId="0" applyFont="1" applyBorder="1" applyAlignment="1">
      <alignment horizontal="center" readingOrder="2"/>
    </xf>
    <xf numFmtId="0" fontId="1" fillId="0" borderId="3" xfId="0" applyFont="1" applyBorder="1" applyAlignment="1">
      <alignment horizontal="center" readingOrder="2"/>
    </xf>
    <xf numFmtId="0" fontId="1" fillId="2" borderId="4" xfId="0" applyFont="1" applyFill="1" applyBorder="1" applyAlignment="1">
      <alignment horizontal="center" readingOrder="2"/>
    </xf>
    <xf numFmtId="0" fontId="1" fillId="0" borderId="5" xfId="0" applyFont="1" applyBorder="1" applyAlignment="1">
      <alignment horizontal="center" readingOrder="2"/>
    </xf>
    <xf numFmtId="0" fontId="1" fillId="0" borderId="6" xfId="0" applyFont="1" applyBorder="1" applyAlignment="1">
      <alignment horizontal="center" readingOrder="2"/>
    </xf>
    <xf numFmtId="0" fontId="4" fillId="3" borderId="7" xfId="0" applyFont="1" applyFill="1" applyBorder="1" applyAlignment="1">
      <alignment horizontal="center" vertical="center" readingOrder="2"/>
    </xf>
    <xf numFmtId="0" fontId="4" fillId="4" borderId="0" xfId="0" applyFont="1" applyFill="1" applyAlignment="1">
      <alignment readingOrder="2"/>
    </xf>
    <xf numFmtId="0" fontId="4" fillId="3" borderId="8" xfId="0" applyFont="1" applyFill="1" applyBorder="1" applyAlignment="1">
      <alignment horizontal="center" vertical="center" readingOrder="2"/>
    </xf>
    <xf numFmtId="0" fontId="4" fillId="3" borderId="9" xfId="0" applyFont="1" applyFill="1" applyBorder="1" applyAlignment="1">
      <alignment horizontal="center" vertical="center" readingOrder="2"/>
    </xf>
    <xf numFmtId="0" fontId="4" fillId="3" borderId="10" xfId="0" applyFont="1" applyFill="1" applyBorder="1" applyAlignment="1">
      <alignment horizontal="center" vertical="center" readingOrder="2"/>
    </xf>
    <xf numFmtId="0" fontId="4" fillId="3" borderId="10" xfId="0" applyFont="1" applyFill="1" applyBorder="1" applyAlignment="1">
      <alignment horizontal="center" vertical="center" wrapText="1" readingOrder="2"/>
    </xf>
    <xf numFmtId="0" fontId="4" fillId="5" borderId="0" xfId="0" applyFont="1" applyFill="1" applyAlignment="1">
      <alignment readingOrder="2"/>
    </xf>
    <xf numFmtId="0" fontId="4" fillId="0" borderId="0" xfId="0" applyFont="1" applyAlignment="1">
      <alignment readingOrder="2"/>
    </xf>
    <xf numFmtId="0" fontId="1" fillId="0" borderId="13" xfId="0" applyFont="1" applyBorder="1" applyAlignment="1">
      <alignment readingOrder="2"/>
    </xf>
    <xf numFmtId="0" fontId="1" fillId="0" borderId="14" xfId="0" applyFont="1" applyBorder="1" applyAlignment="1">
      <alignment readingOrder="2"/>
    </xf>
    <xf numFmtId="0" fontId="1" fillId="0" borderId="15" xfId="0" applyFont="1" applyBorder="1" applyAlignment="1">
      <alignment readingOrder="2"/>
    </xf>
    <xf numFmtId="0" fontId="1" fillId="0" borderId="16" xfId="0" applyFont="1" applyBorder="1" applyAlignment="1">
      <alignment readingOrder="2"/>
    </xf>
    <xf numFmtId="0" fontId="1" fillId="0" borderId="17" xfId="0" applyFont="1" applyBorder="1" applyAlignment="1">
      <alignment readingOrder="2"/>
    </xf>
    <xf numFmtId="0" fontId="1" fillId="0" borderId="18" xfId="0" applyFont="1" applyBorder="1" applyAlignment="1">
      <alignment readingOrder="2"/>
    </xf>
    <xf numFmtId="0" fontId="1" fillId="0" borderId="19" xfId="0" applyFont="1" applyBorder="1" applyAlignment="1">
      <alignment readingOrder="2"/>
    </xf>
    <xf numFmtId="0" fontId="1" fillId="0" borderId="20" xfId="0" applyFont="1" applyBorder="1" applyAlignment="1">
      <alignment readingOrder="2"/>
    </xf>
    <xf numFmtId="0" fontId="1" fillId="0" borderId="21" xfId="0" applyFont="1" applyBorder="1" applyAlignment="1">
      <alignment readingOrder="2"/>
    </xf>
    <xf numFmtId="0" fontId="2" fillId="0" borderId="22" xfId="0" applyFont="1" applyBorder="1" applyAlignment="1">
      <alignment readingOrder="2"/>
    </xf>
    <xf numFmtId="0" fontId="2" fillId="0" borderId="23" xfId="0" applyFont="1" applyBorder="1" applyAlignment="1">
      <alignment readingOrder="2"/>
    </xf>
    <xf numFmtId="0" fontId="6" fillId="6" borderId="0" xfId="0" applyFont="1" applyFill="1" applyAlignment="1">
      <alignment readingOrder="2"/>
    </xf>
    <xf numFmtId="0" fontId="6" fillId="4" borderId="0" xfId="0" applyFont="1" applyFill="1" applyAlignment="1">
      <alignment readingOrder="2"/>
    </xf>
    <xf numFmtId="0" fontId="6" fillId="0" borderId="0" xfId="0" applyFont="1" applyAlignment="1">
      <alignment readingOrder="2"/>
    </xf>
    <xf numFmtId="0" fontId="6" fillId="5" borderId="0" xfId="0" applyFont="1" applyFill="1" applyAlignment="1">
      <alignment readingOrder="2"/>
    </xf>
    <xf numFmtId="0" fontId="7" fillId="0" borderId="0" xfId="0" applyFont="1"/>
    <xf numFmtId="0" fontId="8" fillId="6" borderId="0" xfId="0" applyFont="1" applyFill="1" applyAlignment="1">
      <alignment readingOrder="2"/>
    </xf>
    <xf numFmtId="0" fontId="6" fillId="6" borderId="0" xfId="0" applyFont="1" applyFill="1" applyAlignment="1">
      <alignment horizontal="center" readingOrder="2"/>
    </xf>
    <xf numFmtId="0" fontId="8" fillId="6" borderId="0" xfId="0" applyFont="1" applyFill="1" applyAlignment="1">
      <alignment horizontal="center" readingOrder="2"/>
    </xf>
    <xf numFmtId="0" fontId="9" fillId="6" borderId="0" xfId="0" applyFont="1" applyFill="1" applyAlignment="1">
      <alignment horizontal="center" readingOrder="2"/>
    </xf>
    <xf numFmtId="0" fontId="6" fillId="6" borderId="0" xfId="0" applyFont="1" applyFill="1" applyAlignment="1">
      <alignment horizontal="left" readingOrder="2"/>
    </xf>
    <xf numFmtId="0" fontId="6" fillId="3" borderId="4" xfId="0" applyFont="1" applyFill="1" applyBorder="1" applyAlignment="1">
      <alignment horizontal="center" readingOrder="2"/>
    </xf>
    <xf numFmtId="0" fontId="6" fillId="3" borderId="2" xfId="0" applyFont="1" applyFill="1" applyBorder="1" applyAlignment="1">
      <alignment horizontal="center" readingOrder="2"/>
    </xf>
    <xf numFmtId="0" fontId="6" fillId="0" borderId="13" xfId="0" applyFont="1" applyBorder="1" applyAlignment="1">
      <alignment readingOrder="2"/>
    </xf>
    <xf numFmtId="0" fontId="6" fillId="0" borderId="14" xfId="0" applyFont="1" applyBorder="1" applyAlignment="1">
      <alignment readingOrder="2"/>
    </xf>
    <xf numFmtId="0" fontId="6" fillId="0" borderId="15" xfId="0" applyFont="1" applyBorder="1" applyAlignment="1">
      <alignment readingOrder="2"/>
    </xf>
    <xf numFmtId="0" fontId="6" fillId="3" borderId="15" xfId="0" applyFont="1" applyFill="1" applyBorder="1" applyAlignment="1">
      <alignment readingOrder="2"/>
    </xf>
    <xf numFmtId="0" fontId="6" fillId="2" borderId="4" xfId="0" applyFont="1" applyFill="1" applyBorder="1" applyAlignment="1">
      <alignment horizontal="center" readingOrder="2"/>
    </xf>
    <xf numFmtId="0" fontId="6" fillId="0" borderId="2" xfId="0" applyFont="1" applyBorder="1" applyAlignment="1">
      <alignment horizontal="center" readingOrder="2"/>
    </xf>
    <xf numFmtId="0" fontId="6" fillId="3" borderId="1" xfId="0" applyFont="1" applyFill="1" applyBorder="1" applyAlignment="1">
      <alignment horizontal="center" readingOrder="2"/>
    </xf>
    <xf numFmtId="0" fontId="6" fillId="3" borderId="3" xfId="0" applyFont="1" applyFill="1" applyBorder="1" applyAlignment="1">
      <alignment horizontal="center" readingOrder="2"/>
    </xf>
    <xf numFmtId="0" fontId="6" fillId="0" borderId="16" xfId="0" applyFont="1" applyBorder="1" applyAlignment="1">
      <alignment readingOrder="2"/>
    </xf>
    <xf numFmtId="0" fontId="6" fillId="0" borderId="17" xfId="0" applyFont="1" applyBorder="1" applyAlignment="1">
      <alignment readingOrder="2"/>
    </xf>
    <xf numFmtId="0" fontId="6" fillId="0" borderId="18" xfId="0" applyFont="1" applyBorder="1" applyAlignment="1">
      <alignment readingOrder="2"/>
    </xf>
    <xf numFmtId="0" fontId="6" fillId="3" borderId="18" xfId="0" applyFont="1" applyFill="1" applyBorder="1" applyAlignment="1">
      <alignment readingOrder="2"/>
    </xf>
    <xf numFmtId="0" fontId="6" fillId="2" borderId="1" xfId="0" applyFont="1" applyFill="1" applyBorder="1" applyAlignment="1">
      <alignment horizontal="center" readingOrder="2"/>
    </xf>
    <xf numFmtId="0" fontId="6" fillId="0" borderId="3" xfId="0" applyFont="1" applyBorder="1" applyAlignment="1">
      <alignment horizontal="center" readingOrder="2"/>
    </xf>
    <xf numFmtId="0" fontId="6" fillId="3" borderId="5" xfId="0" applyFont="1" applyFill="1" applyBorder="1" applyAlignment="1">
      <alignment horizontal="center" readingOrder="2"/>
    </xf>
    <xf numFmtId="0" fontId="6" fillId="0" borderId="5" xfId="0" applyFont="1" applyBorder="1" applyAlignment="1">
      <alignment horizontal="center" readingOrder="2"/>
    </xf>
    <xf numFmtId="0" fontId="6" fillId="3" borderId="6" xfId="0" applyFont="1" applyFill="1" applyBorder="1" applyAlignment="1">
      <alignment horizontal="center" readingOrder="2"/>
    </xf>
    <xf numFmtId="0" fontId="6" fillId="0" borderId="6" xfId="0" applyFont="1" applyBorder="1" applyAlignment="1">
      <alignment horizontal="center" readingOrder="2"/>
    </xf>
    <xf numFmtId="0" fontId="8" fillId="5" borderId="8" xfId="0" applyFont="1" applyFill="1" applyBorder="1" applyAlignment="1">
      <alignment readingOrder="2"/>
    </xf>
    <xf numFmtId="0" fontId="8" fillId="5" borderId="9" xfId="0" applyFont="1" applyFill="1" applyBorder="1" applyAlignment="1">
      <alignment readingOrder="2"/>
    </xf>
    <xf numFmtId="0" fontId="8" fillId="5" borderId="10" xfId="0" applyFont="1" applyFill="1" applyBorder="1" applyAlignment="1">
      <alignment readingOrder="2"/>
    </xf>
    <xf numFmtId="0" fontId="8" fillId="3" borderId="10" xfId="0" applyFont="1" applyFill="1" applyBorder="1" applyAlignment="1">
      <alignment readingOrder="2"/>
    </xf>
    <xf numFmtId="1" fontId="8" fillId="0" borderId="22" xfId="0" applyNumberFormat="1" applyFont="1" applyBorder="1" applyAlignment="1">
      <alignment readingOrder="2"/>
    </xf>
    <xf numFmtId="0" fontId="8" fillId="0" borderId="23" xfId="0" applyFont="1" applyBorder="1" applyAlignment="1">
      <alignment readingOrder="2"/>
    </xf>
    <xf numFmtId="0" fontId="8" fillId="0" borderId="24" xfId="0" applyFont="1" applyBorder="1" applyAlignment="1">
      <alignment readingOrder="2"/>
    </xf>
    <xf numFmtId="0" fontId="6" fillId="3" borderId="0" xfId="0" applyFont="1" applyFill="1" applyAlignment="1">
      <alignment readingOrder="2"/>
    </xf>
    <xf numFmtId="0" fontId="6" fillId="7" borderId="0" xfId="0" applyFont="1" applyFill="1" applyAlignment="1">
      <alignment readingOrder="2"/>
    </xf>
    <xf numFmtId="0" fontId="8" fillId="2" borderId="0" xfId="0" applyFont="1" applyFill="1" applyAlignment="1">
      <alignment readingOrder="2"/>
    </xf>
    <xf numFmtId="0" fontId="6" fillId="2" borderId="0" xfId="0" applyFont="1" applyFill="1" applyAlignment="1">
      <alignment readingOrder="2"/>
    </xf>
    <xf numFmtId="0" fontId="6" fillId="2" borderId="0" xfId="0" applyFont="1" applyFill="1" applyAlignment="1">
      <alignment horizontal="center" readingOrder="2"/>
    </xf>
    <xf numFmtId="0" fontId="8" fillId="2" borderId="0" xfId="0" applyFont="1" applyFill="1" applyAlignment="1">
      <alignment horizontal="center" readingOrder="2"/>
    </xf>
    <xf numFmtId="0" fontId="6" fillId="2" borderId="0" xfId="0" applyFont="1" applyFill="1" applyAlignment="1">
      <alignment horizontal="left" readingOrder="2"/>
    </xf>
    <xf numFmtId="0" fontId="8" fillId="6" borderId="22" xfId="0" applyFont="1" applyFill="1" applyBorder="1" applyAlignment="1">
      <alignment readingOrder="2"/>
    </xf>
    <xf numFmtId="0" fontId="8" fillId="6" borderId="23" xfId="0" applyFont="1" applyFill="1" applyBorder="1" applyAlignment="1">
      <alignment readingOrder="2"/>
    </xf>
    <xf numFmtId="0" fontId="8" fillId="6" borderId="24" xfId="0" applyFont="1" applyFill="1" applyBorder="1" applyAlignment="1">
      <alignment readingOrder="2"/>
    </xf>
    <xf numFmtId="0" fontId="9" fillId="2" borderId="0" xfId="0" applyFont="1" applyFill="1" applyAlignment="1">
      <alignment horizontal="center" readingOrder="2"/>
    </xf>
    <xf numFmtId="0" fontId="5" fillId="0" borderId="0" xfId="0" applyFont="1"/>
    <xf numFmtId="0" fontId="4" fillId="4" borderId="0" xfId="0" applyFont="1" applyFill="1" applyAlignment="1">
      <alignment vertical="center" readingOrder="2"/>
    </xf>
    <xf numFmtId="0" fontId="4" fillId="5" borderId="0" xfId="0" applyFont="1" applyFill="1" applyAlignment="1">
      <alignment vertical="center" readingOrder="2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readingOrder="2"/>
    </xf>
    <xf numFmtId="0" fontId="2" fillId="8" borderId="38" xfId="0" applyFont="1" applyFill="1" applyBorder="1" applyAlignment="1">
      <alignment readingOrder="2"/>
    </xf>
    <xf numFmtId="0" fontId="2" fillId="8" borderId="39" xfId="0" applyFont="1" applyFill="1" applyBorder="1" applyAlignment="1">
      <alignment readingOrder="2"/>
    </xf>
    <xf numFmtId="0" fontId="3" fillId="8" borderId="39" xfId="0" applyFont="1" applyFill="1" applyBorder="1" applyAlignment="1">
      <alignment readingOrder="2"/>
    </xf>
    <xf numFmtId="0" fontId="1" fillId="8" borderId="39" xfId="0" applyFont="1" applyFill="1" applyBorder="1" applyAlignment="1">
      <alignment horizontal="center" readingOrder="2"/>
    </xf>
    <xf numFmtId="0" fontId="2" fillId="8" borderId="39" xfId="0" applyFont="1" applyFill="1" applyBorder="1" applyAlignment="1">
      <alignment horizontal="center" readingOrder="2"/>
    </xf>
    <xf numFmtId="0" fontId="1" fillId="8" borderId="39" xfId="0" applyFont="1" applyFill="1" applyBorder="1" applyAlignment="1">
      <alignment readingOrder="2"/>
    </xf>
    <xf numFmtId="0" fontId="3" fillId="8" borderId="40" xfId="0" applyFont="1" applyFill="1" applyBorder="1" applyAlignment="1">
      <alignment readingOrder="2"/>
    </xf>
    <xf numFmtId="0" fontId="1" fillId="2" borderId="0" xfId="0" applyFont="1" applyFill="1" applyAlignment="1">
      <alignment readingOrder="2"/>
    </xf>
    <xf numFmtId="0" fontId="10" fillId="0" borderId="42" xfId="0" applyFont="1" applyBorder="1" applyAlignment="1">
      <alignment readingOrder="2"/>
    </xf>
    <xf numFmtId="0" fontId="10" fillId="0" borderId="28" xfId="0" applyFont="1" applyBorder="1" applyAlignment="1">
      <alignment readingOrder="2"/>
    </xf>
    <xf numFmtId="0" fontId="10" fillId="0" borderId="29" xfId="0" applyFont="1" applyBorder="1" applyAlignment="1">
      <alignment horizontal="left" readingOrder="2"/>
    </xf>
    <xf numFmtId="0" fontId="10" fillId="0" borderId="0" xfId="0" applyFont="1" applyAlignment="1">
      <alignment readingOrder="2"/>
    </xf>
    <xf numFmtId="0" fontId="3" fillId="8" borderId="0" xfId="0" applyFont="1" applyFill="1" applyAlignment="1">
      <alignment readingOrder="2"/>
    </xf>
    <xf numFmtId="0" fontId="10" fillId="8" borderId="0" xfId="0" applyFont="1" applyFill="1" applyAlignment="1">
      <alignment readingOrder="2"/>
    </xf>
    <xf numFmtId="0" fontId="6" fillId="8" borderId="0" xfId="0" applyFont="1" applyFill="1" applyAlignment="1">
      <alignment readingOrder="2"/>
    </xf>
    <xf numFmtId="0" fontId="1" fillId="2" borderId="4" xfId="0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2" fillId="2" borderId="7" xfId="0" applyFont="1" applyFill="1" applyBorder="1" applyAlignment="1">
      <alignment horizontal="center" vertical="center" wrapText="1" readingOrder="2"/>
    </xf>
    <xf numFmtId="0" fontId="1" fillId="2" borderId="41" xfId="0" applyFont="1" applyFill="1" applyBorder="1" applyAlignment="1">
      <alignment readingOrder="2"/>
    </xf>
    <xf numFmtId="0" fontId="1" fillId="0" borderId="30" xfId="0" applyFont="1" applyBorder="1" applyAlignment="1">
      <alignment horizontal="center" vertical="center" readingOrder="2"/>
    </xf>
    <xf numFmtId="0" fontId="1" fillId="0" borderId="31" xfId="0" applyFont="1" applyBorder="1" applyAlignment="1">
      <alignment horizontal="center" vertical="center" readingOrder="2"/>
    </xf>
    <xf numFmtId="0" fontId="1" fillId="0" borderId="8" xfId="0" applyFont="1" applyBorder="1" applyAlignment="1">
      <alignment horizontal="center" vertical="center" readingOrder="2"/>
    </xf>
    <xf numFmtId="0" fontId="1" fillId="0" borderId="9" xfId="0" applyFont="1" applyBorder="1" applyAlignment="1">
      <alignment horizontal="center" vertical="center" readingOrder="2"/>
    </xf>
    <xf numFmtId="0" fontId="1" fillId="0" borderId="12" xfId="0" applyFont="1" applyBorder="1" applyAlignment="1">
      <alignment horizontal="center" vertical="center" readingOrder="2"/>
    </xf>
    <xf numFmtId="0" fontId="3" fillId="8" borderId="0" xfId="0" applyFont="1" applyFill="1" applyAlignment="1">
      <alignment vertical="center" readingOrder="2"/>
    </xf>
    <xf numFmtId="0" fontId="3" fillId="0" borderId="0" xfId="0" applyFont="1" applyAlignment="1">
      <alignment vertical="center" readingOrder="2"/>
    </xf>
    <xf numFmtId="0" fontId="1" fillId="0" borderId="44" xfId="0" applyFont="1" applyBorder="1" applyAlignment="1">
      <alignment horizontal="center" vertical="center" readingOrder="2"/>
    </xf>
    <xf numFmtId="0" fontId="1" fillId="2" borderId="46" xfId="0" applyFont="1" applyFill="1" applyBorder="1" applyAlignment="1">
      <alignment horizontal="center" vertical="center" readingOrder="2"/>
    </xf>
    <xf numFmtId="0" fontId="1" fillId="2" borderId="25" xfId="0" applyFont="1" applyFill="1" applyBorder="1" applyAlignment="1">
      <alignment horizontal="center" vertical="center" readingOrder="2"/>
    </xf>
    <xf numFmtId="0" fontId="1" fillId="2" borderId="47" xfId="0" applyFont="1" applyFill="1" applyBorder="1" applyAlignment="1">
      <alignment horizontal="center" vertical="center" readingOrder="2"/>
    </xf>
    <xf numFmtId="0" fontId="4" fillId="3" borderId="11" xfId="0" applyFont="1" applyFill="1" applyBorder="1" applyAlignment="1">
      <alignment vertical="center" readingOrder="2"/>
    </xf>
    <xf numFmtId="0" fontId="4" fillId="2" borderId="11" xfId="0" applyFont="1" applyFill="1" applyBorder="1" applyAlignment="1">
      <alignment vertical="center" readingOrder="2"/>
    </xf>
    <xf numFmtId="0" fontId="4" fillId="2" borderId="4" xfId="0" applyFont="1" applyFill="1" applyBorder="1" applyAlignment="1">
      <alignment vertical="center" readingOrder="2"/>
    </xf>
    <xf numFmtId="0" fontId="4" fillId="8" borderId="0" xfId="0" applyFont="1" applyFill="1" applyAlignment="1">
      <alignment vertical="center" readingOrder="2"/>
    </xf>
    <xf numFmtId="0" fontId="4" fillId="6" borderId="30" xfId="0" applyFont="1" applyFill="1" applyBorder="1" applyAlignment="1">
      <alignment horizontal="center" vertical="center" readingOrder="2"/>
    </xf>
    <xf numFmtId="0" fontId="4" fillId="6" borderId="31" xfId="0" applyFont="1" applyFill="1" applyBorder="1" applyAlignment="1">
      <alignment horizontal="center" vertical="center" readingOrder="2"/>
    </xf>
    <xf numFmtId="0" fontId="4" fillId="6" borderId="32" xfId="0" applyFont="1" applyFill="1" applyBorder="1" applyAlignment="1">
      <alignment horizontal="center" vertical="center" readingOrder="2"/>
    </xf>
    <xf numFmtId="0" fontId="4" fillId="6" borderId="44" xfId="0" applyFont="1" applyFill="1" applyBorder="1" applyAlignment="1">
      <alignment horizontal="center" vertical="center" readingOrder="2"/>
    </xf>
    <xf numFmtId="0" fontId="4" fillId="2" borderId="7" xfId="0" applyFont="1" applyFill="1" applyBorder="1" applyAlignment="1">
      <alignment horizontal="center" vertical="center" readingOrder="2"/>
    </xf>
    <xf numFmtId="0" fontId="4" fillId="0" borderId="7" xfId="0" applyFont="1" applyBorder="1" applyAlignment="1">
      <alignment horizontal="center" vertical="center" readingOrder="2"/>
    </xf>
    <xf numFmtId="0" fontId="6" fillId="9" borderId="0" xfId="0" applyFont="1" applyFill="1" applyAlignment="1">
      <alignment readingOrder="2"/>
    </xf>
    <xf numFmtId="0" fontId="2" fillId="0" borderId="48" xfId="0" applyFont="1" applyBorder="1" applyAlignment="1">
      <alignment readingOrder="2"/>
    </xf>
    <xf numFmtId="0" fontId="2" fillId="0" borderId="1" xfId="0" applyFont="1" applyBorder="1" applyAlignment="1">
      <alignment readingOrder="2"/>
    </xf>
    <xf numFmtId="0" fontId="1" fillId="0" borderId="26" xfId="0" applyFont="1" applyBorder="1" applyAlignment="1">
      <alignment readingOrder="2"/>
    </xf>
    <xf numFmtId="0" fontId="1" fillId="0" borderId="27" xfId="0" applyFont="1" applyBorder="1" applyAlignment="1">
      <alignment readingOrder="2"/>
    </xf>
    <xf numFmtId="0" fontId="1" fillId="0" borderId="33" xfId="0" applyFont="1" applyBorder="1" applyAlignment="1">
      <alignment readingOrder="2"/>
    </xf>
    <xf numFmtId="0" fontId="1" fillId="0" borderId="34" xfId="0" applyFont="1" applyBorder="1" applyAlignment="1">
      <alignment readingOrder="2"/>
    </xf>
    <xf numFmtId="0" fontId="1" fillId="0" borderId="45" xfId="0" applyFont="1" applyBorder="1" applyAlignment="1">
      <alignment readingOrder="2"/>
    </xf>
    <xf numFmtId="0" fontId="1" fillId="0" borderId="35" xfId="0" applyFont="1" applyBorder="1" applyAlignment="1">
      <alignment readingOrder="2"/>
    </xf>
    <xf numFmtId="0" fontId="8" fillId="8" borderId="42" xfId="0" applyFont="1" applyFill="1" applyBorder="1" applyAlignment="1">
      <alignment readingOrder="2"/>
    </xf>
    <xf numFmtId="0" fontId="8" fillId="8" borderId="28" xfId="0" applyFont="1" applyFill="1" applyBorder="1" applyAlignment="1">
      <alignment readingOrder="2"/>
    </xf>
    <xf numFmtId="0" fontId="6" fillId="8" borderId="28" xfId="0" applyFont="1" applyFill="1" applyBorder="1" applyAlignment="1">
      <alignment readingOrder="2"/>
    </xf>
    <xf numFmtId="0" fontId="6" fillId="8" borderId="28" xfId="0" applyFont="1" applyFill="1" applyBorder="1" applyAlignment="1">
      <alignment horizontal="center" readingOrder="2"/>
    </xf>
    <xf numFmtId="0" fontId="8" fillId="8" borderId="28" xfId="0" applyFont="1" applyFill="1" applyBorder="1" applyAlignment="1">
      <alignment horizontal="center" readingOrder="2"/>
    </xf>
    <xf numFmtId="0" fontId="6" fillId="8" borderId="28" xfId="0" applyFont="1" applyFill="1" applyBorder="1" applyAlignment="1">
      <alignment horizontal="left" readingOrder="2"/>
    </xf>
    <xf numFmtId="0" fontId="6" fillId="8" borderId="29" xfId="0" applyFont="1" applyFill="1" applyBorder="1" applyAlignment="1">
      <alignment horizontal="left" readingOrder="2"/>
    </xf>
    <xf numFmtId="0" fontId="6" fillId="0" borderId="25" xfId="0" applyFont="1" applyBorder="1" applyAlignment="1">
      <alignment readingOrder="2"/>
    </xf>
    <xf numFmtId="0" fontId="8" fillId="0" borderId="38" xfId="0" applyFont="1" applyBorder="1" applyAlignment="1">
      <alignment vertical="center" wrapText="1" readingOrder="2"/>
    </xf>
    <xf numFmtId="0" fontId="8" fillId="0" borderId="39" xfId="0" applyFont="1" applyBorder="1" applyAlignment="1">
      <alignment vertical="center" wrapText="1" readingOrder="2"/>
    </xf>
    <xf numFmtId="0" fontId="6" fillId="7" borderId="39" xfId="0" applyFont="1" applyFill="1" applyBorder="1" applyAlignment="1">
      <alignment readingOrder="2"/>
    </xf>
    <xf numFmtId="0" fontId="6" fillId="0" borderId="49" xfId="0" applyFont="1" applyBorder="1" applyAlignment="1">
      <alignment readingOrder="2"/>
    </xf>
    <xf numFmtId="0" fontId="6" fillId="3" borderId="28" xfId="0" applyFont="1" applyFill="1" applyBorder="1" applyAlignment="1">
      <alignment readingOrder="2"/>
    </xf>
    <xf numFmtId="0" fontId="6" fillId="7" borderId="28" xfId="0" applyFont="1" applyFill="1" applyBorder="1" applyAlignment="1">
      <alignment readingOrder="2"/>
    </xf>
    <xf numFmtId="0" fontId="6" fillId="10" borderId="28" xfId="0" applyFont="1" applyFill="1" applyBorder="1" applyAlignment="1">
      <alignment readingOrder="2"/>
    </xf>
    <xf numFmtId="0" fontId="6" fillId="3" borderId="38" xfId="0" applyFont="1" applyFill="1" applyBorder="1" applyAlignment="1">
      <alignment readingOrder="2"/>
    </xf>
    <xf numFmtId="0" fontId="6" fillId="3" borderId="39" xfId="0" applyFont="1" applyFill="1" applyBorder="1" applyAlignment="1">
      <alignment readingOrder="2"/>
    </xf>
    <xf numFmtId="0" fontId="6" fillId="7" borderId="40" xfId="0" applyFont="1" applyFill="1" applyBorder="1" applyAlignment="1">
      <alignment readingOrder="2"/>
    </xf>
    <xf numFmtId="0" fontId="6" fillId="0" borderId="50" xfId="0" applyFont="1" applyBorder="1" applyAlignment="1">
      <alignment horizontal="right" wrapText="1" readingOrder="2"/>
    </xf>
    <xf numFmtId="0" fontId="6" fillId="0" borderId="51" xfId="0" applyFont="1" applyBorder="1" applyAlignment="1">
      <alignment horizontal="right" wrapText="1" readingOrder="2"/>
    </xf>
    <xf numFmtId="0" fontId="6" fillId="0" borderId="52" xfId="0" applyFont="1" applyBorder="1" applyAlignment="1">
      <alignment horizontal="right" wrapText="1" readingOrder="2"/>
    </xf>
    <xf numFmtId="0" fontId="6" fillId="12" borderId="52" xfId="0" applyFont="1" applyFill="1" applyBorder="1" applyAlignment="1">
      <alignment horizontal="right" wrapText="1" readingOrder="2"/>
    </xf>
    <xf numFmtId="0" fontId="6" fillId="0" borderId="53" xfId="0" applyFont="1" applyBorder="1" applyAlignment="1">
      <alignment horizontal="right" wrapText="1" readingOrder="2"/>
    </xf>
    <xf numFmtId="0" fontId="6" fillId="0" borderId="54" xfId="0" applyFont="1" applyBorder="1" applyAlignment="1">
      <alignment horizontal="right" wrapText="1" readingOrder="2"/>
    </xf>
    <xf numFmtId="0" fontId="6" fillId="0" borderId="55" xfId="0" applyFont="1" applyBorder="1" applyAlignment="1">
      <alignment horizontal="right" wrapText="1" readingOrder="2"/>
    </xf>
    <xf numFmtId="0" fontId="6" fillId="12" borderId="55" xfId="0" applyFont="1" applyFill="1" applyBorder="1" applyAlignment="1">
      <alignment horizontal="right" wrapText="1" readingOrder="2"/>
    </xf>
    <xf numFmtId="0" fontId="6" fillId="0" borderId="56" xfId="0" applyFont="1" applyBorder="1" applyAlignment="1">
      <alignment horizontal="right" wrapText="1" readingOrder="2"/>
    </xf>
    <xf numFmtId="0" fontId="6" fillId="0" borderId="57" xfId="0" applyFont="1" applyBorder="1" applyAlignment="1">
      <alignment horizontal="right" wrapText="1" readingOrder="2"/>
    </xf>
    <xf numFmtId="0" fontId="6" fillId="0" borderId="58" xfId="0" applyFont="1" applyBorder="1" applyAlignment="1">
      <alignment horizontal="right" wrapText="1" readingOrder="2"/>
    </xf>
    <xf numFmtId="0" fontId="6" fillId="12" borderId="58" xfId="0" applyFont="1" applyFill="1" applyBorder="1" applyAlignment="1">
      <alignment horizontal="right" wrapText="1" readingOrder="2"/>
    </xf>
    <xf numFmtId="0" fontId="6" fillId="0" borderId="59" xfId="0" applyFont="1" applyBorder="1" applyAlignment="1">
      <alignment horizontal="right" wrapText="1" readingOrder="2"/>
    </xf>
    <xf numFmtId="0" fontId="6" fillId="0" borderId="60" xfId="0" applyFont="1" applyBorder="1" applyAlignment="1">
      <alignment horizontal="right" wrapText="1" readingOrder="2"/>
    </xf>
    <xf numFmtId="0" fontId="6" fillId="12" borderId="60" xfId="0" applyFont="1" applyFill="1" applyBorder="1" applyAlignment="1">
      <alignment horizontal="right" wrapText="1" readingOrder="2"/>
    </xf>
    <xf numFmtId="0" fontId="6" fillId="0" borderId="61" xfId="0" applyFont="1" applyBorder="1" applyAlignment="1">
      <alignment horizontal="right" wrapText="1" readingOrder="2"/>
    </xf>
    <xf numFmtId="0" fontId="6" fillId="12" borderId="57" xfId="0" applyFont="1" applyFill="1" applyBorder="1" applyAlignment="1">
      <alignment horizontal="right" wrapText="1" readingOrder="2"/>
    </xf>
    <xf numFmtId="0" fontId="6" fillId="0" borderId="62" xfId="0" applyFont="1" applyBorder="1" applyAlignment="1">
      <alignment horizontal="right" wrapText="1" readingOrder="2"/>
    </xf>
    <xf numFmtId="0" fontId="6" fillId="12" borderId="54" xfId="0" applyFont="1" applyFill="1" applyBorder="1" applyAlignment="1">
      <alignment horizontal="right" wrapText="1" readingOrder="2"/>
    </xf>
    <xf numFmtId="0" fontId="5" fillId="0" borderId="50" xfId="0" applyFont="1" applyBorder="1" applyAlignment="1">
      <alignment wrapText="1" readingOrder="2"/>
    </xf>
    <xf numFmtId="0" fontId="5" fillId="12" borderId="55" xfId="0" applyFont="1" applyFill="1" applyBorder="1" applyAlignment="1">
      <alignment wrapText="1" readingOrder="2"/>
    </xf>
    <xf numFmtId="0" fontId="11" fillId="13" borderId="53" xfId="0" applyFont="1" applyFill="1" applyBorder="1" applyAlignment="1">
      <alignment horizontal="right" wrapText="1" readingOrder="2"/>
    </xf>
    <xf numFmtId="0" fontId="11" fillId="13" borderId="54" xfId="0" applyFont="1" applyFill="1" applyBorder="1" applyAlignment="1">
      <alignment horizontal="right" wrapText="1" readingOrder="2"/>
    </xf>
    <xf numFmtId="0" fontId="11" fillId="13" borderId="55" xfId="0" applyFont="1" applyFill="1" applyBorder="1" applyAlignment="1">
      <alignment horizontal="right" wrapText="1" readingOrder="2"/>
    </xf>
    <xf numFmtId="0" fontId="11" fillId="12" borderId="55" xfId="0" applyFont="1" applyFill="1" applyBorder="1" applyAlignment="1">
      <alignment horizontal="right" wrapText="1" readingOrder="2"/>
    </xf>
    <xf numFmtId="0" fontId="5" fillId="14" borderId="63" xfId="0" applyFont="1" applyFill="1" applyBorder="1" applyAlignment="1">
      <alignment wrapText="1" readingOrder="2"/>
    </xf>
    <xf numFmtId="0" fontId="6" fillId="14" borderId="63" xfId="0" applyFont="1" applyFill="1" applyBorder="1" applyAlignment="1">
      <alignment vertical="center"/>
    </xf>
    <xf numFmtId="0" fontId="6" fillId="14" borderId="63" xfId="0" applyFont="1" applyFill="1" applyBorder="1" applyAlignment="1">
      <alignment horizontal="right" wrapText="1" readingOrder="2"/>
    </xf>
    <xf numFmtId="0" fontId="6" fillId="0" borderId="66" xfId="0" applyFont="1" applyBorder="1" applyAlignment="1">
      <alignment horizontal="right" wrapText="1" readingOrder="2"/>
    </xf>
    <xf numFmtId="0" fontId="6" fillId="12" borderId="51" xfId="0" applyFont="1" applyFill="1" applyBorder="1" applyAlignment="1">
      <alignment horizontal="right" wrapText="1" readingOrder="2"/>
    </xf>
    <xf numFmtId="0" fontId="11" fillId="13" borderId="56" xfId="0" applyFont="1" applyFill="1" applyBorder="1" applyAlignment="1">
      <alignment horizontal="right" wrapText="1" readingOrder="2"/>
    </xf>
    <xf numFmtId="0" fontId="11" fillId="13" borderId="57" xfId="0" applyFont="1" applyFill="1" applyBorder="1" applyAlignment="1">
      <alignment horizontal="right" wrapText="1" readingOrder="2"/>
    </xf>
    <xf numFmtId="0" fontId="11" fillId="12" borderId="57" xfId="0" applyFont="1" applyFill="1" applyBorder="1" applyAlignment="1">
      <alignment horizontal="right" wrapText="1" readingOrder="2"/>
    </xf>
    <xf numFmtId="0" fontId="11" fillId="12" borderId="54" xfId="0" applyFont="1" applyFill="1" applyBorder="1" applyAlignment="1">
      <alignment horizontal="right" wrapText="1" readingOrder="2"/>
    </xf>
    <xf numFmtId="0" fontId="5" fillId="14" borderId="67" xfId="0" applyFont="1" applyFill="1" applyBorder="1" applyAlignment="1">
      <alignment wrapText="1" readingOrder="2"/>
    </xf>
    <xf numFmtId="0" fontId="6" fillId="14" borderId="67" xfId="0" applyFont="1" applyFill="1" applyBorder="1" applyAlignment="1">
      <alignment vertical="center"/>
    </xf>
    <xf numFmtId="0" fontId="6" fillId="14" borderId="67" xfId="0" applyFont="1" applyFill="1" applyBorder="1" applyAlignment="1">
      <alignment horizontal="right" wrapText="1" readingOrder="2"/>
    </xf>
    <xf numFmtId="0" fontId="12" fillId="0" borderId="50" xfId="0" applyFont="1" applyBorder="1" applyAlignment="1">
      <alignment horizontal="right" wrapText="1" readingOrder="2"/>
    </xf>
    <xf numFmtId="0" fontId="12" fillId="0" borderId="51" xfId="0" applyFont="1" applyBorder="1" applyAlignment="1">
      <alignment horizontal="right" wrapText="1" readingOrder="2"/>
    </xf>
    <xf numFmtId="0" fontId="12" fillId="0" borderId="52" xfId="0" applyFont="1" applyBorder="1" applyAlignment="1">
      <alignment horizontal="right" wrapText="1" readingOrder="2"/>
    </xf>
    <xf numFmtId="0" fontId="12" fillId="12" borderId="52" xfId="0" applyFont="1" applyFill="1" applyBorder="1" applyAlignment="1">
      <alignment horizontal="right" wrapText="1" readingOrder="2"/>
    </xf>
    <xf numFmtId="0" fontId="13" fillId="15" borderId="68" xfId="0" applyFont="1" applyFill="1" applyBorder="1" applyAlignment="1">
      <alignment horizontal="right" readingOrder="2"/>
    </xf>
    <xf numFmtId="0" fontId="12" fillId="0" borderId="53" xfId="0" applyFont="1" applyBorder="1" applyAlignment="1">
      <alignment horizontal="right" wrapText="1" readingOrder="2"/>
    </xf>
    <xf numFmtId="0" fontId="12" fillId="0" borderId="54" xfId="0" applyFont="1" applyBorder="1" applyAlignment="1">
      <alignment horizontal="right" wrapText="1" readingOrder="2"/>
    </xf>
    <xf numFmtId="0" fontId="12" fillId="0" borderId="55" xfId="0" applyFont="1" applyBorder="1" applyAlignment="1">
      <alignment horizontal="right" wrapText="1" readingOrder="2"/>
    </xf>
    <xf numFmtId="0" fontId="12" fillId="12" borderId="55" xfId="0" applyFont="1" applyFill="1" applyBorder="1" applyAlignment="1">
      <alignment horizontal="right" wrapText="1" readingOrder="2"/>
    </xf>
    <xf numFmtId="0" fontId="13" fillId="15" borderId="69" xfId="0" applyFont="1" applyFill="1" applyBorder="1" applyAlignment="1">
      <alignment horizontal="right" readingOrder="2"/>
    </xf>
    <xf numFmtId="0" fontId="12" fillId="0" borderId="56" xfId="0" applyFont="1" applyBorder="1" applyAlignment="1">
      <alignment horizontal="right" wrapText="1" readingOrder="2"/>
    </xf>
    <xf numFmtId="0" fontId="12" fillId="0" borderId="57" xfId="0" applyFont="1" applyBorder="1" applyAlignment="1">
      <alignment horizontal="right" wrapText="1" readingOrder="2"/>
    </xf>
    <xf numFmtId="0" fontId="12" fillId="0" borderId="58" xfId="0" applyFont="1" applyBorder="1" applyAlignment="1">
      <alignment horizontal="right" wrapText="1" readingOrder="2"/>
    </xf>
    <xf numFmtId="0" fontId="12" fillId="12" borderId="58" xfId="0" applyFont="1" applyFill="1" applyBorder="1" applyAlignment="1">
      <alignment horizontal="right" wrapText="1" readingOrder="2"/>
    </xf>
    <xf numFmtId="0" fontId="14" fillId="16" borderId="70" xfId="0" applyFont="1" applyFill="1" applyBorder="1" applyAlignment="1">
      <alignment horizontal="right" readingOrder="2"/>
    </xf>
    <xf numFmtId="0" fontId="14" fillId="16" borderId="71" xfId="0" applyFont="1" applyFill="1" applyBorder="1" applyAlignment="1">
      <alignment horizontal="right" readingOrder="2"/>
    </xf>
    <xf numFmtId="0" fontId="14" fillId="16" borderId="72" xfId="0" applyFont="1" applyFill="1" applyBorder="1" applyAlignment="1">
      <alignment horizontal="right" readingOrder="2"/>
    </xf>
    <xf numFmtId="0" fontId="14" fillId="15" borderId="72" xfId="0" applyFont="1" applyFill="1" applyBorder="1" applyAlignment="1">
      <alignment horizontal="right" readingOrder="2"/>
    </xf>
    <xf numFmtId="0" fontId="13" fillId="17" borderId="0" xfId="0" applyFont="1" applyFill="1" applyAlignment="1">
      <alignment horizontal="right" readingOrder="2"/>
    </xf>
    <xf numFmtId="0" fontId="16" fillId="14" borderId="74" xfId="0" applyFont="1" applyFill="1" applyBorder="1" applyAlignment="1">
      <alignment wrapText="1" readingOrder="2"/>
    </xf>
    <xf numFmtId="0" fontId="12" fillId="14" borderId="74" xfId="0" applyFont="1" applyFill="1" applyBorder="1" applyAlignment="1">
      <alignment vertical="center"/>
    </xf>
    <xf numFmtId="0" fontId="12" fillId="14" borderId="74" xfId="0" applyFont="1" applyFill="1" applyBorder="1" applyAlignment="1">
      <alignment horizontal="right" wrapText="1" readingOrder="2"/>
    </xf>
    <xf numFmtId="0" fontId="13" fillId="0" borderId="75" xfId="0" applyFont="1" applyBorder="1" applyAlignment="1">
      <alignment horizontal="right" readingOrder="2"/>
    </xf>
    <xf numFmtId="0" fontId="13" fillId="0" borderId="76" xfId="0" applyFont="1" applyBorder="1" applyAlignment="1">
      <alignment horizontal="right" readingOrder="2"/>
    </xf>
    <xf numFmtId="0" fontId="13" fillId="0" borderId="68" xfId="0" applyFont="1" applyBorder="1" applyAlignment="1">
      <alignment horizontal="right" readingOrder="2"/>
    </xf>
    <xf numFmtId="0" fontId="13" fillId="0" borderId="77" xfId="0" applyFont="1" applyBorder="1" applyAlignment="1">
      <alignment horizontal="right" readingOrder="2"/>
    </xf>
    <xf numFmtId="0" fontId="13" fillId="0" borderId="78" xfId="0" applyFont="1" applyBorder="1" applyAlignment="1">
      <alignment horizontal="right" readingOrder="2"/>
    </xf>
    <xf numFmtId="0" fontId="13" fillId="0" borderId="69" xfId="0" applyFont="1" applyBorder="1" applyAlignment="1">
      <alignment horizontal="right" readingOrder="2"/>
    </xf>
    <xf numFmtId="0" fontId="13" fillId="17" borderId="0" xfId="0" applyFont="1" applyFill="1" applyBorder="1" applyAlignment="1">
      <alignment horizontal="right" readingOrder="2"/>
    </xf>
    <xf numFmtId="0" fontId="13" fillId="0" borderId="79" xfId="0" applyFont="1" applyBorder="1" applyAlignment="1">
      <alignment horizontal="right"/>
    </xf>
    <xf numFmtId="0" fontId="13" fillId="15" borderId="79" xfId="0" applyFont="1" applyFill="1" applyBorder="1" applyAlignment="1">
      <alignment horizontal="right"/>
    </xf>
    <xf numFmtId="0" fontId="14" fillId="16" borderId="79" xfId="0" applyFont="1" applyFill="1" applyBorder="1" applyAlignment="1">
      <alignment horizontal="right"/>
    </xf>
    <xf numFmtId="0" fontId="14" fillId="15" borderId="79" xfId="0" applyFont="1" applyFill="1" applyBorder="1" applyAlignment="1">
      <alignment horizontal="right"/>
    </xf>
    <xf numFmtId="0" fontId="17" fillId="17" borderId="79" xfId="0" applyFont="1" applyFill="1" applyBorder="1"/>
    <xf numFmtId="0" fontId="17" fillId="17" borderId="79" xfId="0" applyFont="1" applyFill="1" applyBorder="1" applyAlignment="1"/>
    <xf numFmtId="0" fontId="13" fillId="0" borderId="75" xfId="0" applyFont="1" applyBorder="1" applyAlignment="1">
      <alignment horizontal="right"/>
    </xf>
    <xf numFmtId="0" fontId="13" fillId="0" borderId="82" xfId="0" applyFont="1" applyBorder="1" applyAlignment="1">
      <alignment horizontal="right"/>
    </xf>
    <xf numFmtId="0" fontId="13" fillId="0" borderId="83" xfId="0" applyFont="1" applyBorder="1" applyAlignment="1">
      <alignment horizontal="right"/>
    </xf>
    <xf numFmtId="0" fontId="13" fillId="15" borderId="83" xfId="0" applyFont="1" applyFill="1" applyBorder="1" applyAlignment="1">
      <alignment horizontal="right"/>
    </xf>
    <xf numFmtId="0" fontId="13" fillId="0" borderId="84" xfId="0" applyFont="1" applyBorder="1" applyAlignment="1">
      <alignment horizontal="right"/>
    </xf>
    <xf numFmtId="0" fontId="13" fillId="0" borderId="85" xfId="0" applyFont="1" applyBorder="1" applyAlignment="1">
      <alignment horizontal="right"/>
    </xf>
    <xf numFmtId="0" fontId="13" fillId="0" borderId="86" xfId="0" applyFont="1" applyBorder="1" applyAlignment="1">
      <alignment horizontal="right"/>
    </xf>
    <xf numFmtId="0" fontId="13" fillId="15" borderId="86" xfId="0" applyFont="1" applyFill="1" applyBorder="1" applyAlignment="1">
      <alignment horizontal="right"/>
    </xf>
    <xf numFmtId="0" fontId="13" fillId="0" borderId="87" xfId="0" applyFont="1" applyBorder="1" applyAlignment="1">
      <alignment horizontal="right"/>
    </xf>
    <xf numFmtId="0" fontId="13" fillId="0" borderId="88" xfId="0" applyFont="1" applyBorder="1" applyAlignment="1">
      <alignment horizontal="right"/>
    </xf>
    <xf numFmtId="0" fontId="13" fillId="0" borderId="89" xfId="0" applyFont="1" applyBorder="1" applyAlignment="1">
      <alignment horizontal="right"/>
    </xf>
    <xf numFmtId="0" fontId="13" fillId="15" borderId="89" xfId="0" applyFont="1" applyFill="1" applyBorder="1" applyAlignment="1">
      <alignment horizontal="right"/>
    </xf>
    <xf numFmtId="0" fontId="6" fillId="7" borderId="39" xfId="0" applyFont="1" applyFill="1" applyBorder="1" applyAlignment="1">
      <alignment horizontal="center" readingOrder="2"/>
    </xf>
    <xf numFmtId="0" fontId="6" fillId="3" borderId="38" xfId="0" applyFont="1" applyFill="1" applyBorder="1" applyAlignment="1">
      <alignment horizontal="center" readingOrder="2"/>
    </xf>
    <xf numFmtId="0" fontId="6" fillId="3" borderId="40" xfId="0" applyFont="1" applyFill="1" applyBorder="1" applyAlignment="1">
      <alignment horizontal="center" readingOrder="2"/>
    </xf>
    <xf numFmtId="0" fontId="4" fillId="6" borderId="38" xfId="0" applyFont="1" applyFill="1" applyBorder="1" applyAlignment="1">
      <alignment horizontal="center" vertical="center" readingOrder="2"/>
    </xf>
    <xf numFmtId="0" fontId="4" fillId="6" borderId="39" xfId="0" applyFont="1" applyFill="1" applyBorder="1" applyAlignment="1">
      <alignment horizontal="center" vertical="center" readingOrder="2"/>
    </xf>
    <xf numFmtId="0" fontId="4" fillId="6" borderId="40" xfId="0" applyFont="1" applyFill="1" applyBorder="1" applyAlignment="1">
      <alignment horizontal="center" vertical="center" readingOrder="2"/>
    </xf>
    <xf numFmtId="0" fontId="8" fillId="3" borderId="4" xfId="0" applyFont="1" applyFill="1" applyBorder="1" applyAlignment="1">
      <alignment horizontal="center" vertical="center" wrapText="1" readingOrder="2"/>
    </xf>
    <xf numFmtId="0" fontId="8" fillId="3" borderId="43" xfId="0" applyFont="1" applyFill="1" applyBorder="1" applyAlignment="1">
      <alignment horizontal="center" vertical="center" wrapText="1" readingOrder="2"/>
    </xf>
    <xf numFmtId="0" fontId="8" fillId="3" borderId="1" xfId="0" applyFont="1" applyFill="1" applyBorder="1" applyAlignment="1">
      <alignment horizontal="center" vertical="center" wrapText="1" readingOrder="2"/>
    </xf>
    <xf numFmtId="0" fontId="8" fillId="0" borderId="4" xfId="0" applyFont="1" applyBorder="1" applyAlignment="1">
      <alignment horizontal="center" vertical="center" wrapText="1" readingOrder="2"/>
    </xf>
    <xf numFmtId="0" fontId="8" fillId="0" borderId="43" xfId="0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 readingOrder="2"/>
    </xf>
    <xf numFmtId="0" fontId="4" fillId="3" borderId="4" xfId="0" applyFont="1" applyFill="1" applyBorder="1" applyAlignment="1">
      <alignment horizontal="center" vertical="center" readingOrder="2"/>
    </xf>
    <xf numFmtId="0" fontId="4" fillId="3" borderId="1" xfId="0" applyFont="1" applyFill="1" applyBorder="1" applyAlignment="1">
      <alignment horizontal="center" vertical="center" readingOrder="2"/>
    </xf>
    <xf numFmtId="0" fontId="6" fillId="2" borderId="28" xfId="0" applyFont="1" applyFill="1" applyBorder="1" applyAlignment="1">
      <alignment horizontal="center" readingOrder="2"/>
    </xf>
    <xf numFmtId="0" fontId="13" fillId="17" borderId="73" xfId="0" applyFont="1" applyFill="1" applyBorder="1" applyAlignment="1">
      <alignment horizontal="center" readingOrder="2"/>
    </xf>
    <xf numFmtId="0" fontId="15" fillId="0" borderId="73" xfId="0" applyFont="1" applyBorder="1"/>
    <xf numFmtId="0" fontId="6" fillId="14" borderId="64" xfId="0" applyFont="1" applyFill="1" applyBorder="1" applyAlignment="1">
      <alignment horizontal="center" wrapText="1" readingOrder="2"/>
    </xf>
    <xf numFmtId="0" fontId="6" fillId="14" borderId="65" xfId="0" applyFont="1" applyFill="1" applyBorder="1" applyAlignment="1">
      <alignment horizontal="center" wrapText="1" readingOrder="2"/>
    </xf>
    <xf numFmtId="0" fontId="13" fillId="17" borderId="80" xfId="0" applyFont="1" applyFill="1" applyBorder="1" applyAlignment="1">
      <alignment horizontal="center"/>
    </xf>
    <xf numFmtId="0" fontId="15" fillId="0" borderId="81" xfId="0" applyFont="1" applyBorder="1"/>
    <xf numFmtId="0" fontId="4" fillId="3" borderId="38" xfId="0" applyFont="1" applyFill="1" applyBorder="1" applyAlignment="1">
      <alignment horizontal="center" readingOrder="2"/>
    </xf>
    <xf numFmtId="0" fontId="4" fillId="3" borderId="39" xfId="0" applyFont="1" applyFill="1" applyBorder="1" applyAlignment="1">
      <alignment horizontal="center" readingOrder="2"/>
    </xf>
    <xf numFmtId="0" fontId="4" fillId="3" borderId="40" xfId="0" applyFont="1" applyFill="1" applyBorder="1" applyAlignment="1">
      <alignment horizontal="center" readingOrder="2"/>
    </xf>
    <xf numFmtId="0" fontId="12" fillId="14" borderId="64" xfId="0" applyFont="1" applyFill="1" applyBorder="1" applyAlignment="1">
      <alignment horizontal="center" wrapText="1" readingOrder="2"/>
    </xf>
    <xf numFmtId="0" fontId="12" fillId="14" borderId="65" xfId="0" applyFont="1" applyFill="1" applyBorder="1" applyAlignment="1">
      <alignment horizontal="center" wrapText="1" readingOrder="2"/>
    </xf>
    <xf numFmtId="0" fontId="8" fillId="11" borderId="4" xfId="0" applyFont="1" applyFill="1" applyBorder="1" applyAlignment="1">
      <alignment horizontal="center" vertical="center" wrapText="1" readingOrder="2"/>
    </xf>
    <xf numFmtId="0" fontId="8" fillId="11" borderId="43" xfId="0" applyFont="1" applyFill="1" applyBorder="1" applyAlignment="1">
      <alignment horizontal="center" vertical="center" wrapText="1" readingOrder="2"/>
    </xf>
    <xf numFmtId="0" fontId="8" fillId="11" borderId="1" xfId="0" applyFont="1" applyFill="1" applyBorder="1" applyAlignment="1">
      <alignment horizontal="center" vertical="center" wrapText="1" readingOrder="2"/>
    </xf>
    <xf numFmtId="0" fontId="4" fillId="3" borderId="11" xfId="0" applyFont="1" applyFill="1" applyBorder="1" applyAlignment="1">
      <alignment horizontal="center" vertical="center" readingOrder="2"/>
    </xf>
    <xf numFmtId="0" fontId="4" fillId="3" borderId="42" xfId="0" applyFont="1" applyFill="1" applyBorder="1" applyAlignment="1">
      <alignment horizontal="center" vertical="center" readingOrder="2"/>
    </xf>
    <xf numFmtId="0" fontId="8" fillId="2" borderId="28" xfId="0" applyFont="1" applyFill="1" applyBorder="1" applyAlignment="1">
      <alignment horizontal="center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43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1" fillId="0" borderId="38" xfId="0" applyFont="1" applyBorder="1" applyAlignment="1">
      <alignment horizontal="center" readingOrder="2"/>
    </xf>
    <xf numFmtId="0" fontId="1" fillId="0" borderId="40" xfId="0" applyFont="1" applyBorder="1" applyAlignment="1">
      <alignment horizontal="center" readingOrder="2"/>
    </xf>
    <xf numFmtId="0" fontId="1" fillId="0" borderId="11" xfId="0" applyFont="1" applyBorder="1" applyAlignment="1">
      <alignment horizontal="center" readingOrder="2"/>
    </xf>
    <xf numFmtId="0" fontId="1" fillId="0" borderId="36" xfId="0" applyFont="1" applyBorder="1" applyAlignment="1">
      <alignment horizontal="center" readingOrder="2"/>
    </xf>
    <xf numFmtId="0" fontId="1" fillId="0" borderId="37" xfId="0" applyFont="1" applyBorder="1" applyAlignment="1">
      <alignment horizontal="center" readingOrder="2"/>
    </xf>
    <xf numFmtId="0" fontId="1" fillId="2" borderId="4" xfId="0" applyFont="1" applyFill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2"/>
    </xf>
    <xf numFmtId="0" fontId="1" fillId="0" borderId="4" xfId="0" applyFont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8" borderId="39" xfId="0" applyFont="1" applyFill="1" applyBorder="1" applyAlignment="1">
      <alignment horizont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C86"/>
  <sheetViews>
    <sheetView rightToLeft="1" tabSelected="1" topLeftCell="DW1" zoomScaleNormal="100" workbookViewId="0">
      <pane ySplit="1665" topLeftCell="A22" activePane="bottomLeft"/>
      <selection activeCell="AZ239" sqref="AZ239"/>
      <selection pane="bottomLeft" activeCell="EY51" sqref="EY51"/>
    </sheetView>
  </sheetViews>
  <sheetFormatPr defaultColWidth="9.140625" defaultRowHeight="15" customHeight="1" x14ac:dyDescent="0.25"/>
  <cols>
    <col min="1" max="1" width="10.5703125" style="30" customWidth="1"/>
    <col min="2" max="15" width="7" style="30" customWidth="1"/>
    <col min="16" max="16" width="2.5703125" style="30" customWidth="1"/>
    <col min="17" max="17" width="10.28515625" style="30" customWidth="1"/>
    <col min="18" max="18" width="7.140625" style="30" customWidth="1"/>
    <col min="19" max="19" width="6.42578125" style="30" customWidth="1"/>
    <col min="20" max="20" width="7" style="30" customWidth="1"/>
    <col min="21" max="22" width="5.7109375" style="30" customWidth="1"/>
    <col min="23" max="23" width="8.140625" style="30" customWidth="1"/>
    <col min="24" max="24" width="7.7109375" style="30" customWidth="1"/>
    <col min="25" max="26" width="5.7109375" style="30" customWidth="1"/>
    <col min="27" max="27" width="7.7109375" style="30" customWidth="1"/>
    <col min="28" max="28" width="7.42578125" style="30" customWidth="1"/>
    <col min="29" max="30" width="5.7109375" style="30" customWidth="1"/>
    <col min="31" max="31" width="8.140625" style="30" customWidth="1"/>
    <col min="32" max="32" width="2.5703125" style="30" customWidth="1"/>
    <col min="33" max="33" width="10.28515625" style="30" customWidth="1"/>
    <col min="34" max="34" width="7.140625" style="30" customWidth="1"/>
    <col min="35" max="35" width="6.42578125" style="30" customWidth="1"/>
    <col min="36" max="36" width="7.28515625" style="30" customWidth="1"/>
    <col min="37" max="38" width="5.7109375" style="30" customWidth="1"/>
    <col min="39" max="39" width="7.28515625" style="30" customWidth="1"/>
    <col min="40" max="40" width="7.7109375" style="30" customWidth="1"/>
    <col min="41" max="42" width="5.7109375" style="30" customWidth="1"/>
    <col min="43" max="43" width="7.140625" style="30" customWidth="1"/>
    <col min="44" max="44" width="7.42578125" style="30" customWidth="1"/>
    <col min="45" max="46" width="5.7109375" style="30" customWidth="1"/>
    <col min="47" max="47" width="6.28515625" style="30" customWidth="1"/>
    <col min="48" max="48" width="2.5703125" style="30" customWidth="1"/>
    <col min="49" max="49" width="10.28515625" style="30" customWidth="1"/>
    <col min="50" max="50" width="7.140625" style="30" customWidth="1"/>
    <col min="51" max="51" width="6.42578125" style="30" customWidth="1"/>
    <col min="52" max="52" width="7.28515625" style="30" customWidth="1"/>
    <col min="53" max="54" width="5.7109375" style="30" customWidth="1"/>
    <col min="55" max="55" width="8.140625" style="30" customWidth="1"/>
    <col min="56" max="56" width="7.7109375" style="30" customWidth="1"/>
    <col min="57" max="58" width="5.7109375" style="30" customWidth="1"/>
    <col min="59" max="59" width="7.7109375" style="30" customWidth="1"/>
    <col min="60" max="60" width="7.42578125" style="30" customWidth="1"/>
    <col min="61" max="62" width="5.7109375" style="30" customWidth="1"/>
    <col min="63" max="63" width="8.140625" style="30" customWidth="1"/>
    <col min="64" max="64" width="2.5703125" style="30" customWidth="1"/>
    <col min="65" max="65" width="10.28515625" style="30" customWidth="1"/>
    <col min="66" max="66" width="7.140625" style="30" customWidth="1"/>
    <col min="67" max="67" width="6.42578125" style="30" customWidth="1"/>
    <col min="68" max="68" width="7.28515625" style="30" customWidth="1"/>
    <col min="69" max="70" width="5.7109375" style="30" customWidth="1"/>
    <col min="71" max="71" width="8.140625" style="30" customWidth="1"/>
    <col min="72" max="72" width="7.7109375" style="30" customWidth="1"/>
    <col min="73" max="74" width="5.7109375" style="30" customWidth="1"/>
    <col min="75" max="75" width="7.7109375" style="30" customWidth="1"/>
    <col min="76" max="76" width="7.42578125" style="30" customWidth="1"/>
    <col min="77" max="78" width="5.7109375" style="30" customWidth="1"/>
    <col min="79" max="79" width="8.140625" style="30" customWidth="1"/>
    <col min="80" max="80" width="2.5703125" style="30" customWidth="1"/>
    <col min="81" max="81" width="10.28515625" style="30" customWidth="1"/>
    <col min="82" max="82" width="7.140625" style="30" customWidth="1"/>
    <col min="83" max="83" width="6.42578125" style="30" customWidth="1"/>
    <col min="84" max="84" width="7.28515625" style="30" customWidth="1"/>
    <col min="85" max="86" width="5.7109375" style="30" customWidth="1"/>
    <col min="87" max="87" width="8.140625" style="30" customWidth="1"/>
    <col min="88" max="88" width="7.7109375" style="30" customWidth="1"/>
    <col min="89" max="90" width="5.7109375" style="30" customWidth="1"/>
    <col min="91" max="91" width="7" style="30" customWidth="1"/>
    <col min="92" max="92" width="7.42578125" style="30" customWidth="1"/>
    <col min="93" max="94" width="5.7109375" style="30" customWidth="1"/>
    <col min="95" max="95" width="7" style="30" customWidth="1"/>
    <col min="96" max="96" width="2.5703125" style="30" customWidth="1"/>
    <col min="97" max="97" width="10.28515625" style="30" customWidth="1"/>
    <col min="98" max="98" width="7.140625" style="30" customWidth="1"/>
    <col min="99" max="99" width="6.42578125" style="30" customWidth="1"/>
    <col min="100" max="100" width="7.28515625" style="30" customWidth="1"/>
    <col min="101" max="102" width="5.7109375" style="30" customWidth="1"/>
    <col min="103" max="103" width="8.140625" style="30" customWidth="1"/>
    <col min="104" max="104" width="7.7109375" style="30" customWidth="1"/>
    <col min="105" max="106" width="5.7109375" style="30" customWidth="1"/>
    <col min="107" max="107" width="7.7109375" style="30" customWidth="1"/>
    <col min="108" max="108" width="7.42578125" style="30" customWidth="1"/>
    <col min="109" max="110" width="5.7109375" style="30" customWidth="1"/>
    <col min="111" max="111" width="8.140625" style="30" customWidth="1"/>
    <col min="112" max="112" width="2.5703125" style="30" customWidth="1"/>
    <col min="113" max="113" width="10.28515625" style="30" customWidth="1"/>
    <col min="114" max="114" width="7.140625" style="30" customWidth="1"/>
    <col min="115" max="115" width="6.42578125" style="30" customWidth="1"/>
    <col min="116" max="116" width="7.28515625" style="30" customWidth="1"/>
    <col min="117" max="118" width="5.7109375" style="30" customWidth="1"/>
    <col min="119" max="119" width="8.140625" style="30" customWidth="1"/>
    <col min="120" max="120" width="7.7109375" style="30" customWidth="1"/>
    <col min="121" max="122" width="5.7109375" style="30" customWidth="1"/>
    <col min="123" max="123" width="7.7109375" style="30" customWidth="1"/>
    <col min="124" max="124" width="7.42578125" style="30" customWidth="1"/>
    <col min="125" max="126" width="5.7109375" style="30" customWidth="1"/>
    <col min="127" max="127" width="8.140625" style="30" customWidth="1"/>
    <col min="128" max="128" width="2.5703125" style="30" customWidth="1"/>
    <col min="129" max="129" width="10.28515625" style="30" customWidth="1"/>
    <col min="130" max="130" width="7.140625" style="30" customWidth="1"/>
    <col min="131" max="131" width="6.42578125" style="30" customWidth="1"/>
    <col min="132" max="132" width="7.28515625" style="30" customWidth="1"/>
    <col min="133" max="134" width="5.7109375" style="30" customWidth="1"/>
    <col min="135" max="135" width="8.140625" style="30" customWidth="1"/>
    <col min="136" max="136" width="7.7109375" style="30" customWidth="1"/>
    <col min="137" max="138" width="5.7109375" style="30" customWidth="1"/>
    <col min="139" max="139" width="7.7109375" style="30" customWidth="1"/>
    <col min="140" max="140" width="7.42578125" style="30" customWidth="1"/>
    <col min="141" max="142" width="5.7109375" style="30" customWidth="1"/>
    <col min="143" max="143" width="8.140625" style="30" customWidth="1"/>
    <col min="144" max="144" width="2.5703125" style="30" customWidth="1"/>
    <col min="145" max="145" width="10.28515625" style="30" customWidth="1"/>
    <col min="146" max="146" width="7.140625" style="30" customWidth="1"/>
    <col min="147" max="147" width="6.42578125" style="30" customWidth="1"/>
    <col min="148" max="148" width="7.28515625" style="30" customWidth="1"/>
    <col min="149" max="150" width="5.7109375" style="30" customWidth="1"/>
    <col min="151" max="151" width="8.140625" style="30" customWidth="1"/>
    <col min="152" max="152" width="7.7109375" style="30" customWidth="1"/>
    <col min="153" max="154" width="5.7109375" style="30" customWidth="1"/>
    <col min="155" max="155" width="7.7109375" style="30" customWidth="1"/>
    <col min="156" max="156" width="7.42578125" style="30" customWidth="1"/>
    <col min="157" max="158" width="5.7109375" style="30" customWidth="1"/>
    <col min="159" max="159" width="8.140625" style="30" customWidth="1"/>
    <col min="160" max="160" width="2.5703125" style="30" customWidth="1"/>
    <col min="161" max="161" width="10.28515625" style="30" customWidth="1"/>
    <col min="162" max="162" width="7.140625" style="30" customWidth="1"/>
    <col min="163" max="163" width="6.42578125" style="30" customWidth="1"/>
    <col min="164" max="164" width="7.28515625" style="30" customWidth="1"/>
    <col min="165" max="166" width="5.7109375" style="30" customWidth="1"/>
    <col min="167" max="167" width="8.140625" style="30" customWidth="1"/>
    <col min="168" max="168" width="7.7109375" style="30" customWidth="1"/>
    <col min="169" max="170" width="5.7109375" style="30" customWidth="1"/>
    <col min="171" max="171" width="7.7109375" style="30" customWidth="1"/>
    <col min="172" max="172" width="7.42578125" style="30" customWidth="1"/>
    <col min="173" max="174" width="5.7109375" style="30" customWidth="1"/>
    <col min="175" max="175" width="8.140625" style="30" customWidth="1"/>
    <col min="176" max="176" width="2.5703125" style="30" customWidth="1"/>
    <col min="177" max="177" width="10.28515625" style="30" customWidth="1"/>
    <col min="178" max="178" width="7.140625" style="30" customWidth="1"/>
    <col min="179" max="179" width="6.42578125" style="30" customWidth="1"/>
    <col min="180" max="180" width="7.28515625" style="30" customWidth="1"/>
    <col min="181" max="182" width="5.7109375" style="30" customWidth="1"/>
    <col min="183" max="183" width="8.140625" style="30" customWidth="1"/>
    <col min="184" max="184" width="7.7109375" style="30" customWidth="1"/>
    <col min="185" max="186" width="5.7109375" style="30" customWidth="1"/>
    <col min="187" max="187" width="7.7109375" style="30" customWidth="1"/>
    <col min="188" max="188" width="7.42578125" style="30" customWidth="1"/>
    <col min="189" max="190" width="5.7109375" style="30" customWidth="1"/>
    <col min="191" max="191" width="8.140625" style="30" customWidth="1"/>
    <col min="192" max="192" width="2.140625" style="30" customWidth="1"/>
    <col min="193" max="193" width="10.28515625" style="30" customWidth="1"/>
    <col min="194" max="194" width="8" style="30" customWidth="1"/>
    <col min="195" max="196" width="7.5703125" style="30" customWidth="1"/>
    <col min="197" max="198" width="6.7109375" style="30" customWidth="1"/>
    <col min="199" max="200" width="7.5703125" style="30" customWidth="1"/>
    <col min="201" max="202" width="6.7109375" style="30" customWidth="1"/>
    <col min="203" max="203" width="7.28515625" style="30" customWidth="1"/>
    <col min="204" max="207" width="6.7109375" style="30" customWidth="1"/>
    <col min="208" max="209" width="2.7109375" style="30" customWidth="1"/>
    <col min="210" max="210" width="11.140625" style="32" customWidth="1"/>
    <col min="211" max="211" width="8" style="32" customWidth="1"/>
    <col min="212" max="212" width="7.5703125" style="32" customWidth="1"/>
    <col min="213" max="221" width="6.7109375" style="32" customWidth="1"/>
    <col min="222" max="222" width="2.7109375" style="30" customWidth="1"/>
    <col min="223" max="16384" width="9.140625" style="30"/>
  </cols>
  <sheetData>
    <row r="1" spans="1:222" ht="15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29"/>
      <c r="GE1" s="29"/>
      <c r="GF1" s="29"/>
      <c r="GG1" s="29"/>
      <c r="GH1" s="29"/>
      <c r="GI1" s="29"/>
      <c r="GJ1" s="29"/>
      <c r="GK1" s="29"/>
      <c r="GZ1" s="29"/>
      <c r="HA1" s="31"/>
      <c r="HN1" s="31"/>
    </row>
    <row r="2" spans="1:222" ht="15" customHeight="1" thickBot="1" x14ac:dyDescent="0.3">
      <c r="A2" s="68"/>
      <c r="B2" s="67"/>
      <c r="C2" s="68"/>
      <c r="D2" s="69"/>
      <c r="E2" s="70"/>
      <c r="F2" s="69" t="s">
        <v>0</v>
      </c>
      <c r="G2" s="70">
        <v>1</v>
      </c>
      <c r="H2" s="75" t="s">
        <v>19</v>
      </c>
      <c r="I2" s="263">
        <v>1447</v>
      </c>
      <c r="J2" s="263"/>
      <c r="K2" s="70"/>
      <c r="L2" s="68"/>
      <c r="M2" s="68"/>
      <c r="N2" s="71" t="s">
        <v>1</v>
      </c>
      <c r="O2" s="70"/>
      <c r="P2" s="29"/>
      <c r="Q2" s="68"/>
      <c r="R2" s="67"/>
      <c r="S2" s="68"/>
      <c r="T2" s="69"/>
      <c r="U2" s="70"/>
      <c r="V2" s="69" t="s">
        <v>0</v>
      </c>
      <c r="W2" s="70">
        <v>2</v>
      </c>
      <c r="X2" s="75" t="s">
        <v>19</v>
      </c>
      <c r="Y2" s="263">
        <v>1447</v>
      </c>
      <c r="Z2" s="263"/>
      <c r="AA2" s="70"/>
      <c r="AB2" s="68"/>
      <c r="AC2" s="68"/>
      <c r="AD2" s="71" t="s">
        <v>1</v>
      </c>
      <c r="AE2" s="70"/>
      <c r="AF2" s="29"/>
      <c r="AG2" s="68"/>
      <c r="AH2" s="67"/>
      <c r="AI2" s="68"/>
      <c r="AJ2" s="69"/>
      <c r="AK2" s="70"/>
      <c r="AL2" s="69" t="s">
        <v>0</v>
      </c>
      <c r="AM2" s="70">
        <v>3</v>
      </c>
      <c r="AN2" s="75" t="s">
        <v>19</v>
      </c>
      <c r="AO2" s="263">
        <v>1447</v>
      </c>
      <c r="AP2" s="263"/>
      <c r="AQ2" s="70"/>
      <c r="AR2" s="68"/>
      <c r="AS2" s="68"/>
      <c r="AT2" s="71" t="s">
        <v>1</v>
      </c>
      <c r="AU2" s="70"/>
      <c r="AV2" s="29"/>
      <c r="AW2" s="68"/>
      <c r="AX2" s="67"/>
      <c r="AY2" s="68"/>
      <c r="AZ2" s="69"/>
      <c r="BA2" s="70"/>
      <c r="BB2" s="69" t="s">
        <v>0</v>
      </c>
      <c r="BC2" s="70">
        <v>4</v>
      </c>
      <c r="BD2" s="75" t="s">
        <v>19</v>
      </c>
      <c r="BE2" s="263">
        <v>1447</v>
      </c>
      <c r="BF2" s="263"/>
      <c r="BG2" s="70"/>
      <c r="BH2" s="68"/>
      <c r="BI2" s="68"/>
      <c r="BJ2" s="71" t="s">
        <v>1</v>
      </c>
      <c r="BK2" s="70"/>
      <c r="BL2" s="29"/>
      <c r="BM2" s="68"/>
      <c r="BN2" s="67"/>
      <c r="BO2" s="68"/>
      <c r="BP2" s="69"/>
      <c r="BQ2" s="70"/>
      <c r="BR2" s="69" t="s">
        <v>0</v>
      </c>
      <c r="BS2" s="70">
        <v>5</v>
      </c>
      <c r="BT2" s="75" t="s">
        <v>19</v>
      </c>
      <c r="BU2" s="263">
        <v>1447</v>
      </c>
      <c r="BV2" s="263"/>
      <c r="BW2" s="70"/>
      <c r="BX2" s="68"/>
      <c r="BY2" s="68"/>
      <c r="BZ2" s="71" t="s">
        <v>1</v>
      </c>
      <c r="CA2" s="70"/>
      <c r="CB2" s="29"/>
      <c r="CC2" s="68"/>
      <c r="CD2" s="67"/>
      <c r="CE2" s="68"/>
      <c r="CF2" s="69"/>
      <c r="CG2" s="70"/>
      <c r="CH2" s="69" t="s">
        <v>0</v>
      </c>
      <c r="CI2" s="70">
        <v>6</v>
      </c>
      <c r="CJ2" s="75" t="s">
        <v>19</v>
      </c>
      <c r="CK2" s="263">
        <v>1447</v>
      </c>
      <c r="CL2" s="263"/>
      <c r="CM2" s="70"/>
      <c r="CN2" s="68"/>
      <c r="CO2" s="68"/>
      <c r="CP2" s="71" t="s">
        <v>1</v>
      </c>
      <c r="CQ2" s="70"/>
      <c r="CR2" s="29"/>
      <c r="CS2" s="68"/>
      <c r="CT2" s="67"/>
      <c r="CU2" s="68"/>
      <c r="CV2" s="69"/>
      <c r="CW2" s="70"/>
      <c r="CX2" s="69" t="s">
        <v>0</v>
      </c>
      <c r="CY2" s="70">
        <v>7</v>
      </c>
      <c r="CZ2" s="75" t="s">
        <v>19</v>
      </c>
      <c r="DA2" s="263">
        <v>1447</v>
      </c>
      <c r="DB2" s="263"/>
      <c r="DC2" s="70"/>
      <c r="DD2" s="68"/>
      <c r="DE2" s="68"/>
      <c r="DF2" s="71" t="s">
        <v>1</v>
      </c>
      <c r="DG2" s="70"/>
      <c r="DH2" s="29"/>
      <c r="DI2" s="68"/>
      <c r="DJ2" s="67"/>
      <c r="DK2" s="68"/>
      <c r="DL2" s="69"/>
      <c r="DM2" s="70"/>
      <c r="DN2" s="69" t="s">
        <v>0</v>
      </c>
      <c r="DO2" s="70">
        <v>8</v>
      </c>
      <c r="DP2" s="75" t="s">
        <v>19</v>
      </c>
      <c r="DQ2" s="263">
        <v>1447</v>
      </c>
      <c r="DR2" s="263"/>
      <c r="DS2" s="70"/>
      <c r="DT2" s="68"/>
      <c r="DU2" s="68"/>
      <c r="DV2" s="71" t="s">
        <v>1</v>
      </c>
      <c r="DW2" s="70"/>
      <c r="DX2" s="29"/>
      <c r="DY2" s="68"/>
      <c r="DZ2" s="67"/>
      <c r="EA2" s="68"/>
      <c r="EB2" s="69"/>
      <c r="EC2" s="70"/>
      <c r="ED2" s="69" t="s">
        <v>0</v>
      </c>
      <c r="EE2" s="70">
        <v>9</v>
      </c>
      <c r="EF2" s="75" t="s">
        <v>19</v>
      </c>
      <c r="EG2" s="263">
        <v>1447</v>
      </c>
      <c r="EH2" s="263"/>
      <c r="EI2" s="70"/>
      <c r="EJ2" s="68"/>
      <c r="EK2" s="68"/>
      <c r="EL2" s="71" t="s">
        <v>1</v>
      </c>
      <c r="EM2" s="70"/>
      <c r="EN2" s="29"/>
      <c r="EO2" s="68"/>
      <c r="EP2" s="67"/>
      <c r="EQ2" s="68"/>
      <c r="ER2" s="69"/>
      <c r="ES2" s="70"/>
      <c r="ET2" s="69" t="s">
        <v>0</v>
      </c>
      <c r="EU2" s="70">
        <v>10</v>
      </c>
      <c r="EV2" s="75" t="s">
        <v>19</v>
      </c>
      <c r="EW2" s="263">
        <v>1447</v>
      </c>
      <c r="EX2" s="263"/>
      <c r="EY2" s="70"/>
      <c r="EZ2" s="68"/>
      <c r="FA2" s="68"/>
      <c r="FB2" s="71" t="s">
        <v>1</v>
      </c>
      <c r="FC2" s="70"/>
      <c r="FD2" s="29"/>
      <c r="FE2" s="68"/>
      <c r="FF2" s="67"/>
      <c r="FG2" s="68"/>
      <c r="FH2" s="69"/>
      <c r="FI2" s="70"/>
      <c r="FJ2" s="69" t="s">
        <v>0</v>
      </c>
      <c r="FK2" s="70">
        <v>11</v>
      </c>
      <c r="FL2" s="75" t="s">
        <v>19</v>
      </c>
      <c r="FM2" s="263">
        <v>1447</v>
      </c>
      <c r="FN2" s="263"/>
      <c r="FO2" s="70"/>
      <c r="FP2" s="68"/>
      <c r="FQ2" s="68"/>
      <c r="FR2" s="71" t="s">
        <v>1</v>
      </c>
      <c r="FS2" s="70"/>
      <c r="FT2" s="29"/>
      <c r="FU2" s="68"/>
      <c r="FV2" s="67"/>
      <c r="FW2" s="68"/>
      <c r="FX2" s="69"/>
      <c r="FY2" s="70"/>
      <c r="FZ2" s="69" t="s">
        <v>0</v>
      </c>
      <c r="GA2" s="70">
        <v>12</v>
      </c>
      <c r="GB2" s="75" t="s">
        <v>19</v>
      </c>
      <c r="GC2" s="263">
        <v>1447</v>
      </c>
      <c r="GD2" s="263"/>
      <c r="GE2" s="70"/>
      <c r="GF2" s="68"/>
      <c r="GG2" s="68"/>
      <c r="GH2" s="71" t="s">
        <v>1</v>
      </c>
      <c r="GI2" s="70"/>
      <c r="GJ2" s="29"/>
      <c r="GK2" s="68"/>
      <c r="GL2" s="33"/>
      <c r="GM2" s="28"/>
      <c r="GN2" s="34"/>
      <c r="GO2" s="35"/>
      <c r="GP2" s="35"/>
      <c r="GQ2" s="34"/>
      <c r="GR2" s="35"/>
      <c r="GS2" s="36" t="s">
        <v>19</v>
      </c>
      <c r="GT2" s="33">
        <f>SUM(GC2)</f>
        <v>1447</v>
      </c>
      <c r="GU2" s="35"/>
      <c r="GV2" s="28"/>
      <c r="GW2" s="28"/>
      <c r="GX2" s="37" t="s">
        <v>1</v>
      </c>
      <c r="GY2" s="35"/>
      <c r="GZ2" s="29"/>
      <c r="HA2" s="31"/>
      <c r="HN2" s="31"/>
    </row>
    <row r="3" spans="1:222" s="16" customFormat="1" ht="15" customHeight="1" thickBot="1" x14ac:dyDescent="0.25">
      <c r="A3" s="244" t="s">
        <v>20</v>
      </c>
      <c r="B3" s="244" t="s">
        <v>5</v>
      </c>
      <c r="C3" s="244" t="s">
        <v>6</v>
      </c>
      <c r="D3" s="253" t="s">
        <v>2</v>
      </c>
      <c r="E3" s="254"/>
      <c r="F3" s="254"/>
      <c r="G3" s="255"/>
      <c r="H3" s="253" t="s">
        <v>3</v>
      </c>
      <c r="I3" s="254"/>
      <c r="J3" s="254"/>
      <c r="K3" s="255"/>
      <c r="L3" s="253" t="s">
        <v>4</v>
      </c>
      <c r="M3" s="254"/>
      <c r="N3" s="254"/>
      <c r="O3" s="255"/>
      <c r="P3" s="10"/>
      <c r="Q3" s="244" t="s">
        <v>20</v>
      </c>
      <c r="R3" s="244" t="s">
        <v>5</v>
      </c>
      <c r="S3" s="244" t="s">
        <v>6</v>
      </c>
      <c r="T3" s="253" t="s">
        <v>2</v>
      </c>
      <c r="U3" s="254"/>
      <c r="V3" s="254"/>
      <c r="W3" s="255"/>
      <c r="X3" s="253" t="s">
        <v>3</v>
      </c>
      <c r="Y3" s="254"/>
      <c r="Z3" s="254"/>
      <c r="AA3" s="255"/>
      <c r="AB3" s="253" t="s">
        <v>4</v>
      </c>
      <c r="AC3" s="254"/>
      <c r="AD3" s="254"/>
      <c r="AE3" s="255"/>
      <c r="AF3" s="10"/>
      <c r="AG3" s="244" t="s">
        <v>20</v>
      </c>
      <c r="AH3" s="244" t="s">
        <v>5</v>
      </c>
      <c r="AI3" s="244" t="s">
        <v>6</v>
      </c>
      <c r="AJ3" s="253" t="s">
        <v>2</v>
      </c>
      <c r="AK3" s="254"/>
      <c r="AL3" s="254"/>
      <c r="AM3" s="255"/>
      <c r="AN3" s="253" t="s">
        <v>3</v>
      </c>
      <c r="AO3" s="254"/>
      <c r="AP3" s="254"/>
      <c r="AQ3" s="255"/>
      <c r="AR3" s="253" t="s">
        <v>4</v>
      </c>
      <c r="AS3" s="254"/>
      <c r="AT3" s="254"/>
      <c r="AU3" s="255"/>
      <c r="AV3" s="10"/>
      <c r="AW3" s="244" t="s">
        <v>20</v>
      </c>
      <c r="AX3" s="244" t="s">
        <v>5</v>
      </c>
      <c r="AY3" s="244" t="s">
        <v>6</v>
      </c>
      <c r="AZ3" s="253" t="s">
        <v>2</v>
      </c>
      <c r="BA3" s="254"/>
      <c r="BB3" s="254"/>
      <c r="BC3" s="255"/>
      <c r="BD3" s="253" t="s">
        <v>3</v>
      </c>
      <c r="BE3" s="254"/>
      <c r="BF3" s="254"/>
      <c r="BG3" s="255"/>
      <c r="BH3" s="253" t="s">
        <v>4</v>
      </c>
      <c r="BI3" s="254"/>
      <c r="BJ3" s="254"/>
      <c r="BK3" s="255"/>
      <c r="BL3" s="10"/>
      <c r="BM3" s="244" t="s">
        <v>20</v>
      </c>
      <c r="BN3" s="244" t="s">
        <v>5</v>
      </c>
      <c r="BO3" s="244" t="s">
        <v>6</v>
      </c>
      <c r="BP3" s="253" t="s">
        <v>2</v>
      </c>
      <c r="BQ3" s="254"/>
      <c r="BR3" s="254"/>
      <c r="BS3" s="255"/>
      <c r="BT3" s="253" t="s">
        <v>3</v>
      </c>
      <c r="BU3" s="254"/>
      <c r="BV3" s="254"/>
      <c r="BW3" s="255"/>
      <c r="BX3" s="253" t="s">
        <v>4</v>
      </c>
      <c r="BY3" s="254"/>
      <c r="BZ3" s="254"/>
      <c r="CA3" s="255"/>
      <c r="CB3" s="10"/>
      <c r="CC3" s="244" t="s">
        <v>20</v>
      </c>
      <c r="CD3" s="244" t="s">
        <v>5</v>
      </c>
      <c r="CE3" s="244" t="s">
        <v>6</v>
      </c>
      <c r="CF3" s="253" t="s">
        <v>2</v>
      </c>
      <c r="CG3" s="254"/>
      <c r="CH3" s="254"/>
      <c r="CI3" s="255"/>
      <c r="CJ3" s="253" t="s">
        <v>3</v>
      </c>
      <c r="CK3" s="254"/>
      <c r="CL3" s="254"/>
      <c r="CM3" s="255"/>
      <c r="CN3" s="253" t="s">
        <v>4</v>
      </c>
      <c r="CO3" s="254"/>
      <c r="CP3" s="254"/>
      <c r="CQ3" s="255"/>
      <c r="CR3" s="10"/>
      <c r="CS3" s="244" t="s">
        <v>20</v>
      </c>
      <c r="CT3" s="244" t="s">
        <v>5</v>
      </c>
      <c r="CU3" s="244" t="s">
        <v>6</v>
      </c>
      <c r="CV3" s="253" t="s">
        <v>2</v>
      </c>
      <c r="CW3" s="254"/>
      <c r="CX3" s="254"/>
      <c r="CY3" s="255"/>
      <c r="CZ3" s="253" t="s">
        <v>3</v>
      </c>
      <c r="DA3" s="254"/>
      <c r="DB3" s="254"/>
      <c r="DC3" s="255"/>
      <c r="DD3" s="253" t="s">
        <v>4</v>
      </c>
      <c r="DE3" s="254"/>
      <c r="DF3" s="254"/>
      <c r="DG3" s="255"/>
      <c r="DH3" s="10"/>
      <c r="DI3" s="244" t="s">
        <v>20</v>
      </c>
      <c r="DJ3" s="244" t="s">
        <v>5</v>
      </c>
      <c r="DK3" s="244" t="s">
        <v>6</v>
      </c>
      <c r="DL3" s="253" t="s">
        <v>2</v>
      </c>
      <c r="DM3" s="254"/>
      <c r="DN3" s="254"/>
      <c r="DO3" s="255"/>
      <c r="DP3" s="253" t="s">
        <v>3</v>
      </c>
      <c r="DQ3" s="254"/>
      <c r="DR3" s="254"/>
      <c r="DS3" s="255"/>
      <c r="DT3" s="253" t="s">
        <v>4</v>
      </c>
      <c r="DU3" s="254"/>
      <c r="DV3" s="254"/>
      <c r="DW3" s="255"/>
      <c r="DX3" s="10"/>
      <c r="DY3" s="244" t="s">
        <v>20</v>
      </c>
      <c r="DZ3" s="244" t="s">
        <v>5</v>
      </c>
      <c r="EA3" s="244" t="s">
        <v>6</v>
      </c>
      <c r="EB3" s="253" t="s">
        <v>2</v>
      </c>
      <c r="EC3" s="254"/>
      <c r="ED3" s="254"/>
      <c r="EE3" s="255"/>
      <c r="EF3" s="253" t="s">
        <v>3</v>
      </c>
      <c r="EG3" s="254"/>
      <c r="EH3" s="254"/>
      <c r="EI3" s="255"/>
      <c r="EJ3" s="253" t="s">
        <v>4</v>
      </c>
      <c r="EK3" s="254"/>
      <c r="EL3" s="254"/>
      <c r="EM3" s="255"/>
      <c r="EN3" s="10"/>
      <c r="EO3" s="244" t="s">
        <v>20</v>
      </c>
      <c r="EP3" s="244" t="s">
        <v>5</v>
      </c>
      <c r="EQ3" s="244" t="s">
        <v>6</v>
      </c>
      <c r="ER3" s="253" t="s">
        <v>2</v>
      </c>
      <c r="ES3" s="254"/>
      <c r="ET3" s="254"/>
      <c r="EU3" s="255"/>
      <c r="EV3" s="253" t="s">
        <v>3</v>
      </c>
      <c r="EW3" s="254"/>
      <c r="EX3" s="254"/>
      <c r="EY3" s="255"/>
      <c r="EZ3" s="253" t="s">
        <v>4</v>
      </c>
      <c r="FA3" s="254"/>
      <c r="FB3" s="254"/>
      <c r="FC3" s="255"/>
      <c r="FD3" s="10"/>
      <c r="FE3" s="244" t="s">
        <v>20</v>
      </c>
      <c r="FF3" s="244" t="s">
        <v>5</v>
      </c>
      <c r="FG3" s="244" t="s">
        <v>6</v>
      </c>
      <c r="FH3" s="253" t="s">
        <v>2</v>
      </c>
      <c r="FI3" s="254"/>
      <c r="FJ3" s="254"/>
      <c r="FK3" s="255"/>
      <c r="FL3" s="253" t="s">
        <v>3</v>
      </c>
      <c r="FM3" s="254"/>
      <c r="FN3" s="254"/>
      <c r="FO3" s="255"/>
      <c r="FP3" s="253" t="s">
        <v>4</v>
      </c>
      <c r="FQ3" s="254"/>
      <c r="FR3" s="254"/>
      <c r="FS3" s="255"/>
      <c r="FT3" s="10"/>
      <c r="FU3" s="244" t="s">
        <v>20</v>
      </c>
      <c r="FV3" s="244" t="s">
        <v>5</v>
      </c>
      <c r="FW3" s="244" t="s">
        <v>6</v>
      </c>
      <c r="FX3" s="253" t="s">
        <v>2</v>
      </c>
      <c r="FY3" s="254"/>
      <c r="FZ3" s="254"/>
      <c r="GA3" s="255"/>
      <c r="GB3" s="253" t="s">
        <v>3</v>
      </c>
      <c r="GC3" s="254"/>
      <c r="GD3" s="254"/>
      <c r="GE3" s="255"/>
      <c r="GF3" s="253" t="s">
        <v>4</v>
      </c>
      <c r="GG3" s="254"/>
      <c r="GH3" s="254"/>
      <c r="GI3" s="255"/>
      <c r="GJ3" s="10"/>
      <c r="GK3" s="261" t="s">
        <v>20</v>
      </c>
      <c r="GL3" s="244" t="s">
        <v>5</v>
      </c>
      <c r="GM3" s="244" t="s">
        <v>6</v>
      </c>
      <c r="GN3" s="253" t="s">
        <v>2</v>
      </c>
      <c r="GO3" s="254"/>
      <c r="GP3" s="254"/>
      <c r="GQ3" s="255"/>
      <c r="GR3" s="253" t="s">
        <v>3</v>
      </c>
      <c r="GS3" s="254"/>
      <c r="GT3" s="254"/>
      <c r="GU3" s="255"/>
      <c r="GV3" s="253" t="s">
        <v>4</v>
      </c>
      <c r="GW3" s="254"/>
      <c r="GX3" s="254"/>
      <c r="GY3" s="255"/>
      <c r="GZ3" s="10"/>
      <c r="HA3" s="15"/>
      <c r="HB3" s="76"/>
      <c r="HC3" s="76"/>
      <c r="HD3" s="76"/>
      <c r="HE3" s="76"/>
      <c r="HF3" s="76"/>
      <c r="HG3" s="76"/>
      <c r="HH3" s="76"/>
      <c r="HI3" s="76"/>
      <c r="HJ3" s="76"/>
      <c r="HK3" s="76"/>
      <c r="HL3" s="76"/>
      <c r="HM3" s="76"/>
      <c r="HN3" s="15"/>
    </row>
    <row r="4" spans="1:222" s="80" customFormat="1" ht="25.5" customHeight="1" thickBot="1" x14ac:dyDescent="0.25">
      <c r="A4" s="245"/>
      <c r="B4" s="245"/>
      <c r="C4" s="245"/>
      <c r="D4" s="11" t="s">
        <v>7</v>
      </c>
      <c r="E4" s="12" t="s">
        <v>8</v>
      </c>
      <c r="F4" s="13" t="s">
        <v>9</v>
      </c>
      <c r="G4" s="14" t="s">
        <v>21</v>
      </c>
      <c r="H4" s="11" t="s">
        <v>7</v>
      </c>
      <c r="I4" s="12" t="s">
        <v>8</v>
      </c>
      <c r="J4" s="13" t="s">
        <v>9</v>
      </c>
      <c r="K4" s="14" t="s">
        <v>21</v>
      </c>
      <c r="L4" s="11" t="s">
        <v>7</v>
      </c>
      <c r="M4" s="12" t="s">
        <v>8</v>
      </c>
      <c r="N4" s="13" t="s">
        <v>9</v>
      </c>
      <c r="O4" s="14" t="s">
        <v>21</v>
      </c>
      <c r="P4" s="77"/>
      <c r="Q4" s="245"/>
      <c r="R4" s="245"/>
      <c r="S4" s="245"/>
      <c r="T4" s="11" t="s">
        <v>7</v>
      </c>
      <c r="U4" s="12" t="s">
        <v>8</v>
      </c>
      <c r="V4" s="13" t="s">
        <v>9</v>
      </c>
      <c r="W4" s="14" t="s">
        <v>21</v>
      </c>
      <c r="X4" s="11" t="s">
        <v>7</v>
      </c>
      <c r="Y4" s="12" t="s">
        <v>8</v>
      </c>
      <c r="Z4" s="13" t="s">
        <v>9</v>
      </c>
      <c r="AA4" s="14" t="s">
        <v>21</v>
      </c>
      <c r="AB4" s="11" t="s">
        <v>7</v>
      </c>
      <c r="AC4" s="12" t="s">
        <v>8</v>
      </c>
      <c r="AD4" s="13" t="s">
        <v>9</v>
      </c>
      <c r="AE4" s="14" t="s">
        <v>21</v>
      </c>
      <c r="AF4" s="77"/>
      <c r="AG4" s="245"/>
      <c r="AH4" s="245"/>
      <c r="AI4" s="245"/>
      <c r="AJ4" s="11" t="s">
        <v>7</v>
      </c>
      <c r="AK4" s="12" t="s">
        <v>8</v>
      </c>
      <c r="AL4" s="13" t="s">
        <v>9</v>
      </c>
      <c r="AM4" s="14" t="s">
        <v>21</v>
      </c>
      <c r="AN4" s="11" t="s">
        <v>7</v>
      </c>
      <c r="AO4" s="12" t="s">
        <v>8</v>
      </c>
      <c r="AP4" s="13" t="s">
        <v>9</v>
      </c>
      <c r="AQ4" s="14" t="s">
        <v>21</v>
      </c>
      <c r="AR4" s="11" t="s">
        <v>7</v>
      </c>
      <c r="AS4" s="12" t="s">
        <v>8</v>
      </c>
      <c r="AT4" s="13" t="s">
        <v>9</v>
      </c>
      <c r="AU4" s="14" t="s">
        <v>21</v>
      </c>
      <c r="AV4" s="77"/>
      <c r="AW4" s="245"/>
      <c r="AX4" s="245"/>
      <c r="AY4" s="245"/>
      <c r="AZ4" s="11" t="s">
        <v>7</v>
      </c>
      <c r="BA4" s="12" t="s">
        <v>8</v>
      </c>
      <c r="BB4" s="13" t="s">
        <v>9</v>
      </c>
      <c r="BC4" s="14" t="s">
        <v>21</v>
      </c>
      <c r="BD4" s="11" t="s">
        <v>7</v>
      </c>
      <c r="BE4" s="12" t="s">
        <v>8</v>
      </c>
      <c r="BF4" s="13" t="s">
        <v>9</v>
      </c>
      <c r="BG4" s="14" t="s">
        <v>21</v>
      </c>
      <c r="BH4" s="11" t="s">
        <v>7</v>
      </c>
      <c r="BI4" s="12" t="s">
        <v>8</v>
      </c>
      <c r="BJ4" s="13" t="s">
        <v>9</v>
      </c>
      <c r="BK4" s="14" t="s">
        <v>21</v>
      </c>
      <c r="BL4" s="77"/>
      <c r="BM4" s="245"/>
      <c r="BN4" s="245"/>
      <c r="BO4" s="245"/>
      <c r="BP4" s="11" t="s">
        <v>7</v>
      </c>
      <c r="BQ4" s="12" t="s">
        <v>8</v>
      </c>
      <c r="BR4" s="13" t="s">
        <v>9</v>
      </c>
      <c r="BS4" s="14" t="s">
        <v>21</v>
      </c>
      <c r="BT4" s="11" t="s">
        <v>7</v>
      </c>
      <c r="BU4" s="12" t="s">
        <v>8</v>
      </c>
      <c r="BV4" s="13" t="s">
        <v>9</v>
      </c>
      <c r="BW4" s="14" t="s">
        <v>21</v>
      </c>
      <c r="BX4" s="11" t="s">
        <v>7</v>
      </c>
      <c r="BY4" s="12" t="s">
        <v>8</v>
      </c>
      <c r="BZ4" s="13" t="s">
        <v>9</v>
      </c>
      <c r="CA4" s="14" t="s">
        <v>21</v>
      </c>
      <c r="CB4" s="77"/>
      <c r="CC4" s="245"/>
      <c r="CD4" s="245"/>
      <c r="CE4" s="245"/>
      <c r="CF4" s="11" t="s">
        <v>7</v>
      </c>
      <c r="CG4" s="12" t="s">
        <v>8</v>
      </c>
      <c r="CH4" s="13" t="s">
        <v>9</v>
      </c>
      <c r="CI4" s="14" t="s">
        <v>21</v>
      </c>
      <c r="CJ4" s="11" t="s">
        <v>7</v>
      </c>
      <c r="CK4" s="12" t="s">
        <v>8</v>
      </c>
      <c r="CL4" s="13" t="s">
        <v>9</v>
      </c>
      <c r="CM4" s="14" t="s">
        <v>21</v>
      </c>
      <c r="CN4" s="11" t="s">
        <v>7</v>
      </c>
      <c r="CO4" s="12" t="s">
        <v>8</v>
      </c>
      <c r="CP4" s="13" t="s">
        <v>9</v>
      </c>
      <c r="CQ4" s="14" t="s">
        <v>21</v>
      </c>
      <c r="CR4" s="77"/>
      <c r="CS4" s="245"/>
      <c r="CT4" s="245"/>
      <c r="CU4" s="245"/>
      <c r="CV4" s="11" t="s">
        <v>7</v>
      </c>
      <c r="CW4" s="12" t="s">
        <v>8</v>
      </c>
      <c r="CX4" s="13" t="s">
        <v>9</v>
      </c>
      <c r="CY4" s="14" t="s">
        <v>21</v>
      </c>
      <c r="CZ4" s="11" t="s">
        <v>7</v>
      </c>
      <c r="DA4" s="12" t="s">
        <v>8</v>
      </c>
      <c r="DB4" s="13" t="s">
        <v>9</v>
      </c>
      <c r="DC4" s="14" t="s">
        <v>21</v>
      </c>
      <c r="DD4" s="11" t="s">
        <v>7</v>
      </c>
      <c r="DE4" s="12" t="s">
        <v>8</v>
      </c>
      <c r="DF4" s="13" t="s">
        <v>9</v>
      </c>
      <c r="DG4" s="14" t="s">
        <v>21</v>
      </c>
      <c r="DH4" s="77"/>
      <c r="DI4" s="245"/>
      <c r="DJ4" s="245"/>
      <c r="DK4" s="245"/>
      <c r="DL4" s="11" t="s">
        <v>7</v>
      </c>
      <c r="DM4" s="12" t="s">
        <v>8</v>
      </c>
      <c r="DN4" s="13" t="s">
        <v>9</v>
      </c>
      <c r="DO4" s="14" t="s">
        <v>21</v>
      </c>
      <c r="DP4" s="11" t="s">
        <v>7</v>
      </c>
      <c r="DQ4" s="12" t="s">
        <v>8</v>
      </c>
      <c r="DR4" s="13" t="s">
        <v>9</v>
      </c>
      <c r="DS4" s="14" t="s">
        <v>21</v>
      </c>
      <c r="DT4" s="11" t="s">
        <v>7</v>
      </c>
      <c r="DU4" s="12" t="s">
        <v>8</v>
      </c>
      <c r="DV4" s="13" t="s">
        <v>9</v>
      </c>
      <c r="DW4" s="14" t="s">
        <v>21</v>
      </c>
      <c r="DX4" s="77"/>
      <c r="DY4" s="245"/>
      <c r="DZ4" s="245"/>
      <c r="EA4" s="245"/>
      <c r="EB4" s="11" t="s">
        <v>7</v>
      </c>
      <c r="EC4" s="12" t="s">
        <v>8</v>
      </c>
      <c r="ED4" s="13" t="s">
        <v>9</v>
      </c>
      <c r="EE4" s="14" t="s">
        <v>21</v>
      </c>
      <c r="EF4" s="11" t="s">
        <v>7</v>
      </c>
      <c r="EG4" s="12" t="s">
        <v>8</v>
      </c>
      <c r="EH4" s="13" t="s">
        <v>9</v>
      </c>
      <c r="EI4" s="14" t="s">
        <v>21</v>
      </c>
      <c r="EJ4" s="11" t="s">
        <v>7</v>
      </c>
      <c r="EK4" s="12" t="s">
        <v>8</v>
      </c>
      <c r="EL4" s="13" t="s">
        <v>9</v>
      </c>
      <c r="EM4" s="14" t="s">
        <v>21</v>
      </c>
      <c r="EN4" s="77"/>
      <c r="EO4" s="245"/>
      <c r="EP4" s="245"/>
      <c r="EQ4" s="245"/>
      <c r="ER4" s="11" t="s">
        <v>7</v>
      </c>
      <c r="ES4" s="12" t="s">
        <v>8</v>
      </c>
      <c r="ET4" s="13" t="s">
        <v>9</v>
      </c>
      <c r="EU4" s="14" t="s">
        <v>21</v>
      </c>
      <c r="EV4" s="11" t="s">
        <v>7</v>
      </c>
      <c r="EW4" s="12" t="s">
        <v>8</v>
      </c>
      <c r="EX4" s="13" t="s">
        <v>9</v>
      </c>
      <c r="EY4" s="14" t="s">
        <v>21</v>
      </c>
      <c r="EZ4" s="11" t="s">
        <v>7</v>
      </c>
      <c r="FA4" s="12" t="s">
        <v>8</v>
      </c>
      <c r="FB4" s="13" t="s">
        <v>9</v>
      </c>
      <c r="FC4" s="14" t="s">
        <v>21</v>
      </c>
      <c r="FD4" s="77"/>
      <c r="FE4" s="245"/>
      <c r="FF4" s="245"/>
      <c r="FG4" s="245"/>
      <c r="FH4" s="11" t="s">
        <v>7</v>
      </c>
      <c r="FI4" s="12" t="s">
        <v>8</v>
      </c>
      <c r="FJ4" s="13" t="s">
        <v>9</v>
      </c>
      <c r="FK4" s="14" t="s">
        <v>21</v>
      </c>
      <c r="FL4" s="11" t="s">
        <v>7</v>
      </c>
      <c r="FM4" s="12" t="s">
        <v>8</v>
      </c>
      <c r="FN4" s="13" t="s">
        <v>9</v>
      </c>
      <c r="FO4" s="14" t="s">
        <v>21</v>
      </c>
      <c r="FP4" s="11" t="s">
        <v>7</v>
      </c>
      <c r="FQ4" s="12" t="s">
        <v>8</v>
      </c>
      <c r="FR4" s="13" t="s">
        <v>9</v>
      </c>
      <c r="FS4" s="14" t="s">
        <v>21</v>
      </c>
      <c r="FT4" s="77"/>
      <c r="FU4" s="245"/>
      <c r="FV4" s="245"/>
      <c r="FW4" s="245"/>
      <c r="FX4" s="11" t="s">
        <v>7</v>
      </c>
      <c r="FY4" s="12" t="s">
        <v>8</v>
      </c>
      <c r="FZ4" s="13" t="s">
        <v>9</v>
      </c>
      <c r="GA4" s="14" t="s">
        <v>21</v>
      </c>
      <c r="GB4" s="11" t="s">
        <v>7</v>
      </c>
      <c r="GC4" s="12" t="s">
        <v>8</v>
      </c>
      <c r="GD4" s="13" t="s">
        <v>9</v>
      </c>
      <c r="GE4" s="14" t="s">
        <v>21</v>
      </c>
      <c r="GF4" s="11" t="s">
        <v>7</v>
      </c>
      <c r="GG4" s="12" t="s">
        <v>8</v>
      </c>
      <c r="GH4" s="13" t="s">
        <v>9</v>
      </c>
      <c r="GI4" s="14" t="s">
        <v>21</v>
      </c>
      <c r="GJ4" s="77"/>
      <c r="GK4" s="262"/>
      <c r="GL4" s="245"/>
      <c r="GM4" s="245"/>
      <c r="GN4" s="11" t="s">
        <v>7</v>
      </c>
      <c r="GO4" s="12" t="s">
        <v>8</v>
      </c>
      <c r="GP4" s="13" t="s">
        <v>9</v>
      </c>
      <c r="GQ4" s="14" t="s">
        <v>23</v>
      </c>
      <c r="GR4" s="11" t="s">
        <v>7</v>
      </c>
      <c r="GS4" s="12" t="s">
        <v>8</v>
      </c>
      <c r="GT4" s="13" t="s">
        <v>9</v>
      </c>
      <c r="GU4" s="14" t="s">
        <v>23</v>
      </c>
      <c r="GV4" s="11" t="s">
        <v>7</v>
      </c>
      <c r="GW4" s="12" t="s">
        <v>8</v>
      </c>
      <c r="GX4" s="13" t="s">
        <v>9</v>
      </c>
      <c r="GY4" s="14" t="s">
        <v>23</v>
      </c>
      <c r="GZ4" s="77"/>
      <c r="HA4" s="78"/>
      <c r="HB4" s="79"/>
      <c r="HC4" s="79"/>
      <c r="HD4" s="79"/>
      <c r="HE4" s="79"/>
      <c r="HF4" s="79"/>
      <c r="HG4" s="79"/>
      <c r="HH4" s="79"/>
      <c r="HI4" s="79"/>
      <c r="HJ4" s="79"/>
      <c r="HK4" s="79"/>
      <c r="HL4" s="79"/>
      <c r="HM4" s="79"/>
      <c r="HN4" s="78"/>
    </row>
    <row r="5" spans="1:222" ht="15" customHeight="1" thickTop="1" thickBot="1" x14ac:dyDescent="0.3">
      <c r="A5" s="241" t="s">
        <v>25</v>
      </c>
      <c r="B5" s="38"/>
      <c r="C5" s="39" t="s">
        <v>10</v>
      </c>
      <c r="D5" s="148">
        <v>270</v>
      </c>
      <c r="E5" s="149">
        <v>2</v>
      </c>
      <c r="F5" s="150">
        <v>0</v>
      </c>
      <c r="G5" s="151">
        <v>150</v>
      </c>
      <c r="H5" s="149">
        <v>324</v>
      </c>
      <c r="I5" s="149">
        <v>0</v>
      </c>
      <c r="J5" s="150">
        <v>0</v>
      </c>
      <c r="K5" s="151">
        <v>100</v>
      </c>
      <c r="L5" s="149">
        <v>4</v>
      </c>
      <c r="M5" s="149">
        <v>0</v>
      </c>
      <c r="N5" s="150">
        <v>0</v>
      </c>
      <c r="O5" s="43">
        <v>0</v>
      </c>
      <c r="P5" s="29"/>
      <c r="Q5" s="241" t="s">
        <v>25</v>
      </c>
      <c r="R5" s="38"/>
      <c r="S5" s="39" t="s">
        <v>10</v>
      </c>
      <c r="T5" s="148">
        <v>275</v>
      </c>
      <c r="U5" s="149">
        <v>2</v>
      </c>
      <c r="V5" s="150">
        <v>11</v>
      </c>
      <c r="W5" s="151">
        <v>145</v>
      </c>
      <c r="X5" s="149">
        <v>239</v>
      </c>
      <c r="Y5" s="149">
        <v>3</v>
      </c>
      <c r="Z5" s="150">
        <v>11</v>
      </c>
      <c r="AA5" s="151">
        <v>108</v>
      </c>
      <c r="AB5" s="149">
        <v>28</v>
      </c>
      <c r="AC5" s="149">
        <v>0</v>
      </c>
      <c r="AD5" s="150">
        <v>0</v>
      </c>
      <c r="AE5" s="43">
        <v>2</v>
      </c>
      <c r="AF5" s="29"/>
      <c r="AG5" s="241" t="s">
        <v>25</v>
      </c>
      <c r="AH5" s="38"/>
      <c r="AI5" s="39" t="s">
        <v>10</v>
      </c>
      <c r="AJ5" s="148">
        <v>289</v>
      </c>
      <c r="AK5" s="149">
        <v>2</v>
      </c>
      <c r="AL5" s="150">
        <v>7</v>
      </c>
      <c r="AM5" s="151">
        <v>156</v>
      </c>
      <c r="AN5" s="149">
        <v>249</v>
      </c>
      <c r="AO5" s="149">
        <v>1</v>
      </c>
      <c r="AP5" s="150">
        <v>7</v>
      </c>
      <c r="AQ5" s="151">
        <v>143</v>
      </c>
      <c r="AR5" s="149">
        <v>28</v>
      </c>
      <c r="AS5" s="149">
        <v>0</v>
      </c>
      <c r="AT5" s="150">
        <v>0</v>
      </c>
      <c r="AU5" s="151">
        <v>2</v>
      </c>
      <c r="AV5" s="29"/>
      <c r="AW5" s="241" t="s">
        <v>25</v>
      </c>
      <c r="AX5" s="38"/>
      <c r="AY5" s="39" t="s">
        <v>10</v>
      </c>
      <c r="AZ5" s="148">
        <v>285</v>
      </c>
      <c r="BA5" s="149">
        <v>2</v>
      </c>
      <c r="BB5" s="150">
        <v>10</v>
      </c>
      <c r="BC5" s="151">
        <v>169</v>
      </c>
      <c r="BD5" s="149">
        <v>248</v>
      </c>
      <c r="BE5" s="149">
        <v>0</v>
      </c>
      <c r="BF5" s="150">
        <v>6</v>
      </c>
      <c r="BG5" s="151">
        <v>110</v>
      </c>
      <c r="BH5" s="149">
        <v>28</v>
      </c>
      <c r="BI5" s="149">
        <v>0</v>
      </c>
      <c r="BJ5" s="150">
        <v>0</v>
      </c>
      <c r="BK5" s="151">
        <v>0</v>
      </c>
      <c r="BL5" s="29"/>
      <c r="BM5" s="241" t="s">
        <v>25</v>
      </c>
      <c r="BN5" s="38"/>
      <c r="BO5" s="39" t="s">
        <v>10</v>
      </c>
      <c r="BP5" s="148">
        <v>289</v>
      </c>
      <c r="BQ5" s="149">
        <v>3</v>
      </c>
      <c r="BR5" s="150">
        <v>11</v>
      </c>
      <c r="BS5" s="151">
        <v>46</v>
      </c>
      <c r="BT5" s="149">
        <v>248</v>
      </c>
      <c r="BU5" s="149">
        <v>1501</v>
      </c>
      <c r="BV5" s="150">
        <v>9</v>
      </c>
      <c r="BW5" s="151">
        <v>33</v>
      </c>
      <c r="BX5" s="149">
        <v>28</v>
      </c>
      <c r="BY5" s="149">
        <v>1</v>
      </c>
      <c r="BZ5" s="150">
        <v>0</v>
      </c>
      <c r="CA5" s="151">
        <v>0</v>
      </c>
      <c r="CB5" s="29"/>
      <c r="CC5" s="241" t="s">
        <v>25</v>
      </c>
      <c r="CD5" s="38"/>
      <c r="CE5" s="39" t="s">
        <v>10</v>
      </c>
      <c r="CF5" s="40">
        <v>0</v>
      </c>
      <c r="CG5" s="41">
        <v>0</v>
      </c>
      <c r="CH5" s="42">
        <v>0</v>
      </c>
      <c r="CI5" s="43">
        <v>0</v>
      </c>
      <c r="CJ5" s="40">
        <v>0</v>
      </c>
      <c r="CK5" s="41">
        <v>0</v>
      </c>
      <c r="CL5" s="42">
        <v>0</v>
      </c>
      <c r="CM5" s="43">
        <v>0</v>
      </c>
      <c r="CN5" s="40">
        <v>0</v>
      </c>
      <c r="CO5" s="41">
        <v>0</v>
      </c>
      <c r="CP5" s="42">
        <v>0</v>
      </c>
      <c r="CQ5" s="43">
        <v>0</v>
      </c>
      <c r="CR5" s="29"/>
      <c r="CS5" s="241" t="s">
        <v>25</v>
      </c>
      <c r="CT5" s="38"/>
      <c r="CU5" s="39" t="s">
        <v>10</v>
      </c>
      <c r="CV5" s="176">
        <v>272</v>
      </c>
      <c r="CW5" s="149">
        <v>3</v>
      </c>
      <c r="CX5" s="149">
        <v>18</v>
      </c>
      <c r="CY5" s="177">
        <v>191</v>
      </c>
      <c r="CZ5" s="149">
        <v>237</v>
      </c>
      <c r="DA5" s="149">
        <v>2</v>
      </c>
      <c r="DB5" s="149">
        <v>16</v>
      </c>
      <c r="DC5" s="177">
        <v>101</v>
      </c>
      <c r="DD5" s="149">
        <v>4</v>
      </c>
      <c r="DE5" s="149">
        <v>1</v>
      </c>
      <c r="DF5" s="149">
        <v>0</v>
      </c>
      <c r="DG5" s="177">
        <v>2</v>
      </c>
      <c r="DH5" s="29"/>
      <c r="DI5" s="241" t="s">
        <v>25</v>
      </c>
      <c r="DJ5" s="38"/>
      <c r="DK5" s="39" t="s">
        <v>10</v>
      </c>
      <c r="DL5" s="185">
        <v>289</v>
      </c>
      <c r="DM5" s="186">
        <v>1</v>
      </c>
      <c r="DN5" s="187">
        <v>5</v>
      </c>
      <c r="DO5" s="188">
        <v>88</v>
      </c>
      <c r="DP5" s="186">
        <v>284</v>
      </c>
      <c r="DQ5" s="186">
        <v>0</v>
      </c>
      <c r="DR5" s="187">
        <v>5</v>
      </c>
      <c r="DS5" s="188">
        <v>85</v>
      </c>
      <c r="DT5" s="186">
        <v>28</v>
      </c>
      <c r="DU5" s="186">
        <v>0</v>
      </c>
      <c r="DV5" s="187">
        <v>0</v>
      </c>
      <c r="DW5" s="189">
        <v>0</v>
      </c>
      <c r="DX5" s="29"/>
      <c r="DY5" s="241" t="s">
        <v>25</v>
      </c>
      <c r="DZ5" s="38"/>
      <c r="EA5" s="39" t="s">
        <v>10</v>
      </c>
      <c r="EB5" s="207">
        <v>387</v>
      </c>
      <c r="EC5" s="208">
        <v>4</v>
      </c>
      <c r="ED5" s="209">
        <v>9</v>
      </c>
      <c r="EE5" s="189">
        <v>199</v>
      </c>
      <c r="EF5" s="207">
        <v>301</v>
      </c>
      <c r="EG5" s="208">
        <v>1</v>
      </c>
      <c r="EH5" s="209">
        <v>19</v>
      </c>
      <c r="EI5" s="189">
        <v>269</v>
      </c>
      <c r="EJ5" s="207">
        <v>7</v>
      </c>
      <c r="EK5" s="208">
        <v>0</v>
      </c>
      <c r="EL5" s="209">
        <v>0</v>
      </c>
      <c r="EM5" s="189">
        <v>1</v>
      </c>
      <c r="EN5" s="29"/>
      <c r="EO5" s="241" t="s">
        <v>25</v>
      </c>
      <c r="EP5" s="38"/>
      <c r="EQ5" s="39" t="s">
        <v>10</v>
      </c>
      <c r="ER5" s="207">
        <v>387</v>
      </c>
      <c r="ES5" s="208">
        <v>4</v>
      </c>
      <c r="ET5" s="209">
        <v>9</v>
      </c>
      <c r="EU5" s="189">
        <v>66</v>
      </c>
      <c r="EV5" s="207">
        <v>301</v>
      </c>
      <c r="EW5" s="208">
        <v>1</v>
      </c>
      <c r="EX5" s="209">
        <v>19</v>
      </c>
      <c r="EY5" s="189">
        <v>69</v>
      </c>
      <c r="EZ5" s="207">
        <v>7</v>
      </c>
      <c r="FA5" s="208">
        <v>0</v>
      </c>
      <c r="FB5" s="209">
        <v>0</v>
      </c>
      <c r="FC5" s="189">
        <v>0</v>
      </c>
      <c r="FD5" s="29"/>
      <c r="FE5" s="241" t="s">
        <v>25</v>
      </c>
      <c r="FF5" s="38"/>
      <c r="FG5" s="39" t="s">
        <v>10</v>
      </c>
      <c r="FH5" s="40">
        <v>0</v>
      </c>
      <c r="FI5" s="41">
        <v>0</v>
      </c>
      <c r="FJ5" s="42">
        <v>0</v>
      </c>
      <c r="FK5" s="43">
        <v>0</v>
      </c>
      <c r="FL5" s="40">
        <v>0</v>
      </c>
      <c r="FM5" s="41">
        <v>0</v>
      </c>
      <c r="FN5" s="42">
        <v>0</v>
      </c>
      <c r="FO5" s="43">
        <v>0</v>
      </c>
      <c r="FP5" s="40">
        <v>0</v>
      </c>
      <c r="FQ5" s="41">
        <v>0</v>
      </c>
      <c r="FR5" s="42">
        <v>0</v>
      </c>
      <c r="FS5" s="43">
        <v>0</v>
      </c>
      <c r="FT5" s="29"/>
      <c r="FU5" s="241" t="s">
        <v>25</v>
      </c>
      <c r="FV5" s="38"/>
      <c r="FW5" s="39" t="s">
        <v>10</v>
      </c>
      <c r="FX5" s="40">
        <v>0</v>
      </c>
      <c r="FY5" s="41">
        <v>0</v>
      </c>
      <c r="FZ5" s="42">
        <v>0</v>
      </c>
      <c r="GA5" s="43">
        <v>0</v>
      </c>
      <c r="GB5" s="40">
        <v>0</v>
      </c>
      <c r="GC5" s="41">
        <v>0</v>
      </c>
      <c r="GD5" s="42">
        <v>0</v>
      </c>
      <c r="GE5" s="43">
        <v>0</v>
      </c>
      <c r="GF5" s="40">
        <v>0</v>
      </c>
      <c r="GG5" s="41">
        <v>0</v>
      </c>
      <c r="GH5" s="42">
        <v>0</v>
      </c>
      <c r="GI5" s="43">
        <v>0</v>
      </c>
      <c r="GJ5" s="29"/>
      <c r="GK5" s="241" t="str">
        <f>FU5</f>
        <v>الربيع والتوفيق</v>
      </c>
      <c r="GL5" s="38"/>
      <c r="GM5" s="39" t="s">
        <v>10</v>
      </c>
      <c r="GN5" s="41">
        <f>FX5</f>
        <v>0</v>
      </c>
      <c r="GO5" s="41">
        <f t="shared" ref="GO5" si="0">E5+U5+AK5+BA5+BQ5+CG5++CW5+DM5+EC5+ES5+FI5+FY5</f>
        <v>23</v>
      </c>
      <c r="GP5" s="41">
        <f t="shared" ref="GP5" si="1">F5+V5+AL5+BB5+BR5+CH5++CX5+DN5+ED5+ET5+FJ5+FZ5</f>
        <v>80</v>
      </c>
      <c r="GQ5" s="41">
        <f t="shared" ref="GQ5" si="2">G5+W5+AM5+BC5+BS5+CI5++CY5+DO5+EE5+EU5+FK5+GA5</f>
        <v>1210</v>
      </c>
      <c r="GR5" s="41">
        <f>GB5</f>
        <v>0</v>
      </c>
      <c r="GS5" s="41">
        <f t="shared" ref="GS5" si="3">I5+Y5+AO5+BE5+BU5+CK5++DA5+DQ5+EG5+EW5+FM5+GC5</f>
        <v>1509</v>
      </c>
      <c r="GT5" s="41">
        <f t="shared" ref="GT5" si="4">J5+Z5+AP5+BF5+BV5+CL5++DB5+DR5+EH5+EX5+FN5+GD5</f>
        <v>92</v>
      </c>
      <c r="GU5" s="41">
        <f t="shared" ref="GU5" si="5">K5+AA5+AQ5+BG5+BW5+CM5++DC5+DS5+EI5+EY5+FO5+GE5</f>
        <v>1018</v>
      </c>
      <c r="GV5" s="41">
        <f>GF5</f>
        <v>0</v>
      </c>
      <c r="GW5" s="41">
        <f t="shared" ref="GW5" si="6">M5+AC5+AS5+BI5+BY5+CO5++DE5+DU5+EK5+FA5+FQ5+GG5</f>
        <v>2</v>
      </c>
      <c r="GX5" s="41">
        <f t="shared" ref="GX5" si="7">N5+AD5+AT5+BJ5+BZ5+CP5++DF5+DV5+EL5+FB5+FR5+GH5</f>
        <v>0</v>
      </c>
      <c r="GY5" s="41">
        <f t="shared" ref="GY5" si="8">O5+AE5+AU5+BK5+CA5+CQ5++DG5+DW5+EM5+FC5+FS5+GI5</f>
        <v>7</v>
      </c>
      <c r="GZ5" s="29"/>
      <c r="HA5" s="31"/>
      <c r="HN5" s="31"/>
    </row>
    <row r="6" spans="1:222" ht="15" customHeight="1" thickBot="1" x14ac:dyDescent="0.3">
      <c r="A6" s="242"/>
      <c r="B6" s="46" t="s">
        <v>11</v>
      </c>
      <c r="C6" s="47" t="s">
        <v>12</v>
      </c>
      <c r="D6" s="152">
        <v>209</v>
      </c>
      <c r="E6" s="153">
        <v>3</v>
      </c>
      <c r="F6" s="154">
        <v>0</v>
      </c>
      <c r="G6" s="155">
        <v>120</v>
      </c>
      <c r="H6" s="153">
        <v>206</v>
      </c>
      <c r="I6" s="153">
        <v>0</v>
      </c>
      <c r="J6" s="154">
        <v>0</v>
      </c>
      <c r="K6" s="155">
        <v>80</v>
      </c>
      <c r="L6" s="153">
        <v>4</v>
      </c>
      <c r="M6" s="153">
        <v>0</v>
      </c>
      <c r="N6" s="154">
        <v>0</v>
      </c>
      <c r="O6" s="51">
        <v>0</v>
      </c>
      <c r="P6" s="29"/>
      <c r="Q6" s="242"/>
      <c r="R6" s="46" t="s">
        <v>11</v>
      </c>
      <c r="S6" s="47" t="s">
        <v>12</v>
      </c>
      <c r="T6" s="152">
        <v>209</v>
      </c>
      <c r="U6" s="153">
        <v>0</v>
      </c>
      <c r="V6" s="154">
        <v>13</v>
      </c>
      <c r="W6" s="155">
        <v>177</v>
      </c>
      <c r="X6" s="153">
        <v>206</v>
      </c>
      <c r="Y6" s="153">
        <v>0</v>
      </c>
      <c r="Z6" s="154">
        <v>7</v>
      </c>
      <c r="AA6" s="155">
        <v>148</v>
      </c>
      <c r="AB6" s="153">
        <v>8</v>
      </c>
      <c r="AC6" s="153">
        <v>0</v>
      </c>
      <c r="AD6" s="154">
        <v>0</v>
      </c>
      <c r="AE6" s="51">
        <v>0</v>
      </c>
      <c r="AF6" s="29"/>
      <c r="AG6" s="242"/>
      <c r="AH6" s="46" t="s">
        <v>11</v>
      </c>
      <c r="AI6" s="47" t="s">
        <v>12</v>
      </c>
      <c r="AJ6" s="152">
        <v>217</v>
      </c>
      <c r="AK6" s="153">
        <v>1</v>
      </c>
      <c r="AL6" s="154">
        <v>8</v>
      </c>
      <c r="AM6" s="155">
        <v>97</v>
      </c>
      <c r="AN6" s="153">
        <v>209</v>
      </c>
      <c r="AO6" s="153">
        <v>0</v>
      </c>
      <c r="AP6" s="154">
        <v>5</v>
      </c>
      <c r="AQ6" s="155">
        <v>123</v>
      </c>
      <c r="AR6" s="153">
        <v>9</v>
      </c>
      <c r="AS6" s="153">
        <v>0</v>
      </c>
      <c r="AT6" s="154">
        <v>0</v>
      </c>
      <c r="AU6" s="155">
        <v>0</v>
      </c>
      <c r="AV6" s="29"/>
      <c r="AW6" s="242"/>
      <c r="AX6" s="46" t="s">
        <v>11</v>
      </c>
      <c r="AY6" s="47" t="s">
        <v>12</v>
      </c>
      <c r="AZ6" s="152">
        <v>214</v>
      </c>
      <c r="BA6" s="153">
        <v>2</v>
      </c>
      <c r="BB6" s="154">
        <v>9</v>
      </c>
      <c r="BC6" s="155">
        <v>155</v>
      </c>
      <c r="BD6" s="153">
        <v>208</v>
      </c>
      <c r="BE6" s="153">
        <v>1</v>
      </c>
      <c r="BF6" s="154">
        <v>0</v>
      </c>
      <c r="BG6" s="155">
        <v>133</v>
      </c>
      <c r="BH6" s="153">
        <v>8</v>
      </c>
      <c r="BI6" s="153">
        <v>1</v>
      </c>
      <c r="BJ6" s="154">
        <v>0</v>
      </c>
      <c r="BK6" s="155">
        <v>1</v>
      </c>
      <c r="BL6" s="29"/>
      <c r="BM6" s="242"/>
      <c r="BN6" s="46" t="s">
        <v>11</v>
      </c>
      <c r="BO6" s="47" t="s">
        <v>12</v>
      </c>
      <c r="BP6" s="152">
        <v>219</v>
      </c>
      <c r="BQ6" s="153">
        <v>2</v>
      </c>
      <c r="BR6" s="154">
        <v>10</v>
      </c>
      <c r="BS6" s="155">
        <v>56</v>
      </c>
      <c r="BT6" s="153">
        <v>208</v>
      </c>
      <c r="BU6" s="153">
        <v>1</v>
      </c>
      <c r="BV6" s="154">
        <v>6</v>
      </c>
      <c r="BW6" s="155">
        <v>29</v>
      </c>
      <c r="BX6" s="153">
        <v>8</v>
      </c>
      <c r="BY6" s="153">
        <v>0</v>
      </c>
      <c r="BZ6" s="154">
        <v>0</v>
      </c>
      <c r="CA6" s="155">
        <v>0</v>
      </c>
      <c r="CB6" s="29"/>
      <c r="CC6" s="242"/>
      <c r="CD6" s="46" t="s">
        <v>11</v>
      </c>
      <c r="CE6" s="47" t="s">
        <v>12</v>
      </c>
      <c r="CF6" s="48">
        <v>0</v>
      </c>
      <c r="CG6" s="49">
        <v>0</v>
      </c>
      <c r="CH6" s="50">
        <v>0</v>
      </c>
      <c r="CI6" s="51">
        <v>0</v>
      </c>
      <c r="CJ6" s="48">
        <v>0</v>
      </c>
      <c r="CK6" s="49">
        <v>0</v>
      </c>
      <c r="CL6" s="50">
        <v>0</v>
      </c>
      <c r="CM6" s="51">
        <v>0</v>
      </c>
      <c r="CN6" s="48">
        <v>0</v>
      </c>
      <c r="CO6" s="49">
        <v>0</v>
      </c>
      <c r="CP6" s="50">
        <v>0</v>
      </c>
      <c r="CQ6" s="51">
        <v>0</v>
      </c>
      <c r="CR6" s="29"/>
      <c r="CS6" s="242"/>
      <c r="CT6" s="46" t="s">
        <v>11</v>
      </c>
      <c r="CU6" s="47" t="s">
        <v>12</v>
      </c>
      <c r="CV6" s="163">
        <v>209</v>
      </c>
      <c r="CW6" s="157">
        <v>0</v>
      </c>
      <c r="CX6" s="157">
        <v>15</v>
      </c>
      <c r="CY6" s="164">
        <v>219</v>
      </c>
      <c r="CZ6" s="157">
        <v>206</v>
      </c>
      <c r="DA6" s="157">
        <v>0</v>
      </c>
      <c r="DB6" s="157">
        <v>11</v>
      </c>
      <c r="DC6" s="164">
        <v>94</v>
      </c>
      <c r="DD6" s="157">
        <v>3</v>
      </c>
      <c r="DE6" s="157">
        <v>1</v>
      </c>
      <c r="DF6" s="157">
        <v>0</v>
      </c>
      <c r="DG6" s="164">
        <v>0</v>
      </c>
      <c r="DH6" s="29"/>
      <c r="DI6" s="242"/>
      <c r="DJ6" s="46" t="s">
        <v>11</v>
      </c>
      <c r="DK6" s="47" t="s">
        <v>12</v>
      </c>
      <c r="DL6" s="190">
        <v>233</v>
      </c>
      <c r="DM6" s="191">
        <v>0</v>
      </c>
      <c r="DN6" s="192">
        <v>3</v>
      </c>
      <c r="DO6" s="193">
        <v>58</v>
      </c>
      <c r="DP6" s="191">
        <v>243</v>
      </c>
      <c r="DQ6" s="191">
        <v>0</v>
      </c>
      <c r="DR6" s="192">
        <v>4</v>
      </c>
      <c r="DS6" s="193">
        <v>67</v>
      </c>
      <c r="DT6" s="191">
        <v>8</v>
      </c>
      <c r="DU6" s="191">
        <v>0</v>
      </c>
      <c r="DV6" s="192">
        <v>0</v>
      </c>
      <c r="DW6" s="194">
        <v>0</v>
      </c>
      <c r="DX6" s="29"/>
      <c r="DY6" s="242"/>
      <c r="DZ6" s="46" t="s">
        <v>11</v>
      </c>
      <c r="EA6" s="47" t="s">
        <v>12</v>
      </c>
      <c r="EB6" s="210">
        <v>275</v>
      </c>
      <c r="EC6" s="211">
        <v>3</v>
      </c>
      <c r="ED6" s="212">
        <v>7</v>
      </c>
      <c r="EE6" s="194">
        <v>98</v>
      </c>
      <c r="EF6" s="210">
        <v>266</v>
      </c>
      <c r="EG6" s="211">
        <v>3</v>
      </c>
      <c r="EH6" s="212">
        <v>12</v>
      </c>
      <c r="EI6" s="194">
        <v>132</v>
      </c>
      <c r="EJ6" s="210">
        <v>13</v>
      </c>
      <c r="EK6" s="211">
        <v>0</v>
      </c>
      <c r="EL6" s="212">
        <v>0</v>
      </c>
      <c r="EM6" s="194">
        <v>0</v>
      </c>
      <c r="EN6" s="29"/>
      <c r="EO6" s="242"/>
      <c r="EP6" s="46" t="s">
        <v>11</v>
      </c>
      <c r="EQ6" s="47" t="s">
        <v>12</v>
      </c>
      <c r="ER6" s="210">
        <v>275</v>
      </c>
      <c r="ES6" s="211">
        <v>3</v>
      </c>
      <c r="ET6" s="212">
        <v>7</v>
      </c>
      <c r="EU6" s="194">
        <v>90</v>
      </c>
      <c r="EV6" s="210">
        <v>266</v>
      </c>
      <c r="EW6" s="211">
        <v>3</v>
      </c>
      <c r="EX6" s="212">
        <v>12</v>
      </c>
      <c r="EY6" s="194">
        <v>80</v>
      </c>
      <c r="EZ6" s="210">
        <v>13</v>
      </c>
      <c r="FA6" s="211">
        <v>0</v>
      </c>
      <c r="FB6" s="212">
        <v>0</v>
      </c>
      <c r="FC6" s="194">
        <v>0</v>
      </c>
      <c r="FD6" s="29"/>
      <c r="FE6" s="242"/>
      <c r="FF6" s="46" t="s">
        <v>11</v>
      </c>
      <c r="FG6" s="47" t="s">
        <v>12</v>
      </c>
      <c r="FH6" s="48">
        <v>0</v>
      </c>
      <c r="FI6" s="49">
        <v>0</v>
      </c>
      <c r="FJ6" s="50">
        <v>0</v>
      </c>
      <c r="FK6" s="51">
        <v>0</v>
      </c>
      <c r="FL6" s="48">
        <v>0</v>
      </c>
      <c r="FM6" s="49">
        <v>0</v>
      </c>
      <c r="FN6" s="50">
        <v>0</v>
      </c>
      <c r="FO6" s="51">
        <v>0</v>
      </c>
      <c r="FP6" s="48">
        <v>0</v>
      </c>
      <c r="FQ6" s="49">
        <v>0</v>
      </c>
      <c r="FR6" s="50">
        <v>0</v>
      </c>
      <c r="FS6" s="51">
        <v>0</v>
      </c>
      <c r="FT6" s="29"/>
      <c r="FU6" s="242"/>
      <c r="FV6" s="46" t="s">
        <v>11</v>
      </c>
      <c r="FW6" s="47" t="s">
        <v>12</v>
      </c>
      <c r="FX6" s="48">
        <v>0</v>
      </c>
      <c r="FY6" s="49">
        <v>0</v>
      </c>
      <c r="FZ6" s="50">
        <v>0</v>
      </c>
      <c r="GA6" s="51">
        <v>0</v>
      </c>
      <c r="GB6" s="48">
        <v>0</v>
      </c>
      <c r="GC6" s="49">
        <v>0</v>
      </c>
      <c r="GD6" s="50">
        <v>0</v>
      </c>
      <c r="GE6" s="51">
        <v>0</v>
      </c>
      <c r="GF6" s="48">
        <v>0</v>
      </c>
      <c r="GG6" s="49">
        <v>0</v>
      </c>
      <c r="GH6" s="50">
        <v>0</v>
      </c>
      <c r="GI6" s="51">
        <v>0</v>
      </c>
      <c r="GJ6" s="29"/>
      <c r="GK6" s="242"/>
      <c r="GL6" s="46" t="s">
        <v>11</v>
      </c>
      <c r="GM6" s="47" t="s">
        <v>12</v>
      </c>
      <c r="GN6" s="41">
        <f t="shared" ref="GN6:GN8" si="9">FX6</f>
        <v>0</v>
      </c>
      <c r="GO6" s="41">
        <f t="shared" ref="GO6:GO8" si="10">E6+U6+AK6+BA6+BQ6+CG6++CW6+DM6+EC6+ES6+FI6+FY6</f>
        <v>14</v>
      </c>
      <c r="GP6" s="41">
        <f t="shared" ref="GP6:GP8" si="11">F6+V6+AL6+BB6+BR6+CH6++CX6+DN6+ED6+ET6+FJ6+FZ6</f>
        <v>72</v>
      </c>
      <c r="GQ6" s="41">
        <f t="shared" ref="GQ6:GQ8" si="12">G6+W6+AM6+BC6+BS6+CI6++CY6+DO6+EE6+EU6+FK6+GA6</f>
        <v>1070</v>
      </c>
      <c r="GR6" s="41">
        <f t="shared" ref="GR6:GR8" si="13">GB6</f>
        <v>0</v>
      </c>
      <c r="GS6" s="41">
        <f t="shared" ref="GS6:GS8" si="14">I6+Y6+AO6+BE6+BU6+CK6++DA6+DQ6+EG6+EW6+FM6+GC6</f>
        <v>8</v>
      </c>
      <c r="GT6" s="41">
        <f t="shared" ref="GT6:GT8" si="15">J6+Z6+AP6+BF6+BV6+CL6++DB6+DR6+EH6+EX6+FN6+GD6</f>
        <v>57</v>
      </c>
      <c r="GU6" s="41">
        <f t="shared" ref="GU6:GU8" si="16">K6+AA6+AQ6+BG6+BW6+CM6++DC6+DS6+EI6+EY6+FO6+GE6</f>
        <v>886</v>
      </c>
      <c r="GV6" s="41">
        <f t="shared" ref="GV6:GV8" si="17">GF6</f>
        <v>0</v>
      </c>
      <c r="GW6" s="41">
        <f t="shared" ref="GW6:GW8" si="18">M6+AC6+AS6+BI6+BY6+CO6++DE6+DU6+EK6+FA6+FQ6+GG6</f>
        <v>2</v>
      </c>
      <c r="GX6" s="41">
        <f t="shared" ref="GX6:GX8" si="19">N6+AD6+AT6+BJ6+BZ6+CP6++DF6+DV6+EL6+FB6+FR6+GH6</f>
        <v>0</v>
      </c>
      <c r="GY6" s="41">
        <f t="shared" ref="GY6:GY8" si="20">O6+AE6+AU6+BK6+CA6+CQ6++DG6+DW6+EM6+FC6+FS6+GI6</f>
        <v>1</v>
      </c>
      <c r="GZ6" s="29"/>
      <c r="HA6" s="31"/>
      <c r="HN6" s="31"/>
    </row>
    <row r="7" spans="1:222" ht="15" customHeight="1" thickBot="1" x14ac:dyDescent="0.3">
      <c r="A7" s="242"/>
      <c r="B7" s="38" t="s">
        <v>13</v>
      </c>
      <c r="C7" s="54" t="s">
        <v>10</v>
      </c>
      <c r="D7" s="156">
        <v>0</v>
      </c>
      <c r="E7" s="157">
        <v>0</v>
      </c>
      <c r="F7" s="158">
        <v>0</v>
      </c>
      <c r="G7" s="159">
        <v>0</v>
      </c>
      <c r="H7" s="157">
        <v>0</v>
      </c>
      <c r="I7" s="157">
        <v>0</v>
      </c>
      <c r="J7" s="158">
        <v>0</v>
      </c>
      <c r="K7" s="159">
        <v>0</v>
      </c>
      <c r="L7" s="157">
        <v>0</v>
      </c>
      <c r="M7" s="157">
        <v>0</v>
      </c>
      <c r="N7" s="158">
        <v>0</v>
      </c>
      <c r="O7" s="43">
        <v>0</v>
      </c>
      <c r="P7" s="29"/>
      <c r="Q7" s="242"/>
      <c r="R7" s="38" t="s">
        <v>13</v>
      </c>
      <c r="S7" s="54" t="s">
        <v>10</v>
      </c>
      <c r="T7" s="156">
        <v>177</v>
      </c>
      <c r="U7" s="157">
        <v>0</v>
      </c>
      <c r="V7" s="158">
        <v>0</v>
      </c>
      <c r="W7" s="159">
        <v>27</v>
      </c>
      <c r="X7" s="157">
        <v>114</v>
      </c>
      <c r="Y7" s="157">
        <v>0</v>
      </c>
      <c r="Z7" s="158">
        <v>0</v>
      </c>
      <c r="AA7" s="159">
        <v>19</v>
      </c>
      <c r="AB7" s="157">
        <v>3</v>
      </c>
      <c r="AC7" s="157">
        <v>0</v>
      </c>
      <c r="AD7" s="158">
        <v>0</v>
      </c>
      <c r="AE7" s="43">
        <v>0</v>
      </c>
      <c r="AF7" s="29"/>
      <c r="AG7" s="242"/>
      <c r="AH7" s="38" t="s">
        <v>13</v>
      </c>
      <c r="AI7" s="54" t="s">
        <v>10</v>
      </c>
      <c r="AJ7" s="156">
        <v>177</v>
      </c>
      <c r="AK7" s="157">
        <v>0</v>
      </c>
      <c r="AL7" s="158">
        <v>0</v>
      </c>
      <c r="AM7" s="159">
        <v>31</v>
      </c>
      <c r="AN7" s="157">
        <v>114</v>
      </c>
      <c r="AO7" s="157">
        <v>0</v>
      </c>
      <c r="AP7" s="158">
        <v>0</v>
      </c>
      <c r="AQ7" s="159">
        <v>12</v>
      </c>
      <c r="AR7" s="157">
        <v>3</v>
      </c>
      <c r="AS7" s="157">
        <v>0</v>
      </c>
      <c r="AT7" s="158">
        <v>0</v>
      </c>
      <c r="AU7" s="159">
        <v>0</v>
      </c>
      <c r="AV7" s="29"/>
      <c r="AW7" s="242"/>
      <c r="AX7" s="38" t="s">
        <v>13</v>
      </c>
      <c r="AY7" s="54" t="s">
        <v>10</v>
      </c>
      <c r="AZ7" s="156">
        <v>177</v>
      </c>
      <c r="BA7" s="157">
        <v>3</v>
      </c>
      <c r="BB7" s="158">
        <v>0</v>
      </c>
      <c r="BC7" s="159">
        <v>28</v>
      </c>
      <c r="BD7" s="157">
        <v>119</v>
      </c>
      <c r="BE7" s="157">
        <v>3</v>
      </c>
      <c r="BF7" s="158">
        <v>1</v>
      </c>
      <c r="BG7" s="159">
        <v>23</v>
      </c>
      <c r="BH7" s="157">
        <v>3</v>
      </c>
      <c r="BI7" s="157">
        <v>0</v>
      </c>
      <c r="BJ7" s="158">
        <v>0</v>
      </c>
      <c r="BK7" s="159">
        <v>0</v>
      </c>
      <c r="BL7" s="29"/>
      <c r="BM7" s="242"/>
      <c r="BN7" s="38" t="s">
        <v>13</v>
      </c>
      <c r="BO7" s="54" t="s">
        <v>10</v>
      </c>
      <c r="BP7" s="156">
        <v>177</v>
      </c>
      <c r="BQ7" s="157">
        <v>2</v>
      </c>
      <c r="BR7" s="158">
        <v>3</v>
      </c>
      <c r="BS7" s="159">
        <v>8</v>
      </c>
      <c r="BT7" s="157">
        <v>119</v>
      </c>
      <c r="BU7" s="157">
        <v>3</v>
      </c>
      <c r="BV7" s="158">
        <v>1</v>
      </c>
      <c r="BW7" s="159">
        <v>4</v>
      </c>
      <c r="BX7" s="157">
        <v>3</v>
      </c>
      <c r="BY7" s="157">
        <v>0</v>
      </c>
      <c r="BZ7" s="158">
        <v>0</v>
      </c>
      <c r="CA7" s="159">
        <v>0</v>
      </c>
      <c r="CB7" s="29"/>
      <c r="CC7" s="242"/>
      <c r="CD7" s="38" t="s">
        <v>13</v>
      </c>
      <c r="CE7" s="54" t="s">
        <v>10</v>
      </c>
      <c r="CF7" s="40">
        <v>0</v>
      </c>
      <c r="CG7" s="41">
        <v>0</v>
      </c>
      <c r="CH7" s="42">
        <v>0</v>
      </c>
      <c r="CI7" s="43">
        <v>0</v>
      </c>
      <c r="CJ7" s="40">
        <v>0</v>
      </c>
      <c r="CK7" s="41">
        <v>0</v>
      </c>
      <c r="CL7" s="42">
        <v>0</v>
      </c>
      <c r="CM7" s="43">
        <v>0</v>
      </c>
      <c r="CN7" s="40">
        <v>0</v>
      </c>
      <c r="CO7" s="41">
        <v>0</v>
      </c>
      <c r="CP7" s="42">
        <v>0</v>
      </c>
      <c r="CQ7" s="43">
        <v>0</v>
      </c>
      <c r="CR7" s="29"/>
      <c r="CS7" s="242"/>
      <c r="CT7" s="38" t="s">
        <v>13</v>
      </c>
      <c r="CU7" s="54" t="s">
        <v>10</v>
      </c>
      <c r="CV7" s="163">
        <v>177</v>
      </c>
      <c r="CW7" s="157">
        <v>0</v>
      </c>
      <c r="CX7" s="157">
        <v>0</v>
      </c>
      <c r="CY7" s="164">
        <v>16</v>
      </c>
      <c r="CZ7" s="157">
        <v>114</v>
      </c>
      <c r="DA7" s="157">
        <v>0</v>
      </c>
      <c r="DB7" s="157">
        <v>2</v>
      </c>
      <c r="DC7" s="164">
        <v>33</v>
      </c>
      <c r="DD7" s="157">
        <v>0</v>
      </c>
      <c r="DE7" s="157">
        <v>0</v>
      </c>
      <c r="DF7" s="157">
        <v>0</v>
      </c>
      <c r="DG7" s="164">
        <v>0</v>
      </c>
      <c r="DH7" s="29"/>
      <c r="DI7" s="242"/>
      <c r="DJ7" s="38" t="s">
        <v>13</v>
      </c>
      <c r="DK7" s="54" t="s">
        <v>10</v>
      </c>
      <c r="DL7" s="195">
        <v>86</v>
      </c>
      <c r="DM7" s="196">
        <v>0</v>
      </c>
      <c r="DN7" s="197">
        <v>0</v>
      </c>
      <c r="DO7" s="198">
        <v>22</v>
      </c>
      <c r="DP7" s="196">
        <v>67</v>
      </c>
      <c r="DQ7" s="196">
        <v>0</v>
      </c>
      <c r="DR7" s="197">
        <v>0</v>
      </c>
      <c r="DS7" s="198">
        <v>11</v>
      </c>
      <c r="DT7" s="196">
        <v>3</v>
      </c>
      <c r="DU7" s="196">
        <v>0</v>
      </c>
      <c r="DV7" s="197">
        <v>0</v>
      </c>
      <c r="DW7" s="189">
        <v>0</v>
      </c>
      <c r="DX7" s="29"/>
      <c r="DY7" s="242"/>
      <c r="DZ7" s="38" t="s">
        <v>13</v>
      </c>
      <c r="EA7" s="54" t="s">
        <v>10</v>
      </c>
      <c r="EB7" s="207">
        <v>27</v>
      </c>
      <c r="EC7" s="208">
        <v>0</v>
      </c>
      <c r="ED7" s="209">
        <v>0</v>
      </c>
      <c r="EE7" s="189">
        <v>53</v>
      </c>
      <c r="EF7" s="207">
        <v>16</v>
      </c>
      <c r="EG7" s="208">
        <v>0</v>
      </c>
      <c r="EH7" s="209">
        <v>0</v>
      </c>
      <c r="EI7" s="189">
        <v>0</v>
      </c>
      <c r="EJ7" s="207">
        <v>2</v>
      </c>
      <c r="EK7" s="208">
        <v>0</v>
      </c>
      <c r="EL7" s="209">
        <v>0</v>
      </c>
      <c r="EM7" s="189">
        <v>0</v>
      </c>
      <c r="EN7" s="29"/>
      <c r="EO7" s="242"/>
      <c r="EP7" s="38" t="s">
        <v>13</v>
      </c>
      <c r="EQ7" s="54" t="s">
        <v>10</v>
      </c>
      <c r="ER7" s="207">
        <v>27</v>
      </c>
      <c r="ES7" s="208">
        <v>0</v>
      </c>
      <c r="ET7" s="209">
        <v>0</v>
      </c>
      <c r="EU7" s="189">
        <v>50</v>
      </c>
      <c r="EV7" s="207">
        <v>16</v>
      </c>
      <c r="EW7" s="208">
        <v>0</v>
      </c>
      <c r="EX7" s="209">
        <v>0</v>
      </c>
      <c r="EY7" s="189">
        <v>0</v>
      </c>
      <c r="EZ7" s="207">
        <v>2</v>
      </c>
      <c r="FA7" s="208">
        <v>0</v>
      </c>
      <c r="FB7" s="209">
        <v>0</v>
      </c>
      <c r="FC7" s="189">
        <v>0</v>
      </c>
      <c r="FD7" s="29"/>
      <c r="FE7" s="242"/>
      <c r="FF7" s="38" t="s">
        <v>13</v>
      </c>
      <c r="FG7" s="54" t="s">
        <v>10</v>
      </c>
      <c r="FH7" s="40">
        <v>0</v>
      </c>
      <c r="FI7" s="41">
        <v>0</v>
      </c>
      <c r="FJ7" s="42">
        <v>0</v>
      </c>
      <c r="FK7" s="43">
        <v>0</v>
      </c>
      <c r="FL7" s="40">
        <v>0</v>
      </c>
      <c r="FM7" s="41">
        <v>0</v>
      </c>
      <c r="FN7" s="42">
        <v>0</v>
      </c>
      <c r="FO7" s="43">
        <v>0</v>
      </c>
      <c r="FP7" s="40">
        <v>0</v>
      </c>
      <c r="FQ7" s="41">
        <v>0</v>
      </c>
      <c r="FR7" s="42">
        <v>0</v>
      </c>
      <c r="FS7" s="43">
        <v>0</v>
      </c>
      <c r="FT7" s="29"/>
      <c r="FU7" s="242"/>
      <c r="FV7" s="38" t="s">
        <v>13</v>
      </c>
      <c r="FW7" s="54" t="s">
        <v>10</v>
      </c>
      <c r="FX7" s="40">
        <v>0</v>
      </c>
      <c r="FY7" s="41">
        <v>0</v>
      </c>
      <c r="FZ7" s="42">
        <v>0</v>
      </c>
      <c r="GA7" s="43">
        <v>0</v>
      </c>
      <c r="GB7" s="40">
        <v>0</v>
      </c>
      <c r="GC7" s="41">
        <v>0</v>
      </c>
      <c r="GD7" s="42">
        <v>0</v>
      </c>
      <c r="GE7" s="43">
        <v>0</v>
      </c>
      <c r="GF7" s="40">
        <v>0</v>
      </c>
      <c r="GG7" s="41">
        <v>0</v>
      </c>
      <c r="GH7" s="42">
        <v>0</v>
      </c>
      <c r="GI7" s="43">
        <v>0</v>
      </c>
      <c r="GJ7" s="29"/>
      <c r="GK7" s="242"/>
      <c r="GL7" s="38" t="s">
        <v>13</v>
      </c>
      <c r="GM7" s="54" t="s">
        <v>10</v>
      </c>
      <c r="GN7" s="41">
        <f t="shared" si="9"/>
        <v>0</v>
      </c>
      <c r="GO7" s="41">
        <f t="shared" si="10"/>
        <v>5</v>
      </c>
      <c r="GP7" s="41">
        <f t="shared" si="11"/>
        <v>3</v>
      </c>
      <c r="GQ7" s="41">
        <f t="shared" si="12"/>
        <v>235</v>
      </c>
      <c r="GR7" s="41">
        <f t="shared" si="13"/>
        <v>0</v>
      </c>
      <c r="GS7" s="41">
        <f t="shared" si="14"/>
        <v>6</v>
      </c>
      <c r="GT7" s="41">
        <f t="shared" si="15"/>
        <v>4</v>
      </c>
      <c r="GU7" s="41">
        <f t="shared" si="16"/>
        <v>102</v>
      </c>
      <c r="GV7" s="41">
        <f t="shared" si="17"/>
        <v>0</v>
      </c>
      <c r="GW7" s="41">
        <f t="shared" si="18"/>
        <v>0</v>
      </c>
      <c r="GX7" s="41">
        <f t="shared" si="19"/>
        <v>0</v>
      </c>
      <c r="GY7" s="41">
        <f t="shared" si="20"/>
        <v>0</v>
      </c>
      <c r="GZ7" s="29"/>
      <c r="HA7" s="31"/>
      <c r="HN7" s="31"/>
    </row>
    <row r="8" spans="1:222" ht="15" customHeight="1" thickBot="1" x14ac:dyDescent="0.3">
      <c r="A8" s="242"/>
      <c r="B8" s="46" t="s">
        <v>11</v>
      </c>
      <c r="C8" s="56" t="s">
        <v>12</v>
      </c>
      <c r="D8" s="152">
        <v>0</v>
      </c>
      <c r="E8" s="153">
        <v>0</v>
      </c>
      <c r="F8" s="154">
        <v>0</v>
      </c>
      <c r="G8" s="155">
        <v>0</v>
      </c>
      <c r="H8" s="153">
        <v>0</v>
      </c>
      <c r="I8" s="153">
        <v>0</v>
      </c>
      <c r="J8" s="154">
        <v>0</v>
      </c>
      <c r="K8" s="155">
        <v>0</v>
      </c>
      <c r="L8" s="153">
        <v>0</v>
      </c>
      <c r="M8" s="153">
        <v>0</v>
      </c>
      <c r="N8" s="154">
        <v>0</v>
      </c>
      <c r="O8" s="51">
        <v>0</v>
      </c>
      <c r="P8" s="29"/>
      <c r="Q8" s="242"/>
      <c r="R8" s="46" t="s">
        <v>11</v>
      </c>
      <c r="S8" s="56" t="s">
        <v>12</v>
      </c>
      <c r="T8" s="152">
        <v>90</v>
      </c>
      <c r="U8" s="153">
        <v>0</v>
      </c>
      <c r="V8" s="154">
        <v>0</v>
      </c>
      <c r="W8" s="155">
        <v>6</v>
      </c>
      <c r="X8" s="153">
        <v>77</v>
      </c>
      <c r="Y8" s="153">
        <v>0</v>
      </c>
      <c r="Z8" s="154">
        <v>0</v>
      </c>
      <c r="AA8" s="155">
        <v>4</v>
      </c>
      <c r="AB8" s="153">
        <v>1</v>
      </c>
      <c r="AC8" s="153">
        <v>0</v>
      </c>
      <c r="AD8" s="154">
        <v>0</v>
      </c>
      <c r="AE8" s="51">
        <v>0</v>
      </c>
      <c r="AF8" s="29"/>
      <c r="AG8" s="242"/>
      <c r="AH8" s="46" t="s">
        <v>11</v>
      </c>
      <c r="AI8" s="56" t="s">
        <v>12</v>
      </c>
      <c r="AJ8" s="152">
        <v>92</v>
      </c>
      <c r="AK8" s="153">
        <v>0</v>
      </c>
      <c r="AL8" s="154">
        <v>0</v>
      </c>
      <c r="AM8" s="155">
        <v>28</v>
      </c>
      <c r="AN8" s="153">
        <v>77</v>
      </c>
      <c r="AO8" s="153">
        <v>0</v>
      </c>
      <c r="AP8" s="154">
        <v>0</v>
      </c>
      <c r="AQ8" s="155">
        <v>8</v>
      </c>
      <c r="AR8" s="153">
        <v>2</v>
      </c>
      <c r="AS8" s="153">
        <v>0</v>
      </c>
      <c r="AT8" s="154">
        <v>0</v>
      </c>
      <c r="AU8" s="155">
        <v>0</v>
      </c>
      <c r="AV8" s="29"/>
      <c r="AW8" s="242"/>
      <c r="AX8" s="46" t="s">
        <v>11</v>
      </c>
      <c r="AY8" s="56" t="s">
        <v>12</v>
      </c>
      <c r="AZ8" s="152">
        <v>92</v>
      </c>
      <c r="BA8" s="153">
        <v>1</v>
      </c>
      <c r="BB8" s="154">
        <v>0</v>
      </c>
      <c r="BC8" s="155">
        <v>9</v>
      </c>
      <c r="BD8" s="153">
        <v>77</v>
      </c>
      <c r="BE8" s="153">
        <v>1</v>
      </c>
      <c r="BF8" s="154">
        <v>0</v>
      </c>
      <c r="BG8" s="155">
        <v>7</v>
      </c>
      <c r="BH8" s="153">
        <v>1</v>
      </c>
      <c r="BI8" s="153">
        <v>0</v>
      </c>
      <c r="BJ8" s="154">
        <v>0</v>
      </c>
      <c r="BK8" s="155">
        <v>0</v>
      </c>
      <c r="BL8" s="29"/>
      <c r="BM8" s="242"/>
      <c r="BN8" s="46" t="s">
        <v>11</v>
      </c>
      <c r="BO8" s="56" t="s">
        <v>12</v>
      </c>
      <c r="BP8" s="152">
        <v>92</v>
      </c>
      <c r="BQ8" s="153">
        <v>2</v>
      </c>
      <c r="BR8" s="154">
        <v>1</v>
      </c>
      <c r="BS8" s="155">
        <v>6</v>
      </c>
      <c r="BT8" s="153">
        <v>77</v>
      </c>
      <c r="BU8" s="153">
        <v>1</v>
      </c>
      <c r="BV8" s="154">
        <v>0</v>
      </c>
      <c r="BW8" s="155">
        <v>1</v>
      </c>
      <c r="BX8" s="153">
        <v>1</v>
      </c>
      <c r="BY8" s="153">
        <v>0</v>
      </c>
      <c r="BZ8" s="154">
        <v>0</v>
      </c>
      <c r="CA8" s="155">
        <v>0</v>
      </c>
      <c r="CB8" s="29"/>
      <c r="CC8" s="242"/>
      <c r="CD8" s="46" t="s">
        <v>11</v>
      </c>
      <c r="CE8" s="56" t="s">
        <v>12</v>
      </c>
      <c r="CF8" s="48">
        <v>0</v>
      </c>
      <c r="CG8" s="49">
        <v>0</v>
      </c>
      <c r="CH8" s="50">
        <v>0</v>
      </c>
      <c r="CI8" s="51">
        <v>0</v>
      </c>
      <c r="CJ8" s="48">
        <v>0</v>
      </c>
      <c r="CK8" s="49">
        <v>0</v>
      </c>
      <c r="CL8" s="50">
        <v>0</v>
      </c>
      <c r="CM8" s="51">
        <v>0</v>
      </c>
      <c r="CN8" s="48">
        <v>0</v>
      </c>
      <c r="CO8" s="49">
        <v>0</v>
      </c>
      <c r="CP8" s="50">
        <v>0</v>
      </c>
      <c r="CQ8" s="51">
        <v>0</v>
      </c>
      <c r="CR8" s="29"/>
      <c r="CS8" s="242"/>
      <c r="CT8" s="46" t="s">
        <v>11</v>
      </c>
      <c r="CU8" s="56" t="s">
        <v>12</v>
      </c>
      <c r="CV8" s="163">
        <v>90</v>
      </c>
      <c r="CW8" s="157">
        <v>0</v>
      </c>
      <c r="CX8" s="157">
        <v>1</v>
      </c>
      <c r="CY8" s="164">
        <v>14</v>
      </c>
      <c r="CZ8" s="157">
        <v>77</v>
      </c>
      <c r="DA8" s="157">
        <v>0</v>
      </c>
      <c r="DB8" s="157">
        <v>0</v>
      </c>
      <c r="DC8" s="164">
        <v>22</v>
      </c>
      <c r="DD8" s="157">
        <v>0</v>
      </c>
      <c r="DE8" s="157">
        <v>0</v>
      </c>
      <c r="DF8" s="157">
        <v>0</v>
      </c>
      <c r="DG8" s="164">
        <v>0</v>
      </c>
      <c r="DH8" s="29"/>
      <c r="DI8" s="242"/>
      <c r="DJ8" s="46" t="s">
        <v>11</v>
      </c>
      <c r="DK8" s="56" t="s">
        <v>12</v>
      </c>
      <c r="DL8" s="190">
        <v>67</v>
      </c>
      <c r="DM8" s="191">
        <v>0</v>
      </c>
      <c r="DN8" s="192">
        <v>0</v>
      </c>
      <c r="DO8" s="193">
        <v>18</v>
      </c>
      <c r="DP8" s="191">
        <v>57</v>
      </c>
      <c r="DQ8" s="191">
        <v>0</v>
      </c>
      <c r="DR8" s="192">
        <v>0</v>
      </c>
      <c r="DS8" s="193">
        <v>4</v>
      </c>
      <c r="DT8" s="191">
        <v>1</v>
      </c>
      <c r="DU8" s="191">
        <v>0</v>
      </c>
      <c r="DV8" s="192">
        <v>0</v>
      </c>
      <c r="DW8" s="194">
        <v>0</v>
      </c>
      <c r="DX8" s="29"/>
      <c r="DY8" s="242"/>
      <c r="DZ8" s="46" t="s">
        <v>11</v>
      </c>
      <c r="EA8" s="56" t="s">
        <v>12</v>
      </c>
      <c r="EB8" s="210">
        <v>186</v>
      </c>
      <c r="EC8" s="211">
        <v>0</v>
      </c>
      <c r="ED8" s="212">
        <v>0</v>
      </c>
      <c r="EE8" s="194">
        <v>48</v>
      </c>
      <c r="EF8" s="210">
        <v>15</v>
      </c>
      <c r="EG8" s="211">
        <v>0</v>
      </c>
      <c r="EH8" s="212">
        <v>0</v>
      </c>
      <c r="EI8" s="194">
        <v>0</v>
      </c>
      <c r="EJ8" s="210">
        <v>0</v>
      </c>
      <c r="EK8" s="211">
        <v>0</v>
      </c>
      <c r="EL8" s="212">
        <v>0</v>
      </c>
      <c r="EM8" s="194">
        <v>0</v>
      </c>
      <c r="EN8" s="29"/>
      <c r="EO8" s="242"/>
      <c r="EP8" s="46" t="s">
        <v>11</v>
      </c>
      <c r="EQ8" s="56" t="s">
        <v>12</v>
      </c>
      <c r="ER8" s="210">
        <v>186</v>
      </c>
      <c r="ES8" s="211">
        <v>0</v>
      </c>
      <c r="ET8" s="212">
        <v>0</v>
      </c>
      <c r="EU8" s="194">
        <v>30</v>
      </c>
      <c r="EV8" s="210">
        <v>15</v>
      </c>
      <c r="EW8" s="211">
        <v>0</v>
      </c>
      <c r="EX8" s="212">
        <v>0</v>
      </c>
      <c r="EY8" s="194">
        <v>0</v>
      </c>
      <c r="EZ8" s="210">
        <v>0</v>
      </c>
      <c r="FA8" s="211">
        <v>0</v>
      </c>
      <c r="FB8" s="212">
        <v>0</v>
      </c>
      <c r="FC8" s="194">
        <v>0</v>
      </c>
      <c r="FD8" s="29"/>
      <c r="FE8" s="242"/>
      <c r="FF8" s="46" t="s">
        <v>11</v>
      </c>
      <c r="FG8" s="56" t="s">
        <v>12</v>
      </c>
      <c r="FH8" s="48">
        <v>0</v>
      </c>
      <c r="FI8" s="49">
        <v>0</v>
      </c>
      <c r="FJ8" s="50">
        <v>0</v>
      </c>
      <c r="FK8" s="51">
        <v>0</v>
      </c>
      <c r="FL8" s="48">
        <v>0</v>
      </c>
      <c r="FM8" s="49">
        <v>0</v>
      </c>
      <c r="FN8" s="50">
        <v>0</v>
      </c>
      <c r="FO8" s="51">
        <v>0</v>
      </c>
      <c r="FP8" s="48">
        <v>0</v>
      </c>
      <c r="FQ8" s="49">
        <v>0</v>
      </c>
      <c r="FR8" s="50">
        <v>0</v>
      </c>
      <c r="FS8" s="51">
        <v>0</v>
      </c>
      <c r="FT8" s="29"/>
      <c r="FU8" s="242"/>
      <c r="FV8" s="46" t="s">
        <v>11</v>
      </c>
      <c r="FW8" s="56" t="s">
        <v>12</v>
      </c>
      <c r="FX8" s="48">
        <v>0</v>
      </c>
      <c r="FY8" s="49">
        <v>0</v>
      </c>
      <c r="FZ8" s="50">
        <v>0</v>
      </c>
      <c r="GA8" s="51">
        <v>0</v>
      </c>
      <c r="GB8" s="48">
        <v>0</v>
      </c>
      <c r="GC8" s="49">
        <v>0</v>
      </c>
      <c r="GD8" s="50">
        <v>0</v>
      </c>
      <c r="GE8" s="51">
        <v>0</v>
      </c>
      <c r="GF8" s="48">
        <v>0</v>
      </c>
      <c r="GG8" s="49">
        <v>0</v>
      </c>
      <c r="GH8" s="50">
        <v>0</v>
      </c>
      <c r="GI8" s="51">
        <v>0</v>
      </c>
      <c r="GJ8" s="29"/>
      <c r="GK8" s="242"/>
      <c r="GL8" s="46" t="s">
        <v>11</v>
      </c>
      <c r="GM8" s="56" t="s">
        <v>12</v>
      </c>
      <c r="GN8" s="41">
        <f t="shared" si="9"/>
        <v>0</v>
      </c>
      <c r="GO8" s="41">
        <f t="shared" si="10"/>
        <v>3</v>
      </c>
      <c r="GP8" s="41">
        <f t="shared" si="11"/>
        <v>2</v>
      </c>
      <c r="GQ8" s="41">
        <f t="shared" si="12"/>
        <v>159</v>
      </c>
      <c r="GR8" s="41">
        <f t="shared" si="13"/>
        <v>0</v>
      </c>
      <c r="GS8" s="41">
        <f t="shared" si="14"/>
        <v>2</v>
      </c>
      <c r="GT8" s="41">
        <f t="shared" si="15"/>
        <v>0</v>
      </c>
      <c r="GU8" s="41">
        <f t="shared" si="16"/>
        <v>46</v>
      </c>
      <c r="GV8" s="41">
        <f t="shared" si="17"/>
        <v>0</v>
      </c>
      <c r="GW8" s="41">
        <f t="shared" si="18"/>
        <v>0</v>
      </c>
      <c r="GX8" s="41">
        <f t="shared" si="19"/>
        <v>0</v>
      </c>
      <c r="GY8" s="41">
        <f t="shared" si="20"/>
        <v>0</v>
      </c>
      <c r="GZ8" s="29"/>
      <c r="HA8" s="31"/>
      <c r="HN8" s="31"/>
    </row>
    <row r="9" spans="1:222" ht="15" customHeight="1" thickBot="1" x14ac:dyDescent="0.3">
      <c r="A9" s="242"/>
      <c r="B9" s="233" t="s">
        <v>14</v>
      </c>
      <c r="C9" s="234"/>
      <c r="D9" s="58">
        <f t="shared" ref="D9:O9" si="21">SUM(D5:D8)</f>
        <v>479</v>
      </c>
      <c r="E9" s="59">
        <f t="shared" si="21"/>
        <v>5</v>
      </c>
      <c r="F9" s="60">
        <f t="shared" si="21"/>
        <v>0</v>
      </c>
      <c r="G9" s="61">
        <f t="shared" si="21"/>
        <v>270</v>
      </c>
      <c r="H9" s="58">
        <f t="shared" si="21"/>
        <v>530</v>
      </c>
      <c r="I9" s="59">
        <f t="shared" si="21"/>
        <v>0</v>
      </c>
      <c r="J9" s="60">
        <f t="shared" si="21"/>
        <v>0</v>
      </c>
      <c r="K9" s="61">
        <f t="shared" si="21"/>
        <v>180</v>
      </c>
      <c r="L9" s="58">
        <f t="shared" si="21"/>
        <v>8</v>
      </c>
      <c r="M9" s="59">
        <f t="shared" si="21"/>
        <v>0</v>
      </c>
      <c r="N9" s="60">
        <f t="shared" si="21"/>
        <v>0</v>
      </c>
      <c r="O9" s="61">
        <f t="shared" si="21"/>
        <v>0</v>
      </c>
      <c r="P9" s="29"/>
      <c r="Q9" s="242"/>
      <c r="R9" s="233" t="s">
        <v>14</v>
      </c>
      <c r="S9" s="234"/>
      <c r="T9" s="58">
        <f t="shared" ref="T9:AE9" si="22">SUM(T5:T8)</f>
        <v>751</v>
      </c>
      <c r="U9" s="59">
        <f t="shared" si="22"/>
        <v>2</v>
      </c>
      <c r="V9" s="60">
        <f t="shared" si="22"/>
        <v>24</v>
      </c>
      <c r="W9" s="61">
        <f t="shared" si="22"/>
        <v>355</v>
      </c>
      <c r="X9" s="58">
        <f t="shared" si="22"/>
        <v>636</v>
      </c>
      <c r="Y9" s="59">
        <f t="shared" si="22"/>
        <v>3</v>
      </c>
      <c r="Z9" s="60">
        <f t="shared" si="22"/>
        <v>18</v>
      </c>
      <c r="AA9" s="61">
        <f t="shared" si="22"/>
        <v>279</v>
      </c>
      <c r="AB9" s="58">
        <f t="shared" si="22"/>
        <v>40</v>
      </c>
      <c r="AC9" s="59">
        <f t="shared" si="22"/>
        <v>0</v>
      </c>
      <c r="AD9" s="60">
        <f t="shared" si="22"/>
        <v>0</v>
      </c>
      <c r="AE9" s="61">
        <f t="shared" si="22"/>
        <v>2</v>
      </c>
      <c r="AF9" s="29"/>
      <c r="AG9" s="242"/>
      <c r="AH9" s="233" t="s">
        <v>14</v>
      </c>
      <c r="AI9" s="234"/>
      <c r="AJ9" s="169">
        <v>775</v>
      </c>
      <c r="AK9" s="170">
        <v>3</v>
      </c>
      <c r="AL9" s="171">
        <v>15</v>
      </c>
      <c r="AM9" s="172">
        <v>312</v>
      </c>
      <c r="AN9" s="170">
        <v>649</v>
      </c>
      <c r="AO9" s="170">
        <v>1</v>
      </c>
      <c r="AP9" s="171">
        <v>12</v>
      </c>
      <c r="AQ9" s="172">
        <v>286</v>
      </c>
      <c r="AR9" s="170">
        <v>42</v>
      </c>
      <c r="AS9" s="170">
        <v>0</v>
      </c>
      <c r="AT9" s="171">
        <v>0</v>
      </c>
      <c r="AU9" s="172">
        <v>2</v>
      </c>
      <c r="AV9" s="29"/>
      <c r="AW9" s="242"/>
      <c r="AX9" s="233" t="s">
        <v>14</v>
      </c>
      <c r="AY9" s="234"/>
      <c r="AZ9" s="58">
        <f t="shared" ref="AZ9:BK9" si="23">SUM(AZ5:AZ8)</f>
        <v>768</v>
      </c>
      <c r="BA9" s="59">
        <f t="shared" si="23"/>
        <v>8</v>
      </c>
      <c r="BB9" s="60">
        <f t="shared" si="23"/>
        <v>19</v>
      </c>
      <c r="BC9" s="61">
        <f t="shared" si="23"/>
        <v>361</v>
      </c>
      <c r="BD9" s="58">
        <f t="shared" si="23"/>
        <v>652</v>
      </c>
      <c r="BE9" s="59">
        <f t="shared" si="23"/>
        <v>5</v>
      </c>
      <c r="BF9" s="60">
        <f t="shared" si="23"/>
        <v>7</v>
      </c>
      <c r="BG9" s="61">
        <f t="shared" si="23"/>
        <v>273</v>
      </c>
      <c r="BH9" s="58">
        <f t="shared" si="23"/>
        <v>40</v>
      </c>
      <c r="BI9" s="59">
        <f t="shared" si="23"/>
        <v>1</v>
      </c>
      <c r="BJ9" s="60">
        <f t="shared" si="23"/>
        <v>0</v>
      </c>
      <c r="BK9" s="61">
        <f t="shared" si="23"/>
        <v>1</v>
      </c>
      <c r="BL9" s="29"/>
      <c r="BM9" s="242"/>
      <c r="BN9" s="233" t="s">
        <v>14</v>
      </c>
      <c r="BO9" s="234"/>
      <c r="BP9" s="58">
        <f t="shared" ref="BP9:CA9" si="24">SUM(BP5:BP8)</f>
        <v>777</v>
      </c>
      <c r="BQ9" s="59">
        <f t="shared" si="24"/>
        <v>9</v>
      </c>
      <c r="BR9" s="60">
        <f t="shared" si="24"/>
        <v>25</v>
      </c>
      <c r="BS9" s="61">
        <f t="shared" si="24"/>
        <v>116</v>
      </c>
      <c r="BT9" s="58">
        <f t="shared" si="24"/>
        <v>652</v>
      </c>
      <c r="BU9" s="59">
        <f t="shared" si="24"/>
        <v>1506</v>
      </c>
      <c r="BV9" s="60">
        <f t="shared" si="24"/>
        <v>16</v>
      </c>
      <c r="BW9" s="61">
        <f t="shared" si="24"/>
        <v>67</v>
      </c>
      <c r="BX9" s="58">
        <f t="shared" si="24"/>
        <v>40</v>
      </c>
      <c r="BY9" s="59">
        <f t="shared" si="24"/>
        <v>1</v>
      </c>
      <c r="BZ9" s="60">
        <f t="shared" si="24"/>
        <v>0</v>
      </c>
      <c r="CA9" s="61">
        <f t="shared" si="24"/>
        <v>0</v>
      </c>
      <c r="CB9" s="29"/>
      <c r="CC9" s="242"/>
      <c r="CD9" s="233" t="s">
        <v>14</v>
      </c>
      <c r="CE9" s="234"/>
      <c r="CF9" s="58">
        <f t="shared" ref="CF9:CQ9" si="25">SUM(CF5:CF8)</f>
        <v>0</v>
      </c>
      <c r="CG9" s="59">
        <f t="shared" si="25"/>
        <v>0</v>
      </c>
      <c r="CH9" s="60">
        <f t="shared" si="25"/>
        <v>0</v>
      </c>
      <c r="CI9" s="61">
        <f t="shared" si="25"/>
        <v>0</v>
      </c>
      <c r="CJ9" s="58">
        <f t="shared" si="25"/>
        <v>0</v>
      </c>
      <c r="CK9" s="59">
        <f t="shared" si="25"/>
        <v>0</v>
      </c>
      <c r="CL9" s="60">
        <f t="shared" si="25"/>
        <v>0</v>
      </c>
      <c r="CM9" s="61">
        <f t="shared" si="25"/>
        <v>0</v>
      </c>
      <c r="CN9" s="58">
        <f t="shared" si="25"/>
        <v>0</v>
      </c>
      <c r="CO9" s="59">
        <f t="shared" si="25"/>
        <v>0</v>
      </c>
      <c r="CP9" s="60">
        <f t="shared" si="25"/>
        <v>0</v>
      </c>
      <c r="CQ9" s="61">
        <f t="shared" si="25"/>
        <v>0</v>
      </c>
      <c r="CR9" s="29"/>
      <c r="CS9" s="242"/>
      <c r="CT9" s="233" t="s">
        <v>14</v>
      </c>
      <c r="CU9" s="234"/>
      <c r="CV9" s="178">
        <v>748</v>
      </c>
      <c r="CW9" s="179">
        <v>3</v>
      </c>
      <c r="CX9" s="179">
        <v>34</v>
      </c>
      <c r="CY9" s="180">
        <v>440</v>
      </c>
      <c r="CZ9" s="179">
        <v>634</v>
      </c>
      <c r="DA9" s="179">
        <v>2</v>
      </c>
      <c r="DB9" s="179">
        <v>29</v>
      </c>
      <c r="DC9" s="180">
        <v>250</v>
      </c>
      <c r="DD9" s="179">
        <v>7</v>
      </c>
      <c r="DE9" s="179">
        <v>2</v>
      </c>
      <c r="DF9" s="170">
        <v>0</v>
      </c>
      <c r="DG9" s="181">
        <v>2</v>
      </c>
      <c r="DH9" s="29"/>
      <c r="DI9" s="242"/>
      <c r="DJ9" s="233" t="s">
        <v>14</v>
      </c>
      <c r="DK9" s="234"/>
      <c r="DL9" s="199">
        <f t="shared" ref="DL9:DW9" si="26">SUM(DL5:DL8)</f>
        <v>675</v>
      </c>
      <c r="DM9" s="200">
        <f t="shared" si="26"/>
        <v>1</v>
      </c>
      <c r="DN9" s="201">
        <f t="shared" si="26"/>
        <v>8</v>
      </c>
      <c r="DO9" s="202">
        <f t="shared" si="26"/>
        <v>186</v>
      </c>
      <c r="DP9" s="199">
        <f t="shared" si="26"/>
        <v>651</v>
      </c>
      <c r="DQ9" s="200">
        <f t="shared" si="26"/>
        <v>0</v>
      </c>
      <c r="DR9" s="201">
        <f t="shared" si="26"/>
        <v>9</v>
      </c>
      <c r="DS9" s="202">
        <f t="shared" si="26"/>
        <v>167</v>
      </c>
      <c r="DT9" s="199">
        <f t="shared" si="26"/>
        <v>40</v>
      </c>
      <c r="DU9" s="200">
        <f t="shared" si="26"/>
        <v>0</v>
      </c>
      <c r="DV9" s="201">
        <f t="shared" si="26"/>
        <v>0</v>
      </c>
      <c r="DW9" s="202">
        <f t="shared" si="26"/>
        <v>0</v>
      </c>
      <c r="DX9" s="29"/>
      <c r="DY9" s="242"/>
      <c r="DZ9" s="233" t="s">
        <v>14</v>
      </c>
      <c r="EA9" s="234"/>
      <c r="EB9" s="199">
        <f t="shared" ref="EB9:EM9" si="27">SUM(EB5:EB8)</f>
        <v>875</v>
      </c>
      <c r="EC9" s="200">
        <f t="shared" si="27"/>
        <v>7</v>
      </c>
      <c r="ED9" s="201">
        <f t="shared" si="27"/>
        <v>16</v>
      </c>
      <c r="EE9" s="202">
        <f t="shared" si="27"/>
        <v>398</v>
      </c>
      <c r="EF9" s="199">
        <f t="shared" si="27"/>
        <v>598</v>
      </c>
      <c r="EG9" s="200">
        <f t="shared" si="27"/>
        <v>4</v>
      </c>
      <c r="EH9" s="201">
        <f t="shared" si="27"/>
        <v>31</v>
      </c>
      <c r="EI9" s="202">
        <f t="shared" si="27"/>
        <v>401</v>
      </c>
      <c r="EJ9" s="199">
        <f t="shared" si="27"/>
        <v>22</v>
      </c>
      <c r="EK9" s="200">
        <f t="shared" si="27"/>
        <v>0</v>
      </c>
      <c r="EL9" s="201">
        <f t="shared" si="27"/>
        <v>0</v>
      </c>
      <c r="EM9" s="202">
        <f t="shared" si="27"/>
        <v>1</v>
      </c>
      <c r="EN9" s="29"/>
      <c r="EO9" s="242"/>
      <c r="EP9" s="233" t="s">
        <v>14</v>
      </c>
      <c r="EQ9" s="234"/>
      <c r="ER9" s="58">
        <f t="shared" ref="ER9:FC9" si="28">SUM(ER5:ER8)</f>
        <v>875</v>
      </c>
      <c r="ES9" s="59">
        <f t="shared" si="28"/>
        <v>7</v>
      </c>
      <c r="ET9" s="60">
        <f t="shared" si="28"/>
        <v>16</v>
      </c>
      <c r="EU9" s="61">
        <f t="shared" si="28"/>
        <v>236</v>
      </c>
      <c r="EV9" s="58">
        <f t="shared" si="28"/>
        <v>598</v>
      </c>
      <c r="EW9" s="59">
        <f t="shared" si="28"/>
        <v>4</v>
      </c>
      <c r="EX9" s="60">
        <f t="shared" si="28"/>
        <v>31</v>
      </c>
      <c r="EY9" s="61">
        <f t="shared" si="28"/>
        <v>149</v>
      </c>
      <c r="EZ9" s="58">
        <f t="shared" si="28"/>
        <v>22</v>
      </c>
      <c r="FA9" s="59">
        <f t="shared" si="28"/>
        <v>0</v>
      </c>
      <c r="FB9" s="60">
        <f t="shared" si="28"/>
        <v>0</v>
      </c>
      <c r="FC9" s="61">
        <f t="shared" si="28"/>
        <v>0</v>
      </c>
      <c r="FD9" s="29"/>
      <c r="FE9" s="242"/>
      <c r="FF9" s="233" t="s">
        <v>14</v>
      </c>
      <c r="FG9" s="234"/>
      <c r="FH9" s="58">
        <f t="shared" ref="FH9:FS9" si="29">SUM(FH5:FH8)</f>
        <v>0</v>
      </c>
      <c r="FI9" s="59">
        <f t="shared" si="29"/>
        <v>0</v>
      </c>
      <c r="FJ9" s="60">
        <f t="shared" si="29"/>
        <v>0</v>
      </c>
      <c r="FK9" s="61">
        <f t="shared" si="29"/>
        <v>0</v>
      </c>
      <c r="FL9" s="58">
        <f t="shared" si="29"/>
        <v>0</v>
      </c>
      <c r="FM9" s="59">
        <f t="shared" si="29"/>
        <v>0</v>
      </c>
      <c r="FN9" s="60">
        <f t="shared" si="29"/>
        <v>0</v>
      </c>
      <c r="FO9" s="61">
        <f t="shared" si="29"/>
        <v>0</v>
      </c>
      <c r="FP9" s="58">
        <f t="shared" si="29"/>
        <v>0</v>
      </c>
      <c r="FQ9" s="59">
        <f t="shared" si="29"/>
        <v>0</v>
      </c>
      <c r="FR9" s="60">
        <f t="shared" si="29"/>
        <v>0</v>
      </c>
      <c r="FS9" s="61">
        <f t="shared" si="29"/>
        <v>0</v>
      </c>
      <c r="FT9" s="29"/>
      <c r="FU9" s="242"/>
      <c r="FV9" s="233" t="s">
        <v>14</v>
      </c>
      <c r="FW9" s="234"/>
      <c r="FX9" s="58">
        <f t="shared" ref="FX9:GI9" si="30">SUM(FX5:FX8)</f>
        <v>0</v>
      </c>
      <c r="FY9" s="59">
        <f t="shared" si="30"/>
        <v>0</v>
      </c>
      <c r="FZ9" s="60">
        <f t="shared" si="30"/>
        <v>0</v>
      </c>
      <c r="GA9" s="61">
        <f t="shared" si="30"/>
        <v>0</v>
      </c>
      <c r="GB9" s="58">
        <f t="shared" si="30"/>
        <v>0</v>
      </c>
      <c r="GC9" s="59">
        <f t="shared" si="30"/>
        <v>0</v>
      </c>
      <c r="GD9" s="60">
        <f t="shared" si="30"/>
        <v>0</v>
      </c>
      <c r="GE9" s="61">
        <f t="shared" si="30"/>
        <v>0</v>
      </c>
      <c r="GF9" s="58">
        <f t="shared" si="30"/>
        <v>0</v>
      </c>
      <c r="GG9" s="59">
        <f t="shared" si="30"/>
        <v>0</v>
      </c>
      <c r="GH9" s="60">
        <f t="shared" si="30"/>
        <v>0</v>
      </c>
      <c r="GI9" s="61">
        <f t="shared" si="30"/>
        <v>0</v>
      </c>
      <c r="GJ9" s="29"/>
      <c r="GK9" s="242"/>
      <c r="GL9" s="233" t="s">
        <v>14</v>
      </c>
      <c r="GM9" s="234"/>
      <c r="GN9" s="62">
        <f t="shared" ref="GN9:GY9" si="31">SUM(GN5:GN8)</f>
        <v>0</v>
      </c>
      <c r="GO9" s="63">
        <f t="shared" si="31"/>
        <v>45</v>
      </c>
      <c r="GP9" s="64">
        <f t="shared" si="31"/>
        <v>157</v>
      </c>
      <c r="GQ9" s="64">
        <f t="shared" si="31"/>
        <v>2674</v>
      </c>
      <c r="GR9" s="62">
        <f t="shared" si="31"/>
        <v>0</v>
      </c>
      <c r="GS9" s="63">
        <f t="shared" si="31"/>
        <v>1525</v>
      </c>
      <c r="GT9" s="64">
        <f t="shared" si="31"/>
        <v>153</v>
      </c>
      <c r="GU9" s="64">
        <f t="shared" si="31"/>
        <v>2052</v>
      </c>
      <c r="GV9" s="62">
        <f t="shared" si="31"/>
        <v>0</v>
      </c>
      <c r="GW9" s="63">
        <f t="shared" si="31"/>
        <v>4</v>
      </c>
      <c r="GX9" s="64">
        <f t="shared" si="31"/>
        <v>0</v>
      </c>
      <c r="GY9" s="64">
        <f t="shared" si="31"/>
        <v>8</v>
      </c>
      <c r="GZ9" s="29"/>
      <c r="HA9" s="31"/>
      <c r="HN9" s="31"/>
    </row>
    <row r="10" spans="1:222" ht="15" customHeight="1" thickTop="1" thickBot="1" x14ac:dyDescent="0.3">
      <c r="A10" s="243"/>
      <c r="B10" s="65" t="s">
        <v>15</v>
      </c>
      <c r="C10" s="65"/>
      <c r="D10" s="66"/>
      <c r="E10" s="66" t="s">
        <v>2</v>
      </c>
      <c r="F10" s="66"/>
      <c r="G10" s="66">
        <v>0</v>
      </c>
      <c r="H10" s="66"/>
      <c r="I10" s="66" t="s">
        <v>16</v>
      </c>
      <c r="J10" s="66"/>
      <c r="K10" s="66">
        <v>0</v>
      </c>
      <c r="L10" s="66"/>
      <c r="M10" s="66" t="s">
        <v>17</v>
      </c>
      <c r="N10" s="232">
        <v>0</v>
      </c>
      <c r="O10" s="232"/>
      <c r="P10" s="29"/>
      <c r="Q10" s="243"/>
      <c r="R10" s="65" t="s">
        <v>15</v>
      </c>
      <c r="S10" s="65"/>
      <c r="T10" s="66"/>
      <c r="U10" s="66" t="s">
        <v>2</v>
      </c>
      <c r="V10" s="66"/>
      <c r="W10" s="66">
        <v>0</v>
      </c>
      <c r="X10" s="66"/>
      <c r="Y10" s="66" t="s">
        <v>16</v>
      </c>
      <c r="Z10" s="66"/>
      <c r="AA10" s="66">
        <v>0</v>
      </c>
      <c r="AB10" s="66"/>
      <c r="AC10" s="66" t="s">
        <v>17</v>
      </c>
      <c r="AD10" s="232">
        <v>0</v>
      </c>
      <c r="AE10" s="232"/>
      <c r="AF10" s="29"/>
      <c r="AG10" s="243"/>
      <c r="AH10" s="65" t="s">
        <v>15</v>
      </c>
      <c r="AI10" s="65"/>
      <c r="AJ10" s="173"/>
      <c r="AK10" s="174" t="s">
        <v>2</v>
      </c>
      <c r="AL10" s="173"/>
      <c r="AM10" s="175">
        <v>0</v>
      </c>
      <c r="AN10" s="173"/>
      <c r="AO10" s="174" t="s">
        <v>16</v>
      </c>
      <c r="AP10" s="173"/>
      <c r="AQ10" s="175">
        <v>0</v>
      </c>
      <c r="AR10" s="173"/>
      <c r="AS10" s="175" t="s">
        <v>17</v>
      </c>
      <c r="AT10" s="249">
        <v>0</v>
      </c>
      <c r="AU10" s="250"/>
      <c r="AV10" s="29"/>
      <c r="AW10" s="243"/>
      <c r="AX10" s="65" t="s">
        <v>15</v>
      </c>
      <c r="AY10" s="65"/>
      <c r="AZ10" s="66"/>
      <c r="BA10" s="66" t="s">
        <v>2</v>
      </c>
      <c r="BB10" s="66"/>
      <c r="BC10" s="66">
        <v>0</v>
      </c>
      <c r="BD10" s="66"/>
      <c r="BE10" s="66" t="s">
        <v>16</v>
      </c>
      <c r="BF10" s="66"/>
      <c r="BG10" s="66">
        <v>0</v>
      </c>
      <c r="BH10" s="66"/>
      <c r="BI10" s="66" t="s">
        <v>17</v>
      </c>
      <c r="BJ10" s="232">
        <v>0</v>
      </c>
      <c r="BK10" s="232"/>
      <c r="BL10" s="29"/>
      <c r="BM10" s="243"/>
      <c r="BN10" s="65" t="s">
        <v>15</v>
      </c>
      <c r="BO10" s="65"/>
      <c r="BP10" s="66"/>
      <c r="BQ10" s="66" t="s">
        <v>2</v>
      </c>
      <c r="BR10" s="66"/>
      <c r="BS10" s="66">
        <v>0</v>
      </c>
      <c r="BT10" s="66"/>
      <c r="BU10" s="66" t="s">
        <v>16</v>
      </c>
      <c r="BV10" s="66"/>
      <c r="BW10" s="66">
        <v>0</v>
      </c>
      <c r="BX10" s="66"/>
      <c r="BY10" s="66" t="s">
        <v>17</v>
      </c>
      <c r="BZ10" s="232">
        <v>0</v>
      </c>
      <c r="CA10" s="232"/>
      <c r="CB10" s="29"/>
      <c r="CC10" s="243"/>
      <c r="CD10" s="65" t="s">
        <v>15</v>
      </c>
      <c r="CE10" s="65"/>
      <c r="CF10" s="66"/>
      <c r="CG10" s="66" t="s">
        <v>2</v>
      </c>
      <c r="CH10" s="66"/>
      <c r="CI10" s="66">
        <v>0</v>
      </c>
      <c r="CJ10" s="66"/>
      <c r="CK10" s="66" t="s">
        <v>16</v>
      </c>
      <c r="CL10" s="66"/>
      <c r="CM10" s="66">
        <v>0</v>
      </c>
      <c r="CN10" s="66"/>
      <c r="CO10" s="66" t="s">
        <v>17</v>
      </c>
      <c r="CP10" s="232">
        <v>0</v>
      </c>
      <c r="CQ10" s="232"/>
      <c r="CR10" s="29"/>
      <c r="CS10" s="243"/>
      <c r="CT10" s="65" t="s">
        <v>15</v>
      </c>
      <c r="CU10" s="65"/>
      <c r="CV10" s="173"/>
      <c r="CW10" s="174" t="s">
        <v>2</v>
      </c>
      <c r="CX10" s="173"/>
      <c r="CY10" s="175">
        <v>0</v>
      </c>
      <c r="CZ10" s="173"/>
      <c r="DA10" s="174" t="s">
        <v>16</v>
      </c>
      <c r="DB10" s="173"/>
      <c r="DC10" s="175">
        <v>0</v>
      </c>
      <c r="DD10" s="173"/>
      <c r="DE10" s="175" t="s">
        <v>17</v>
      </c>
      <c r="DF10" s="249">
        <v>0</v>
      </c>
      <c r="DG10" s="250"/>
      <c r="DH10" s="29"/>
      <c r="DI10" s="243"/>
      <c r="DJ10" s="65" t="s">
        <v>15</v>
      </c>
      <c r="DK10" s="65"/>
      <c r="DL10" s="203"/>
      <c r="DM10" s="203" t="s">
        <v>2</v>
      </c>
      <c r="DN10" s="203"/>
      <c r="DO10" s="203">
        <v>0</v>
      </c>
      <c r="DP10" s="203"/>
      <c r="DQ10" s="203" t="s">
        <v>16</v>
      </c>
      <c r="DR10" s="203"/>
      <c r="DS10" s="203">
        <v>0</v>
      </c>
      <c r="DT10" s="203"/>
      <c r="DU10" s="203" t="s">
        <v>17</v>
      </c>
      <c r="DV10" s="247">
        <v>0</v>
      </c>
      <c r="DW10" s="248"/>
      <c r="DX10" s="29"/>
      <c r="DY10" s="243"/>
      <c r="DZ10" s="65" t="s">
        <v>15</v>
      </c>
      <c r="EA10" s="65"/>
      <c r="EB10" s="66"/>
      <c r="EC10" s="66" t="s">
        <v>2</v>
      </c>
      <c r="ED10" s="66"/>
      <c r="EE10" s="66">
        <v>0</v>
      </c>
      <c r="EF10" s="66"/>
      <c r="EG10" s="66" t="s">
        <v>16</v>
      </c>
      <c r="EH10" s="66"/>
      <c r="EI10" s="66">
        <v>0</v>
      </c>
      <c r="EJ10" s="66"/>
      <c r="EK10" s="66" t="s">
        <v>17</v>
      </c>
      <c r="EL10" s="232">
        <v>0</v>
      </c>
      <c r="EM10" s="232"/>
      <c r="EN10" s="29"/>
      <c r="EO10" s="243"/>
      <c r="EP10" s="65" t="s">
        <v>15</v>
      </c>
      <c r="EQ10" s="65"/>
      <c r="ER10" s="66"/>
      <c r="ES10" s="66" t="s">
        <v>2</v>
      </c>
      <c r="ET10" s="66"/>
      <c r="EU10" s="66">
        <v>0</v>
      </c>
      <c r="EV10" s="66"/>
      <c r="EW10" s="66" t="s">
        <v>16</v>
      </c>
      <c r="EX10" s="66"/>
      <c r="EY10" s="66">
        <v>0</v>
      </c>
      <c r="EZ10" s="66"/>
      <c r="FA10" s="66" t="s">
        <v>17</v>
      </c>
      <c r="FB10" s="232">
        <v>0</v>
      </c>
      <c r="FC10" s="232"/>
      <c r="FD10" s="29"/>
      <c r="FE10" s="243"/>
      <c r="FF10" s="65" t="s">
        <v>15</v>
      </c>
      <c r="FG10" s="65"/>
      <c r="FH10" s="66"/>
      <c r="FI10" s="66" t="s">
        <v>2</v>
      </c>
      <c r="FJ10" s="66"/>
      <c r="FK10" s="66">
        <v>0</v>
      </c>
      <c r="FL10" s="66"/>
      <c r="FM10" s="66" t="s">
        <v>16</v>
      </c>
      <c r="FN10" s="66"/>
      <c r="FO10" s="66">
        <v>0</v>
      </c>
      <c r="FP10" s="66"/>
      <c r="FQ10" s="66" t="s">
        <v>17</v>
      </c>
      <c r="FR10" s="232">
        <v>0</v>
      </c>
      <c r="FS10" s="232"/>
      <c r="FT10" s="29"/>
      <c r="FU10" s="243"/>
      <c r="FV10" s="65" t="s">
        <v>15</v>
      </c>
      <c r="FW10" s="65"/>
      <c r="FX10" s="66"/>
      <c r="FY10" s="66" t="s">
        <v>2</v>
      </c>
      <c r="FZ10" s="66"/>
      <c r="GA10" s="66">
        <v>0</v>
      </c>
      <c r="GB10" s="66"/>
      <c r="GC10" s="66" t="s">
        <v>16</v>
      </c>
      <c r="GD10" s="66"/>
      <c r="GE10" s="66">
        <v>0</v>
      </c>
      <c r="GF10" s="66"/>
      <c r="GG10" s="66" t="s">
        <v>17</v>
      </c>
      <c r="GH10" s="232">
        <v>0</v>
      </c>
      <c r="GI10" s="232"/>
      <c r="GJ10" s="29"/>
      <c r="GK10" s="243"/>
      <c r="GL10" s="65" t="s">
        <v>15</v>
      </c>
      <c r="GM10" s="65"/>
      <c r="GN10" s="66"/>
      <c r="GO10" s="66" t="s">
        <v>2</v>
      </c>
      <c r="GP10" s="66"/>
      <c r="GQ10" s="66"/>
      <c r="GR10" s="66">
        <f>G10+W10+AM10+BC10+BS10+CI10+CY10+DO10+EE10+EU10+FK10+GA10</f>
        <v>0</v>
      </c>
      <c r="GS10" s="66" t="s">
        <v>16</v>
      </c>
      <c r="GT10" s="66"/>
      <c r="GU10" s="66"/>
      <c r="GV10" s="66">
        <f>K10+AA10+AQ10+BG10+BW10+CM10+DC10+DS10+EI10+EY10+FO10+GE10</f>
        <v>0</v>
      </c>
      <c r="GW10" s="66" t="s">
        <v>17</v>
      </c>
      <c r="GX10" s="66"/>
      <c r="GY10" s="66">
        <f>N10+AD10+AT10+BJ10+BZ10+CP10+DF10+DV10+EL10+FB10+FR10+GH10</f>
        <v>0</v>
      </c>
      <c r="GZ10" s="29"/>
      <c r="HA10" s="31"/>
      <c r="HN10" s="31"/>
    </row>
    <row r="11" spans="1:222" ht="15" customHeight="1" thickTop="1" thickBot="1" x14ac:dyDescent="0.3">
      <c r="A11" s="241" t="s">
        <v>32</v>
      </c>
      <c r="B11" s="38"/>
      <c r="C11" s="39" t="s">
        <v>10</v>
      </c>
      <c r="D11" s="148">
        <v>352</v>
      </c>
      <c r="E11" s="149">
        <v>0</v>
      </c>
      <c r="F11" s="150">
        <v>0</v>
      </c>
      <c r="G11" s="151">
        <v>156</v>
      </c>
      <c r="H11" s="149">
        <v>214</v>
      </c>
      <c r="I11" s="149">
        <v>0</v>
      </c>
      <c r="J11" s="150">
        <v>0</v>
      </c>
      <c r="K11" s="151">
        <v>99</v>
      </c>
      <c r="L11" s="149">
        <v>12</v>
      </c>
      <c r="M11" s="149">
        <v>0</v>
      </c>
      <c r="N11" s="150">
        <v>0</v>
      </c>
      <c r="O11" s="43">
        <v>0</v>
      </c>
      <c r="P11" s="29"/>
      <c r="Q11" s="241" t="s">
        <v>32</v>
      </c>
      <c r="R11" s="38"/>
      <c r="S11" s="39" t="s">
        <v>10</v>
      </c>
      <c r="T11" s="148">
        <v>352</v>
      </c>
      <c r="U11" s="149">
        <v>0</v>
      </c>
      <c r="V11" s="150">
        <v>0</v>
      </c>
      <c r="W11" s="151">
        <v>75</v>
      </c>
      <c r="X11" s="149">
        <v>214</v>
      </c>
      <c r="Y11" s="149">
        <v>0</v>
      </c>
      <c r="Z11" s="150">
        <v>0</v>
      </c>
      <c r="AA11" s="151">
        <v>69</v>
      </c>
      <c r="AB11" s="149">
        <v>15</v>
      </c>
      <c r="AC11" s="149">
        <v>0</v>
      </c>
      <c r="AD11" s="150">
        <v>352</v>
      </c>
      <c r="AE11" s="151">
        <v>4</v>
      </c>
      <c r="AF11" s="29"/>
      <c r="AG11" s="241" t="s">
        <v>32</v>
      </c>
      <c r="AH11" s="38"/>
      <c r="AI11" s="39" t="s">
        <v>10</v>
      </c>
      <c r="AJ11" s="156">
        <v>357</v>
      </c>
      <c r="AK11" s="157">
        <v>0</v>
      </c>
      <c r="AL11" s="158">
        <v>0</v>
      </c>
      <c r="AM11" s="159">
        <v>162</v>
      </c>
      <c r="AN11" s="157">
        <v>216</v>
      </c>
      <c r="AO11" s="157">
        <v>0</v>
      </c>
      <c r="AP11" s="158">
        <v>0</v>
      </c>
      <c r="AQ11" s="159">
        <v>102</v>
      </c>
      <c r="AR11" s="157">
        <v>15</v>
      </c>
      <c r="AS11" s="157">
        <v>0</v>
      </c>
      <c r="AT11" s="158">
        <v>0</v>
      </c>
      <c r="AU11" s="159">
        <v>15</v>
      </c>
      <c r="AV11" s="29"/>
      <c r="AW11" s="241" t="s">
        <v>32</v>
      </c>
      <c r="AX11" s="38"/>
      <c r="AY11" s="39" t="s">
        <v>10</v>
      </c>
      <c r="AZ11" s="148">
        <v>357</v>
      </c>
      <c r="BA11" s="149">
        <v>0</v>
      </c>
      <c r="BB11" s="150">
        <v>0</v>
      </c>
      <c r="BC11" s="151">
        <v>102</v>
      </c>
      <c r="BD11" s="149">
        <v>216</v>
      </c>
      <c r="BE11" s="149">
        <v>0</v>
      </c>
      <c r="BF11" s="150">
        <v>0</v>
      </c>
      <c r="BG11" s="151">
        <v>98</v>
      </c>
      <c r="BH11" s="149">
        <v>15</v>
      </c>
      <c r="BI11" s="149">
        <v>0</v>
      </c>
      <c r="BJ11" s="150">
        <v>0</v>
      </c>
      <c r="BK11" s="151">
        <v>9</v>
      </c>
      <c r="BL11" s="29"/>
      <c r="BM11" s="241" t="s">
        <v>32</v>
      </c>
      <c r="BN11" s="38"/>
      <c r="BO11" s="39" t="s">
        <v>10</v>
      </c>
      <c r="BP11" s="148">
        <v>357</v>
      </c>
      <c r="BQ11" s="149">
        <v>3</v>
      </c>
      <c r="BR11" s="150">
        <v>0</v>
      </c>
      <c r="BS11" s="151">
        <v>73</v>
      </c>
      <c r="BT11" s="149">
        <v>216</v>
      </c>
      <c r="BU11" s="149">
        <v>1</v>
      </c>
      <c r="BV11" s="150">
        <v>0</v>
      </c>
      <c r="BW11" s="151">
        <v>40</v>
      </c>
      <c r="BX11" s="149">
        <v>12</v>
      </c>
      <c r="BY11" s="149">
        <v>0</v>
      </c>
      <c r="BZ11" s="150">
        <v>0</v>
      </c>
      <c r="CA11" s="151">
        <v>4</v>
      </c>
      <c r="CB11" s="29"/>
      <c r="CC11" s="241" t="s">
        <v>32</v>
      </c>
      <c r="CD11" s="38"/>
      <c r="CE11" s="39" t="s">
        <v>10</v>
      </c>
      <c r="CF11" s="40">
        <v>0</v>
      </c>
      <c r="CG11" s="41">
        <v>0</v>
      </c>
      <c r="CH11" s="42">
        <v>0</v>
      </c>
      <c r="CI11" s="43">
        <v>0</v>
      </c>
      <c r="CJ11" s="40">
        <v>0</v>
      </c>
      <c r="CK11" s="41">
        <v>0</v>
      </c>
      <c r="CL11" s="42">
        <v>0</v>
      </c>
      <c r="CM11" s="43">
        <v>0</v>
      </c>
      <c r="CN11" s="40">
        <v>0</v>
      </c>
      <c r="CO11" s="41">
        <v>0</v>
      </c>
      <c r="CP11" s="42">
        <v>0</v>
      </c>
      <c r="CQ11" s="43">
        <v>0</v>
      </c>
      <c r="CR11" s="29"/>
      <c r="CS11" s="241" t="s">
        <v>32</v>
      </c>
      <c r="CT11" s="38"/>
      <c r="CU11" s="39" t="s">
        <v>10</v>
      </c>
      <c r="CV11" s="156">
        <v>352</v>
      </c>
      <c r="CW11" s="157">
        <v>0</v>
      </c>
      <c r="CX11" s="158">
        <v>0</v>
      </c>
      <c r="CY11" s="159">
        <v>135</v>
      </c>
      <c r="CZ11" s="157">
        <v>214</v>
      </c>
      <c r="DA11" s="157">
        <v>0</v>
      </c>
      <c r="DB11" s="158">
        <v>0</v>
      </c>
      <c r="DC11" s="159">
        <v>75</v>
      </c>
      <c r="DD11" s="157">
        <v>18</v>
      </c>
      <c r="DE11" s="157">
        <v>3</v>
      </c>
      <c r="DF11" s="158">
        <v>0</v>
      </c>
      <c r="DG11" s="159">
        <v>4</v>
      </c>
      <c r="DH11" s="29"/>
      <c r="DI11" s="241" t="s">
        <v>32</v>
      </c>
      <c r="DJ11" s="38"/>
      <c r="DK11" s="39" t="s">
        <v>10</v>
      </c>
      <c r="DL11" s="185">
        <v>357</v>
      </c>
      <c r="DM11" s="186">
        <v>0</v>
      </c>
      <c r="DN11" s="187">
        <v>0</v>
      </c>
      <c r="DO11" s="188">
        <v>176</v>
      </c>
      <c r="DP11" s="186">
        <v>216</v>
      </c>
      <c r="DQ11" s="186">
        <v>0</v>
      </c>
      <c r="DR11" s="187">
        <v>0</v>
      </c>
      <c r="DS11" s="188">
        <v>96</v>
      </c>
      <c r="DT11" s="186">
        <v>15</v>
      </c>
      <c r="DU11" s="186">
        <v>0</v>
      </c>
      <c r="DV11" s="187">
        <v>0</v>
      </c>
      <c r="DW11" s="188">
        <v>17</v>
      </c>
      <c r="DX11" s="29"/>
      <c r="DY11" s="241" t="s">
        <v>32</v>
      </c>
      <c r="DZ11" s="38"/>
      <c r="EA11" s="39" t="s">
        <v>10</v>
      </c>
      <c r="EB11" s="207">
        <v>278</v>
      </c>
      <c r="EC11" s="208">
        <v>10</v>
      </c>
      <c r="ED11" s="209">
        <v>0</v>
      </c>
      <c r="EE11" s="189">
        <v>33</v>
      </c>
      <c r="EF11" s="207">
        <v>178</v>
      </c>
      <c r="EG11" s="208">
        <v>5</v>
      </c>
      <c r="EH11" s="209">
        <v>0</v>
      </c>
      <c r="EI11" s="189">
        <v>0</v>
      </c>
      <c r="EJ11" s="207">
        <v>13</v>
      </c>
      <c r="EK11" s="208">
        <v>0</v>
      </c>
      <c r="EL11" s="209">
        <v>0</v>
      </c>
      <c r="EM11" s="189">
        <v>3</v>
      </c>
      <c r="EN11" s="29"/>
      <c r="EO11" s="241" t="s">
        <v>32</v>
      </c>
      <c r="EP11" s="38"/>
      <c r="EQ11" s="39" t="s">
        <v>10</v>
      </c>
      <c r="ER11" s="40">
        <v>0</v>
      </c>
      <c r="ES11" s="41">
        <v>0</v>
      </c>
      <c r="ET11" s="42">
        <v>0</v>
      </c>
      <c r="EU11" s="43">
        <v>0</v>
      </c>
      <c r="EV11" s="40">
        <v>0</v>
      </c>
      <c r="EW11" s="41">
        <v>0</v>
      </c>
      <c r="EX11" s="42">
        <v>0</v>
      </c>
      <c r="EY11" s="43">
        <v>0</v>
      </c>
      <c r="EZ11" s="40">
        <v>0</v>
      </c>
      <c r="FA11" s="41">
        <v>0</v>
      </c>
      <c r="FB11" s="42">
        <v>0</v>
      </c>
      <c r="FC11" s="43">
        <v>0</v>
      </c>
      <c r="FD11" s="29"/>
      <c r="FE11" s="241" t="s">
        <v>32</v>
      </c>
      <c r="FF11" s="38"/>
      <c r="FG11" s="39" t="s">
        <v>10</v>
      </c>
      <c r="FH11" s="40">
        <v>0</v>
      </c>
      <c r="FI11" s="41">
        <v>0</v>
      </c>
      <c r="FJ11" s="42">
        <v>0</v>
      </c>
      <c r="FK11" s="43">
        <v>0</v>
      </c>
      <c r="FL11" s="40">
        <v>0</v>
      </c>
      <c r="FM11" s="41">
        <v>0</v>
      </c>
      <c r="FN11" s="42">
        <v>0</v>
      </c>
      <c r="FO11" s="43">
        <v>0</v>
      </c>
      <c r="FP11" s="40">
        <v>0</v>
      </c>
      <c r="FQ11" s="41">
        <v>0</v>
      </c>
      <c r="FR11" s="42">
        <v>0</v>
      </c>
      <c r="FS11" s="43">
        <v>0</v>
      </c>
      <c r="FT11" s="29"/>
      <c r="FU11" s="241" t="s">
        <v>32</v>
      </c>
      <c r="FV11" s="38"/>
      <c r="FW11" s="39" t="s">
        <v>10</v>
      </c>
      <c r="FX11" s="40">
        <v>0</v>
      </c>
      <c r="FY11" s="41">
        <v>0</v>
      </c>
      <c r="FZ11" s="42">
        <v>0</v>
      </c>
      <c r="GA11" s="43">
        <v>0</v>
      </c>
      <c r="GB11" s="40">
        <v>0</v>
      </c>
      <c r="GC11" s="41">
        <v>0</v>
      </c>
      <c r="GD11" s="42">
        <v>0</v>
      </c>
      <c r="GE11" s="43">
        <v>0</v>
      </c>
      <c r="GF11" s="40">
        <v>0</v>
      </c>
      <c r="GG11" s="41">
        <v>0</v>
      </c>
      <c r="GH11" s="42">
        <v>0</v>
      </c>
      <c r="GI11" s="43">
        <v>0</v>
      </c>
      <c r="GJ11" s="29"/>
      <c r="GK11" s="241" t="str">
        <f t="shared" ref="GK11" si="32">FU11</f>
        <v>الجامعة</v>
      </c>
      <c r="GL11" s="38"/>
      <c r="GM11" s="39" t="s">
        <v>10</v>
      </c>
      <c r="GN11" s="41">
        <f>FX11</f>
        <v>0</v>
      </c>
      <c r="GO11" s="41">
        <f t="shared" ref="GO11:GO14" si="33">E11+U11+AK11+BA11+BQ11+CG11++CW11+DM11+EC11+ES11+FI11+FY11</f>
        <v>13</v>
      </c>
      <c r="GP11" s="41">
        <f t="shared" ref="GP11:GP14" si="34">F11+V11+AL11+BB11+BR11+CH11++CX11+DN11+ED11+ET11+FJ11+FZ11</f>
        <v>0</v>
      </c>
      <c r="GQ11" s="41">
        <f t="shared" ref="GQ11:GQ14" si="35">G11+W11+AM11+BC11+BS11+CI11++CY11+DO11+EE11+EU11+FK11+GA11</f>
        <v>912</v>
      </c>
      <c r="GR11" s="41">
        <f>GB11</f>
        <v>0</v>
      </c>
      <c r="GS11" s="41">
        <f t="shared" ref="GS11:GS14" si="36">I11+Y11+AO11+BE11+BU11+CK11++DA11+DQ11+EG11+EW11+FM11+GC11</f>
        <v>6</v>
      </c>
      <c r="GT11" s="41">
        <f t="shared" ref="GT11:GT14" si="37">J11+Z11+AP11+BF11+BV11+CL11++DB11+DR11+EH11+EX11+FN11+GD11</f>
        <v>0</v>
      </c>
      <c r="GU11" s="41">
        <f t="shared" ref="GU11:GU14" si="38">K11+AA11+AQ11+BG11+BW11+CM11++DC11+DS11+EI11+EY11+FO11+GE11</f>
        <v>579</v>
      </c>
      <c r="GV11" s="41">
        <f>GF11</f>
        <v>0</v>
      </c>
      <c r="GW11" s="41">
        <f t="shared" ref="GW11:GW14" si="39">M11+AC11+AS11+BI11+BY11+CO11++DE11+DU11+EK11+FA11+FQ11+GG11</f>
        <v>3</v>
      </c>
      <c r="GX11" s="41">
        <f t="shared" ref="GX11:GX14" si="40">N11+AD11+AT11+BJ11+BZ11+CP11++DF11+DV11+EL11+FB11+FR11+GH11</f>
        <v>352</v>
      </c>
      <c r="GY11" s="41">
        <f t="shared" ref="GY11:GY14" si="41">O11+AE11+AU11+BK11+CA11+CQ11++DG11+DW11+EM11+FC11+FS11+GI11</f>
        <v>56</v>
      </c>
      <c r="GZ11" s="29"/>
      <c r="HA11" s="31"/>
      <c r="HN11" s="31"/>
    </row>
    <row r="12" spans="1:222" ht="15" customHeight="1" thickBot="1" x14ac:dyDescent="0.3">
      <c r="A12" s="242"/>
      <c r="B12" s="46" t="s">
        <v>11</v>
      </c>
      <c r="C12" s="47" t="s">
        <v>12</v>
      </c>
      <c r="D12" s="152">
        <v>382</v>
      </c>
      <c r="E12" s="153">
        <v>0</v>
      </c>
      <c r="F12" s="154">
        <v>0</v>
      </c>
      <c r="G12" s="155">
        <v>85</v>
      </c>
      <c r="H12" s="153">
        <v>321</v>
      </c>
      <c r="I12" s="153">
        <v>0</v>
      </c>
      <c r="J12" s="154">
        <v>0</v>
      </c>
      <c r="K12" s="155">
        <v>39</v>
      </c>
      <c r="L12" s="153">
        <v>23</v>
      </c>
      <c r="M12" s="153">
        <v>0</v>
      </c>
      <c r="N12" s="154">
        <v>0</v>
      </c>
      <c r="O12" s="51">
        <v>0</v>
      </c>
      <c r="P12" s="29"/>
      <c r="Q12" s="242"/>
      <c r="R12" s="46" t="s">
        <v>11</v>
      </c>
      <c r="S12" s="47" t="s">
        <v>12</v>
      </c>
      <c r="T12" s="152">
        <v>382</v>
      </c>
      <c r="U12" s="153">
        <v>0</v>
      </c>
      <c r="V12" s="154">
        <v>0</v>
      </c>
      <c r="W12" s="155">
        <v>63</v>
      </c>
      <c r="X12" s="153">
        <v>321</v>
      </c>
      <c r="Y12" s="153">
        <v>0</v>
      </c>
      <c r="Z12" s="154">
        <v>0</v>
      </c>
      <c r="AA12" s="155">
        <v>43</v>
      </c>
      <c r="AB12" s="153">
        <v>24</v>
      </c>
      <c r="AC12" s="153">
        <v>0</v>
      </c>
      <c r="AD12" s="154">
        <v>0</v>
      </c>
      <c r="AE12" s="155">
        <v>3</v>
      </c>
      <c r="AF12" s="29"/>
      <c r="AG12" s="242"/>
      <c r="AH12" s="46" t="s">
        <v>11</v>
      </c>
      <c r="AI12" s="47" t="s">
        <v>12</v>
      </c>
      <c r="AJ12" s="152">
        <v>384</v>
      </c>
      <c r="AK12" s="153">
        <v>0</v>
      </c>
      <c r="AL12" s="154">
        <v>0</v>
      </c>
      <c r="AM12" s="155">
        <v>48</v>
      </c>
      <c r="AN12" s="153">
        <v>325</v>
      </c>
      <c r="AO12" s="153">
        <v>0</v>
      </c>
      <c r="AP12" s="154">
        <v>0</v>
      </c>
      <c r="AQ12" s="155">
        <v>53</v>
      </c>
      <c r="AR12" s="153">
        <v>24</v>
      </c>
      <c r="AS12" s="153">
        <v>0</v>
      </c>
      <c r="AT12" s="154">
        <v>0</v>
      </c>
      <c r="AU12" s="155">
        <v>12</v>
      </c>
      <c r="AV12" s="29"/>
      <c r="AW12" s="242"/>
      <c r="AX12" s="46" t="s">
        <v>11</v>
      </c>
      <c r="AY12" s="47" t="s">
        <v>12</v>
      </c>
      <c r="AZ12" s="152">
        <v>384</v>
      </c>
      <c r="BA12" s="153">
        <v>0</v>
      </c>
      <c r="BB12" s="154">
        <v>0</v>
      </c>
      <c r="BC12" s="155">
        <v>75</v>
      </c>
      <c r="BD12" s="153">
        <v>325</v>
      </c>
      <c r="BE12" s="153">
        <v>0</v>
      </c>
      <c r="BF12" s="154">
        <v>0</v>
      </c>
      <c r="BG12" s="155">
        <v>30</v>
      </c>
      <c r="BH12" s="153">
        <v>24</v>
      </c>
      <c r="BI12" s="153">
        <v>0</v>
      </c>
      <c r="BJ12" s="154">
        <v>0</v>
      </c>
      <c r="BK12" s="155">
        <v>4</v>
      </c>
      <c r="BL12" s="29"/>
      <c r="BM12" s="242"/>
      <c r="BN12" s="46" t="s">
        <v>11</v>
      </c>
      <c r="BO12" s="47" t="s">
        <v>12</v>
      </c>
      <c r="BP12" s="152">
        <v>384</v>
      </c>
      <c r="BQ12" s="153">
        <v>2</v>
      </c>
      <c r="BR12" s="154">
        <v>0</v>
      </c>
      <c r="BS12" s="155">
        <v>53</v>
      </c>
      <c r="BT12" s="153">
        <v>325</v>
      </c>
      <c r="BU12" s="153">
        <v>2</v>
      </c>
      <c r="BV12" s="154">
        <v>0</v>
      </c>
      <c r="BW12" s="155">
        <v>19</v>
      </c>
      <c r="BX12" s="153">
        <v>23</v>
      </c>
      <c r="BY12" s="153">
        <v>0</v>
      </c>
      <c r="BZ12" s="154">
        <v>0</v>
      </c>
      <c r="CA12" s="155">
        <v>3</v>
      </c>
      <c r="CB12" s="29"/>
      <c r="CC12" s="242"/>
      <c r="CD12" s="46" t="s">
        <v>11</v>
      </c>
      <c r="CE12" s="47" t="s">
        <v>12</v>
      </c>
      <c r="CF12" s="48">
        <v>0</v>
      </c>
      <c r="CG12" s="49">
        <v>0</v>
      </c>
      <c r="CH12" s="50">
        <v>0</v>
      </c>
      <c r="CI12" s="51">
        <v>0</v>
      </c>
      <c r="CJ12" s="48">
        <v>0</v>
      </c>
      <c r="CK12" s="49">
        <v>0</v>
      </c>
      <c r="CL12" s="50">
        <v>0</v>
      </c>
      <c r="CM12" s="51">
        <v>0</v>
      </c>
      <c r="CN12" s="48">
        <v>0</v>
      </c>
      <c r="CO12" s="49">
        <v>0</v>
      </c>
      <c r="CP12" s="50">
        <v>0</v>
      </c>
      <c r="CQ12" s="51">
        <v>0</v>
      </c>
      <c r="CR12" s="29"/>
      <c r="CS12" s="242"/>
      <c r="CT12" s="46" t="s">
        <v>11</v>
      </c>
      <c r="CU12" s="47" t="s">
        <v>12</v>
      </c>
      <c r="CV12" s="152">
        <v>382</v>
      </c>
      <c r="CW12" s="153">
        <v>0</v>
      </c>
      <c r="CX12" s="154">
        <v>0</v>
      </c>
      <c r="CY12" s="155">
        <v>72</v>
      </c>
      <c r="CZ12" s="153">
        <v>321</v>
      </c>
      <c r="DA12" s="153">
        <v>0</v>
      </c>
      <c r="DB12" s="154">
        <v>0</v>
      </c>
      <c r="DC12" s="155">
        <v>33</v>
      </c>
      <c r="DD12" s="153">
        <v>24</v>
      </c>
      <c r="DE12" s="153">
        <v>1</v>
      </c>
      <c r="DF12" s="154">
        <v>0</v>
      </c>
      <c r="DG12" s="155">
        <v>3</v>
      </c>
      <c r="DH12" s="29"/>
      <c r="DI12" s="242"/>
      <c r="DJ12" s="46" t="s">
        <v>11</v>
      </c>
      <c r="DK12" s="47" t="s">
        <v>12</v>
      </c>
      <c r="DL12" s="190">
        <v>384</v>
      </c>
      <c r="DM12" s="191">
        <v>0</v>
      </c>
      <c r="DN12" s="192">
        <v>0</v>
      </c>
      <c r="DO12" s="193">
        <v>45</v>
      </c>
      <c r="DP12" s="191">
        <v>325</v>
      </c>
      <c r="DQ12" s="191">
        <v>0</v>
      </c>
      <c r="DR12" s="192">
        <v>0</v>
      </c>
      <c r="DS12" s="193">
        <v>60</v>
      </c>
      <c r="DT12" s="191">
        <v>24</v>
      </c>
      <c r="DU12" s="191">
        <v>0</v>
      </c>
      <c r="DV12" s="192">
        <v>0</v>
      </c>
      <c r="DW12" s="193">
        <v>10</v>
      </c>
      <c r="DX12" s="29"/>
      <c r="DY12" s="242"/>
      <c r="DZ12" s="46" t="s">
        <v>11</v>
      </c>
      <c r="EA12" s="47" t="s">
        <v>12</v>
      </c>
      <c r="EB12" s="210">
        <v>327</v>
      </c>
      <c r="EC12" s="211">
        <v>5</v>
      </c>
      <c r="ED12" s="212">
        <v>0</v>
      </c>
      <c r="EE12" s="194">
        <v>20</v>
      </c>
      <c r="EF12" s="210">
        <v>291</v>
      </c>
      <c r="EG12" s="211">
        <v>4</v>
      </c>
      <c r="EH12" s="212">
        <v>0</v>
      </c>
      <c r="EI12" s="194">
        <v>0</v>
      </c>
      <c r="EJ12" s="210">
        <v>20</v>
      </c>
      <c r="EK12" s="211">
        <v>0</v>
      </c>
      <c r="EL12" s="212">
        <v>0</v>
      </c>
      <c r="EM12" s="194">
        <v>4</v>
      </c>
      <c r="EN12" s="29"/>
      <c r="EO12" s="242"/>
      <c r="EP12" s="46" t="s">
        <v>11</v>
      </c>
      <c r="EQ12" s="47" t="s">
        <v>12</v>
      </c>
      <c r="ER12" s="48">
        <v>0</v>
      </c>
      <c r="ES12" s="49">
        <v>0</v>
      </c>
      <c r="ET12" s="50">
        <v>0</v>
      </c>
      <c r="EU12" s="51">
        <v>0</v>
      </c>
      <c r="EV12" s="48">
        <v>0</v>
      </c>
      <c r="EW12" s="49">
        <v>0</v>
      </c>
      <c r="EX12" s="50">
        <v>0</v>
      </c>
      <c r="EY12" s="51">
        <v>0</v>
      </c>
      <c r="EZ12" s="48">
        <v>0</v>
      </c>
      <c r="FA12" s="49">
        <v>0</v>
      </c>
      <c r="FB12" s="50">
        <v>0</v>
      </c>
      <c r="FC12" s="51">
        <v>0</v>
      </c>
      <c r="FD12" s="29"/>
      <c r="FE12" s="242"/>
      <c r="FF12" s="46" t="s">
        <v>11</v>
      </c>
      <c r="FG12" s="47" t="s">
        <v>12</v>
      </c>
      <c r="FH12" s="48">
        <v>0</v>
      </c>
      <c r="FI12" s="49">
        <v>0</v>
      </c>
      <c r="FJ12" s="50">
        <v>0</v>
      </c>
      <c r="FK12" s="51">
        <v>0</v>
      </c>
      <c r="FL12" s="48">
        <v>0</v>
      </c>
      <c r="FM12" s="49">
        <v>0</v>
      </c>
      <c r="FN12" s="50">
        <v>0</v>
      </c>
      <c r="FO12" s="51">
        <v>0</v>
      </c>
      <c r="FP12" s="48">
        <v>0</v>
      </c>
      <c r="FQ12" s="49">
        <v>0</v>
      </c>
      <c r="FR12" s="50">
        <v>0</v>
      </c>
      <c r="FS12" s="51">
        <v>0</v>
      </c>
      <c r="FT12" s="29"/>
      <c r="FU12" s="242"/>
      <c r="FV12" s="46" t="s">
        <v>11</v>
      </c>
      <c r="FW12" s="47" t="s">
        <v>12</v>
      </c>
      <c r="FX12" s="48">
        <v>0</v>
      </c>
      <c r="FY12" s="49">
        <v>0</v>
      </c>
      <c r="FZ12" s="50">
        <v>0</v>
      </c>
      <c r="GA12" s="51">
        <v>0</v>
      </c>
      <c r="GB12" s="48">
        <v>0</v>
      </c>
      <c r="GC12" s="49">
        <v>0</v>
      </c>
      <c r="GD12" s="50">
        <v>0</v>
      </c>
      <c r="GE12" s="51">
        <v>0</v>
      </c>
      <c r="GF12" s="48">
        <v>0</v>
      </c>
      <c r="GG12" s="49">
        <v>0</v>
      </c>
      <c r="GH12" s="50">
        <v>0</v>
      </c>
      <c r="GI12" s="51">
        <v>0</v>
      </c>
      <c r="GJ12" s="29"/>
      <c r="GK12" s="242"/>
      <c r="GL12" s="46" t="s">
        <v>11</v>
      </c>
      <c r="GM12" s="47" t="s">
        <v>12</v>
      </c>
      <c r="GN12" s="41">
        <f t="shared" ref="GN12:GN14" si="42">FX12</f>
        <v>0</v>
      </c>
      <c r="GO12" s="41">
        <f t="shared" si="33"/>
        <v>7</v>
      </c>
      <c r="GP12" s="41">
        <f t="shared" si="34"/>
        <v>0</v>
      </c>
      <c r="GQ12" s="41">
        <f t="shared" si="35"/>
        <v>461</v>
      </c>
      <c r="GR12" s="41">
        <f t="shared" ref="GR12:GR14" si="43">GB12</f>
        <v>0</v>
      </c>
      <c r="GS12" s="41">
        <f t="shared" si="36"/>
        <v>6</v>
      </c>
      <c r="GT12" s="41">
        <f t="shared" si="37"/>
        <v>0</v>
      </c>
      <c r="GU12" s="41">
        <f t="shared" si="38"/>
        <v>277</v>
      </c>
      <c r="GV12" s="41">
        <f t="shared" ref="GV12:GV14" si="44">GF12</f>
        <v>0</v>
      </c>
      <c r="GW12" s="41">
        <f t="shared" si="39"/>
        <v>1</v>
      </c>
      <c r="GX12" s="41">
        <f t="shared" si="40"/>
        <v>0</v>
      </c>
      <c r="GY12" s="41">
        <f t="shared" si="41"/>
        <v>39</v>
      </c>
      <c r="GZ12" s="29"/>
      <c r="HA12" s="31"/>
      <c r="HN12" s="31"/>
    </row>
    <row r="13" spans="1:222" ht="15" customHeight="1" thickBot="1" x14ac:dyDescent="0.3">
      <c r="A13" s="242"/>
      <c r="B13" s="38" t="s">
        <v>13</v>
      </c>
      <c r="C13" s="54" t="s">
        <v>10</v>
      </c>
      <c r="D13" s="156">
        <v>167</v>
      </c>
      <c r="E13" s="157">
        <v>0</v>
      </c>
      <c r="F13" s="158">
        <v>0</v>
      </c>
      <c r="G13" s="159">
        <v>78</v>
      </c>
      <c r="H13" s="157">
        <v>99</v>
      </c>
      <c r="I13" s="157">
        <v>0</v>
      </c>
      <c r="J13" s="158">
        <v>0</v>
      </c>
      <c r="K13" s="159">
        <v>75</v>
      </c>
      <c r="L13" s="157">
        <v>0</v>
      </c>
      <c r="M13" s="157">
        <v>0</v>
      </c>
      <c r="N13" s="158">
        <v>0</v>
      </c>
      <c r="O13" s="43">
        <v>0</v>
      </c>
      <c r="P13" s="29"/>
      <c r="Q13" s="242"/>
      <c r="R13" s="38" t="s">
        <v>13</v>
      </c>
      <c r="S13" s="54" t="s">
        <v>10</v>
      </c>
      <c r="T13" s="156">
        <v>167</v>
      </c>
      <c r="U13" s="157">
        <v>0</v>
      </c>
      <c r="V13" s="158">
        <v>0</v>
      </c>
      <c r="W13" s="159">
        <v>51</v>
      </c>
      <c r="X13" s="157">
        <v>99</v>
      </c>
      <c r="Y13" s="157">
        <v>0</v>
      </c>
      <c r="Z13" s="158">
        <v>0</v>
      </c>
      <c r="AA13" s="159">
        <v>51</v>
      </c>
      <c r="AB13" s="157">
        <v>5</v>
      </c>
      <c r="AC13" s="157">
        <v>0</v>
      </c>
      <c r="AD13" s="158">
        <v>0</v>
      </c>
      <c r="AE13" s="159">
        <v>3</v>
      </c>
      <c r="AF13" s="29"/>
      <c r="AG13" s="242"/>
      <c r="AH13" s="38" t="s">
        <v>13</v>
      </c>
      <c r="AI13" s="54" t="s">
        <v>10</v>
      </c>
      <c r="AJ13" s="156">
        <v>170</v>
      </c>
      <c r="AK13" s="157">
        <v>0</v>
      </c>
      <c r="AL13" s="158">
        <v>0</v>
      </c>
      <c r="AM13" s="159">
        <v>55</v>
      </c>
      <c r="AN13" s="157">
        <v>10</v>
      </c>
      <c r="AO13" s="157">
        <v>0</v>
      </c>
      <c r="AP13" s="158">
        <v>0</v>
      </c>
      <c r="AQ13" s="159">
        <v>59</v>
      </c>
      <c r="AR13" s="157">
        <v>5</v>
      </c>
      <c r="AS13" s="157">
        <v>0</v>
      </c>
      <c r="AT13" s="158">
        <v>0</v>
      </c>
      <c r="AU13" s="159">
        <v>8</v>
      </c>
      <c r="AV13" s="29"/>
      <c r="AW13" s="242"/>
      <c r="AX13" s="38" t="s">
        <v>13</v>
      </c>
      <c r="AY13" s="54" t="s">
        <v>10</v>
      </c>
      <c r="AZ13" s="156">
        <v>170</v>
      </c>
      <c r="BA13" s="157">
        <v>0</v>
      </c>
      <c r="BB13" s="158">
        <v>0</v>
      </c>
      <c r="BC13" s="159">
        <v>49</v>
      </c>
      <c r="BD13" s="157">
        <v>100</v>
      </c>
      <c r="BE13" s="157">
        <v>0</v>
      </c>
      <c r="BF13" s="158">
        <v>0</v>
      </c>
      <c r="BG13" s="159">
        <v>76</v>
      </c>
      <c r="BH13" s="157">
        <v>5</v>
      </c>
      <c r="BI13" s="157">
        <v>0</v>
      </c>
      <c r="BJ13" s="158">
        <v>0</v>
      </c>
      <c r="BK13" s="159">
        <v>4</v>
      </c>
      <c r="BL13" s="29"/>
      <c r="BM13" s="242"/>
      <c r="BN13" s="38" t="s">
        <v>13</v>
      </c>
      <c r="BO13" s="54" t="s">
        <v>10</v>
      </c>
      <c r="BP13" s="156">
        <v>170</v>
      </c>
      <c r="BQ13" s="157">
        <v>0</v>
      </c>
      <c r="BR13" s="158">
        <v>0</v>
      </c>
      <c r="BS13" s="159">
        <v>39</v>
      </c>
      <c r="BT13" s="157">
        <v>100</v>
      </c>
      <c r="BU13" s="157">
        <v>2</v>
      </c>
      <c r="BV13" s="158">
        <v>0</v>
      </c>
      <c r="BW13" s="159">
        <v>29</v>
      </c>
      <c r="BX13" s="157">
        <v>0</v>
      </c>
      <c r="BY13" s="157">
        <v>0</v>
      </c>
      <c r="BZ13" s="158">
        <v>0</v>
      </c>
      <c r="CA13" s="159">
        <v>3</v>
      </c>
      <c r="CB13" s="29"/>
      <c r="CC13" s="242"/>
      <c r="CD13" s="38" t="s">
        <v>13</v>
      </c>
      <c r="CE13" s="54" t="s">
        <v>10</v>
      </c>
      <c r="CF13" s="40">
        <v>0</v>
      </c>
      <c r="CG13" s="41">
        <v>0</v>
      </c>
      <c r="CH13" s="42">
        <v>0</v>
      </c>
      <c r="CI13" s="43">
        <v>0</v>
      </c>
      <c r="CJ13" s="40">
        <v>0</v>
      </c>
      <c r="CK13" s="41">
        <v>0</v>
      </c>
      <c r="CL13" s="42">
        <v>0</v>
      </c>
      <c r="CM13" s="43">
        <v>0</v>
      </c>
      <c r="CN13" s="40">
        <v>0</v>
      </c>
      <c r="CO13" s="41">
        <v>0</v>
      </c>
      <c r="CP13" s="42">
        <v>0</v>
      </c>
      <c r="CQ13" s="43">
        <v>0</v>
      </c>
      <c r="CR13" s="29"/>
      <c r="CS13" s="242"/>
      <c r="CT13" s="38" t="s">
        <v>13</v>
      </c>
      <c r="CU13" s="54" t="s">
        <v>10</v>
      </c>
      <c r="CV13" s="156">
        <v>167</v>
      </c>
      <c r="CW13" s="157">
        <v>0</v>
      </c>
      <c r="CX13" s="158">
        <v>0</v>
      </c>
      <c r="CY13" s="159">
        <v>55</v>
      </c>
      <c r="CZ13" s="157">
        <v>99</v>
      </c>
      <c r="DA13" s="157">
        <v>0</v>
      </c>
      <c r="DB13" s="158">
        <v>0</v>
      </c>
      <c r="DC13" s="159">
        <v>61</v>
      </c>
      <c r="DD13" s="157">
        <v>5</v>
      </c>
      <c r="DE13" s="157">
        <v>5</v>
      </c>
      <c r="DF13" s="158">
        <v>0</v>
      </c>
      <c r="DG13" s="159">
        <v>3</v>
      </c>
      <c r="DH13" s="29"/>
      <c r="DI13" s="242"/>
      <c r="DJ13" s="38" t="s">
        <v>13</v>
      </c>
      <c r="DK13" s="54" t="s">
        <v>10</v>
      </c>
      <c r="DL13" s="195">
        <v>170</v>
      </c>
      <c r="DM13" s="196">
        <v>0</v>
      </c>
      <c r="DN13" s="197">
        <v>0</v>
      </c>
      <c r="DO13" s="198">
        <v>56</v>
      </c>
      <c r="DP13" s="196">
        <v>100</v>
      </c>
      <c r="DQ13" s="196">
        <v>0</v>
      </c>
      <c r="DR13" s="197">
        <v>0</v>
      </c>
      <c r="DS13" s="198">
        <v>50</v>
      </c>
      <c r="DT13" s="196">
        <v>5</v>
      </c>
      <c r="DU13" s="196">
        <v>0</v>
      </c>
      <c r="DV13" s="197">
        <v>0</v>
      </c>
      <c r="DW13" s="198">
        <v>7</v>
      </c>
      <c r="DX13" s="29"/>
      <c r="DY13" s="242"/>
      <c r="DZ13" s="38" t="s">
        <v>13</v>
      </c>
      <c r="EA13" s="54" t="s">
        <v>10</v>
      </c>
      <c r="EB13" s="207">
        <v>132</v>
      </c>
      <c r="EC13" s="208">
        <v>2</v>
      </c>
      <c r="ED13" s="209">
        <v>0</v>
      </c>
      <c r="EE13" s="189">
        <v>17</v>
      </c>
      <c r="EF13" s="207">
        <v>52</v>
      </c>
      <c r="EG13" s="208">
        <v>2</v>
      </c>
      <c r="EH13" s="209">
        <v>0</v>
      </c>
      <c r="EI13" s="189">
        <v>0</v>
      </c>
      <c r="EJ13" s="207">
        <v>0</v>
      </c>
      <c r="EK13" s="208">
        <v>0</v>
      </c>
      <c r="EL13" s="209">
        <v>0</v>
      </c>
      <c r="EM13" s="189">
        <v>4</v>
      </c>
      <c r="EN13" s="29"/>
      <c r="EO13" s="242"/>
      <c r="EP13" s="38" t="s">
        <v>13</v>
      </c>
      <c r="EQ13" s="54" t="s">
        <v>10</v>
      </c>
      <c r="ER13" s="40">
        <v>0</v>
      </c>
      <c r="ES13" s="41">
        <v>0</v>
      </c>
      <c r="ET13" s="42">
        <v>0</v>
      </c>
      <c r="EU13" s="43">
        <v>0</v>
      </c>
      <c r="EV13" s="40">
        <v>0</v>
      </c>
      <c r="EW13" s="41">
        <v>0</v>
      </c>
      <c r="EX13" s="42">
        <v>0</v>
      </c>
      <c r="EY13" s="43">
        <v>0</v>
      </c>
      <c r="EZ13" s="40">
        <v>0</v>
      </c>
      <c r="FA13" s="41">
        <v>0</v>
      </c>
      <c r="FB13" s="42">
        <v>0</v>
      </c>
      <c r="FC13" s="43">
        <v>0</v>
      </c>
      <c r="FD13" s="29"/>
      <c r="FE13" s="242"/>
      <c r="FF13" s="38" t="s">
        <v>13</v>
      </c>
      <c r="FG13" s="54" t="s">
        <v>10</v>
      </c>
      <c r="FH13" s="40">
        <v>0</v>
      </c>
      <c r="FI13" s="41">
        <v>0</v>
      </c>
      <c r="FJ13" s="42">
        <v>0</v>
      </c>
      <c r="FK13" s="43">
        <v>0</v>
      </c>
      <c r="FL13" s="40">
        <v>0</v>
      </c>
      <c r="FM13" s="41">
        <v>0</v>
      </c>
      <c r="FN13" s="42">
        <v>0</v>
      </c>
      <c r="FO13" s="43">
        <v>0</v>
      </c>
      <c r="FP13" s="40">
        <v>0</v>
      </c>
      <c r="FQ13" s="41">
        <v>0</v>
      </c>
      <c r="FR13" s="42">
        <v>0</v>
      </c>
      <c r="FS13" s="43">
        <v>0</v>
      </c>
      <c r="FT13" s="29"/>
      <c r="FU13" s="242"/>
      <c r="FV13" s="38" t="s">
        <v>13</v>
      </c>
      <c r="FW13" s="54" t="s">
        <v>10</v>
      </c>
      <c r="FX13" s="40">
        <v>0</v>
      </c>
      <c r="FY13" s="41">
        <v>0</v>
      </c>
      <c r="FZ13" s="42">
        <v>0</v>
      </c>
      <c r="GA13" s="43">
        <v>0</v>
      </c>
      <c r="GB13" s="40">
        <v>0</v>
      </c>
      <c r="GC13" s="41">
        <v>0</v>
      </c>
      <c r="GD13" s="42">
        <v>0</v>
      </c>
      <c r="GE13" s="43">
        <v>0</v>
      </c>
      <c r="GF13" s="40">
        <v>0</v>
      </c>
      <c r="GG13" s="41">
        <v>0</v>
      </c>
      <c r="GH13" s="42">
        <v>0</v>
      </c>
      <c r="GI13" s="43">
        <v>0</v>
      </c>
      <c r="GJ13" s="29"/>
      <c r="GK13" s="242"/>
      <c r="GL13" s="38" t="s">
        <v>13</v>
      </c>
      <c r="GM13" s="54" t="s">
        <v>10</v>
      </c>
      <c r="GN13" s="41">
        <f t="shared" si="42"/>
        <v>0</v>
      </c>
      <c r="GO13" s="41">
        <f t="shared" si="33"/>
        <v>2</v>
      </c>
      <c r="GP13" s="41">
        <f t="shared" si="34"/>
        <v>0</v>
      </c>
      <c r="GQ13" s="41">
        <f t="shared" si="35"/>
        <v>400</v>
      </c>
      <c r="GR13" s="41">
        <f t="shared" si="43"/>
        <v>0</v>
      </c>
      <c r="GS13" s="41">
        <f t="shared" si="36"/>
        <v>4</v>
      </c>
      <c r="GT13" s="41">
        <f t="shared" si="37"/>
        <v>0</v>
      </c>
      <c r="GU13" s="41">
        <f t="shared" si="38"/>
        <v>401</v>
      </c>
      <c r="GV13" s="41">
        <f t="shared" si="44"/>
        <v>0</v>
      </c>
      <c r="GW13" s="41">
        <f t="shared" si="39"/>
        <v>5</v>
      </c>
      <c r="GX13" s="41">
        <f t="shared" si="40"/>
        <v>0</v>
      </c>
      <c r="GY13" s="41">
        <f t="shared" si="41"/>
        <v>32</v>
      </c>
      <c r="GZ13" s="29"/>
      <c r="HA13" s="31"/>
      <c r="HN13" s="31"/>
    </row>
    <row r="14" spans="1:222" ht="15" customHeight="1" thickBot="1" x14ac:dyDescent="0.3">
      <c r="A14" s="242"/>
      <c r="B14" s="46" t="s">
        <v>11</v>
      </c>
      <c r="C14" s="56" t="s">
        <v>12</v>
      </c>
      <c r="D14" s="152">
        <v>986</v>
      </c>
      <c r="E14" s="153">
        <v>0</v>
      </c>
      <c r="F14" s="154">
        <v>0</v>
      </c>
      <c r="G14" s="155">
        <v>56</v>
      </c>
      <c r="H14" s="153">
        <v>77</v>
      </c>
      <c r="I14" s="153">
        <v>0</v>
      </c>
      <c r="J14" s="154">
        <v>0</v>
      </c>
      <c r="K14" s="155">
        <v>52</v>
      </c>
      <c r="L14" s="153">
        <v>2</v>
      </c>
      <c r="M14" s="153">
        <v>0</v>
      </c>
      <c r="N14" s="154">
        <v>0</v>
      </c>
      <c r="O14" s="51">
        <v>0</v>
      </c>
      <c r="P14" s="29"/>
      <c r="Q14" s="242"/>
      <c r="R14" s="46" t="s">
        <v>11</v>
      </c>
      <c r="S14" s="56" t="s">
        <v>12</v>
      </c>
      <c r="T14" s="152">
        <v>986</v>
      </c>
      <c r="U14" s="153">
        <v>0</v>
      </c>
      <c r="V14" s="154">
        <v>0</v>
      </c>
      <c r="W14" s="155">
        <v>46</v>
      </c>
      <c r="X14" s="153">
        <v>77</v>
      </c>
      <c r="Y14" s="153">
        <v>0</v>
      </c>
      <c r="Z14" s="154">
        <v>0</v>
      </c>
      <c r="AA14" s="155">
        <v>23</v>
      </c>
      <c r="AB14" s="153">
        <v>4</v>
      </c>
      <c r="AC14" s="153">
        <v>0</v>
      </c>
      <c r="AD14" s="154">
        <v>0</v>
      </c>
      <c r="AE14" s="168"/>
      <c r="AF14" s="29"/>
      <c r="AG14" s="242"/>
      <c r="AH14" s="46" t="s">
        <v>11</v>
      </c>
      <c r="AI14" s="56" t="s">
        <v>12</v>
      </c>
      <c r="AJ14" s="152">
        <v>990</v>
      </c>
      <c r="AK14" s="153">
        <v>0</v>
      </c>
      <c r="AL14" s="154">
        <v>0</v>
      </c>
      <c r="AM14" s="155">
        <v>35</v>
      </c>
      <c r="AN14" s="153">
        <v>77</v>
      </c>
      <c r="AO14" s="153">
        <v>0</v>
      </c>
      <c r="AP14" s="154">
        <v>0</v>
      </c>
      <c r="AQ14" s="155">
        <v>34</v>
      </c>
      <c r="AR14" s="153">
        <v>4</v>
      </c>
      <c r="AS14" s="153">
        <v>0</v>
      </c>
      <c r="AT14" s="154">
        <v>0</v>
      </c>
      <c r="AU14" s="155">
        <v>5</v>
      </c>
      <c r="AV14" s="29"/>
      <c r="AW14" s="242"/>
      <c r="AX14" s="46" t="s">
        <v>11</v>
      </c>
      <c r="AY14" s="56" t="s">
        <v>12</v>
      </c>
      <c r="AZ14" s="152">
        <v>990</v>
      </c>
      <c r="BA14" s="153">
        <v>0</v>
      </c>
      <c r="BB14" s="154">
        <v>0</v>
      </c>
      <c r="BC14" s="155">
        <v>40</v>
      </c>
      <c r="BD14" s="153">
        <v>77</v>
      </c>
      <c r="BE14" s="153">
        <v>0</v>
      </c>
      <c r="BF14" s="154">
        <v>0</v>
      </c>
      <c r="BG14" s="155">
        <v>19</v>
      </c>
      <c r="BH14" s="153">
        <v>4</v>
      </c>
      <c r="BI14" s="153">
        <v>0</v>
      </c>
      <c r="BJ14" s="154">
        <v>0</v>
      </c>
      <c r="BK14" s="155">
        <v>6</v>
      </c>
      <c r="BL14" s="29"/>
      <c r="BM14" s="242"/>
      <c r="BN14" s="46" t="s">
        <v>11</v>
      </c>
      <c r="BO14" s="56" t="s">
        <v>12</v>
      </c>
      <c r="BP14" s="152">
        <v>990</v>
      </c>
      <c r="BQ14" s="153">
        <v>1</v>
      </c>
      <c r="BR14" s="154">
        <v>0</v>
      </c>
      <c r="BS14" s="155">
        <v>13</v>
      </c>
      <c r="BT14" s="153">
        <v>77</v>
      </c>
      <c r="BU14" s="153">
        <v>0</v>
      </c>
      <c r="BV14" s="154">
        <v>0</v>
      </c>
      <c r="BW14" s="155">
        <v>21</v>
      </c>
      <c r="BX14" s="153">
        <v>2</v>
      </c>
      <c r="BY14" s="153">
        <v>0</v>
      </c>
      <c r="BZ14" s="154">
        <v>0</v>
      </c>
      <c r="CA14" s="155">
        <v>5</v>
      </c>
      <c r="CB14" s="29"/>
      <c r="CC14" s="242"/>
      <c r="CD14" s="46" t="s">
        <v>11</v>
      </c>
      <c r="CE14" s="56" t="s">
        <v>12</v>
      </c>
      <c r="CF14" s="48">
        <v>0</v>
      </c>
      <c r="CG14" s="49">
        <v>0</v>
      </c>
      <c r="CH14" s="50">
        <v>0</v>
      </c>
      <c r="CI14" s="51">
        <v>0</v>
      </c>
      <c r="CJ14" s="48">
        <v>0</v>
      </c>
      <c r="CK14" s="49">
        <v>0</v>
      </c>
      <c r="CL14" s="50">
        <v>0</v>
      </c>
      <c r="CM14" s="51">
        <v>0</v>
      </c>
      <c r="CN14" s="48">
        <v>0</v>
      </c>
      <c r="CO14" s="49">
        <v>0</v>
      </c>
      <c r="CP14" s="50">
        <v>0</v>
      </c>
      <c r="CQ14" s="51">
        <v>0</v>
      </c>
      <c r="CR14" s="29"/>
      <c r="CS14" s="242"/>
      <c r="CT14" s="46" t="s">
        <v>11</v>
      </c>
      <c r="CU14" s="56" t="s">
        <v>12</v>
      </c>
      <c r="CV14" s="152">
        <v>986</v>
      </c>
      <c r="CW14" s="153">
        <v>0</v>
      </c>
      <c r="CX14" s="154">
        <v>0</v>
      </c>
      <c r="CY14" s="155">
        <v>68</v>
      </c>
      <c r="CZ14" s="153">
        <v>77</v>
      </c>
      <c r="DA14" s="153">
        <v>0</v>
      </c>
      <c r="DB14" s="154">
        <v>0</v>
      </c>
      <c r="DC14" s="155">
        <v>43</v>
      </c>
      <c r="DD14" s="153">
        <v>4</v>
      </c>
      <c r="DE14" s="153">
        <v>2</v>
      </c>
      <c r="DF14" s="154">
        <v>0</v>
      </c>
      <c r="DG14" s="155">
        <v>5</v>
      </c>
      <c r="DH14" s="29"/>
      <c r="DI14" s="242"/>
      <c r="DJ14" s="46" t="s">
        <v>11</v>
      </c>
      <c r="DK14" s="56" t="s">
        <v>12</v>
      </c>
      <c r="DL14" s="190">
        <v>990</v>
      </c>
      <c r="DM14" s="191">
        <v>0</v>
      </c>
      <c r="DN14" s="192">
        <v>0</v>
      </c>
      <c r="DO14" s="193">
        <v>49</v>
      </c>
      <c r="DP14" s="191">
        <v>77</v>
      </c>
      <c r="DQ14" s="191">
        <v>0</v>
      </c>
      <c r="DR14" s="192">
        <v>0</v>
      </c>
      <c r="DS14" s="193">
        <v>52</v>
      </c>
      <c r="DT14" s="191">
        <v>4</v>
      </c>
      <c r="DU14" s="191">
        <v>0</v>
      </c>
      <c r="DV14" s="192">
        <v>0</v>
      </c>
      <c r="DW14" s="193">
        <v>4</v>
      </c>
      <c r="DX14" s="29"/>
      <c r="DY14" s="242"/>
      <c r="DZ14" s="46" t="s">
        <v>11</v>
      </c>
      <c r="EA14" s="56" t="s">
        <v>12</v>
      </c>
      <c r="EB14" s="210">
        <v>84</v>
      </c>
      <c r="EC14" s="211">
        <v>2</v>
      </c>
      <c r="ED14" s="212">
        <v>0</v>
      </c>
      <c r="EE14" s="194">
        <v>15</v>
      </c>
      <c r="EF14" s="210">
        <v>50</v>
      </c>
      <c r="EG14" s="211">
        <v>3</v>
      </c>
      <c r="EH14" s="212">
        <v>0</v>
      </c>
      <c r="EI14" s="194">
        <v>0</v>
      </c>
      <c r="EJ14" s="210">
        <v>2</v>
      </c>
      <c r="EK14" s="211">
        <v>0</v>
      </c>
      <c r="EL14" s="212">
        <v>0</v>
      </c>
      <c r="EM14" s="194">
        <v>2</v>
      </c>
      <c r="EN14" s="29"/>
      <c r="EO14" s="242"/>
      <c r="EP14" s="46" t="s">
        <v>11</v>
      </c>
      <c r="EQ14" s="56" t="s">
        <v>12</v>
      </c>
      <c r="ER14" s="48">
        <v>0</v>
      </c>
      <c r="ES14" s="49">
        <v>0</v>
      </c>
      <c r="ET14" s="50">
        <v>0</v>
      </c>
      <c r="EU14" s="51">
        <v>0</v>
      </c>
      <c r="EV14" s="48">
        <v>0</v>
      </c>
      <c r="EW14" s="49">
        <v>0</v>
      </c>
      <c r="EX14" s="50">
        <v>0</v>
      </c>
      <c r="EY14" s="51">
        <v>0</v>
      </c>
      <c r="EZ14" s="48">
        <v>0</v>
      </c>
      <c r="FA14" s="49">
        <v>0</v>
      </c>
      <c r="FB14" s="50">
        <v>0</v>
      </c>
      <c r="FC14" s="51">
        <v>0</v>
      </c>
      <c r="FD14" s="29"/>
      <c r="FE14" s="242"/>
      <c r="FF14" s="46" t="s">
        <v>11</v>
      </c>
      <c r="FG14" s="56" t="s">
        <v>12</v>
      </c>
      <c r="FH14" s="48">
        <v>0</v>
      </c>
      <c r="FI14" s="49">
        <v>0</v>
      </c>
      <c r="FJ14" s="50">
        <v>0</v>
      </c>
      <c r="FK14" s="51">
        <v>0</v>
      </c>
      <c r="FL14" s="48">
        <v>0</v>
      </c>
      <c r="FM14" s="49">
        <v>0</v>
      </c>
      <c r="FN14" s="50">
        <v>0</v>
      </c>
      <c r="FO14" s="51">
        <v>0</v>
      </c>
      <c r="FP14" s="48">
        <v>0</v>
      </c>
      <c r="FQ14" s="49">
        <v>0</v>
      </c>
      <c r="FR14" s="50">
        <v>0</v>
      </c>
      <c r="FS14" s="51">
        <v>0</v>
      </c>
      <c r="FT14" s="29"/>
      <c r="FU14" s="242"/>
      <c r="FV14" s="46" t="s">
        <v>11</v>
      </c>
      <c r="FW14" s="56" t="s">
        <v>12</v>
      </c>
      <c r="FX14" s="48">
        <v>0</v>
      </c>
      <c r="FY14" s="49">
        <v>0</v>
      </c>
      <c r="FZ14" s="50">
        <v>0</v>
      </c>
      <c r="GA14" s="51">
        <v>0</v>
      </c>
      <c r="GB14" s="48">
        <v>0</v>
      </c>
      <c r="GC14" s="49">
        <v>0</v>
      </c>
      <c r="GD14" s="50">
        <v>0</v>
      </c>
      <c r="GE14" s="51">
        <v>0</v>
      </c>
      <c r="GF14" s="48">
        <v>0</v>
      </c>
      <c r="GG14" s="49">
        <v>0</v>
      </c>
      <c r="GH14" s="50">
        <v>0</v>
      </c>
      <c r="GI14" s="51">
        <v>0</v>
      </c>
      <c r="GJ14" s="29"/>
      <c r="GK14" s="242"/>
      <c r="GL14" s="46" t="s">
        <v>11</v>
      </c>
      <c r="GM14" s="56" t="s">
        <v>12</v>
      </c>
      <c r="GN14" s="41">
        <f t="shared" si="42"/>
        <v>0</v>
      </c>
      <c r="GO14" s="41">
        <f t="shared" si="33"/>
        <v>3</v>
      </c>
      <c r="GP14" s="41">
        <f t="shared" si="34"/>
        <v>0</v>
      </c>
      <c r="GQ14" s="41">
        <f t="shared" si="35"/>
        <v>322</v>
      </c>
      <c r="GR14" s="41">
        <f t="shared" si="43"/>
        <v>0</v>
      </c>
      <c r="GS14" s="41">
        <f t="shared" si="36"/>
        <v>3</v>
      </c>
      <c r="GT14" s="41">
        <f t="shared" si="37"/>
        <v>0</v>
      </c>
      <c r="GU14" s="41">
        <f t="shared" si="38"/>
        <v>244</v>
      </c>
      <c r="GV14" s="41">
        <f t="shared" si="44"/>
        <v>0</v>
      </c>
      <c r="GW14" s="41">
        <f t="shared" si="39"/>
        <v>2</v>
      </c>
      <c r="GX14" s="41">
        <f t="shared" si="40"/>
        <v>0</v>
      </c>
      <c r="GY14" s="41">
        <f t="shared" si="41"/>
        <v>27</v>
      </c>
      <c r="GZ14" s="29"/>
      <c r="HA14" s="31"/>
      <c r="HN14" s="31"/>
    </row>
    <row r="15" spans="1:222" ht="15" customHeight="1" thickBot="1" x14ac:dyDescent="0.3">
      <c r="A15" s="242"/>
      <c r="B15" s="233" t="s">
        <v>14</v>
      </c>
      <c r="C15" s="234"/>
      <c r="D15" s="58">
        <f t="shared" ref="D15:O15" si="45">SUM(D11:D14)</f>
        <v>1887</v>
      </c>
      <c r="E15" s="59">
        <f t="shared" si="45"/>
        <v>0</v>
      </c>
      <c r="F15" s="60">
        <f t="shared" si="45"/>
        <v>0</v>
      </c>
      <c r="G15" s="61">
        <f t="shared" si="45"/>
        <v>375</v>
      </c>
      <c r="H15" s="58">
        <f t="shared" si="45"/>
        <v>711</v>
      </c>
      <c r="I15" s="59">
        <f t="shared" si="45"/>
        <v>0</v>
      </c>
      <c r="J15" s="60">
        <f t="shared" si="45"/>
        <v>0</v>
      </c>
      <c r="K15" s="61">
        <f t="shared" si="45"/>
        <v>265</v>
      </c>
      <c r="L15" s="58">
        <f t="shared" si="45"/>
        <v>37</v>
      </c>
      <c r="M15" s="59">
        <f t="shared" si="45"/>
        <v>0</v>
      </c>
      <c r="N15" s="60">
        <f t="shared" si="45"/>
        <v>0</v>
      </c>
      <c r="O15" s="61">
        <f t="shared" si="45"/>
        <v>0</v>
      </c>
      <c r="P15" s="29"/>
      <c r="Q15" s="242"/>
      <c r="R15" s="233" t="s">
        <v>14</v>
      </c>
      <c r="S15" s="234"/>
      <c r="T15" s="58">
        <f t="shared" ref="T15:AE15" si="46">SUM(T11:T14)</f>
        <v>1887</v>
      </c>
      <c r="U15" s="59">
        <f t="shared" si="46"/>
        <v>0</v>
      </c>
      <c r="V15" s="60">
        <f t="shared" si="46"/>
        <v>0</v>
      </c>
      <c r="W15" s="61">
        <f t="shared" si="46"/>
        <v>235</v>
      </c>
      <c r="X15" s="58">
        <f t="shared" si="46"/>
        <v>711</v>
      </c>
      <c r="Y15" s="59">
        <f t="shared" si="46"/>
        <v>0</v>
      </c>
      <c r="Z15" s="60">
        <f t="shared" si="46"/>
        <v>0</v>
      </c>
      <c r="AA15" s="61">
        <f t="shared" si="46"/>
        <v>186</v>
      </c>
      <c r="AB15" s="58">
        <f t="shared" si="46"/>
        <v>48</v>
      </c>
      <c r="AC15" s="59">
        <f t="shared" si="46"/>
        <v>0</v>
      </c>
      <c r="AD15" s="60">
        <f t="shared" si="46"/>
        <v>352</v>
      </c>
      <c r="AE15" s="61">
        <f t="shared" si="46"/>
        <v>10</v>
      </c>
      <c r="AF15" s="29"/>
      <c r="AG15" s="242"/>
      <c r="AH15" s="233" t="s">
        <v>14</v>
      </c>
      <c r="AI15" s="234"/>
      <c r="AJ15" s="169">
        <v>1901</v>
      </c>
      <c r="AK15" s="170">
        <v>0</v>
      </c>
      <c r="AL15" s="171">
        <v>0</v>
      </c>
      <c r="AM15" s="172">
        <v>300</v>
      </c>
      <c r="AN15" s="170">
        <v>628</v>
      </c>
      <c r="AO15" s="170">
        <v>0</v>
      </c>
      <c r="AP15" s="171">
        <v>0</v>
      </c>
      <c r="AQ15" s="172">
        <v>248</v>
      </c>
      <c r="AR15" s="170">
        <v>48</v>
      </c>
      <c r="AS15" s="170">
        <v>0</v>
      </c>
      <c r="AT15" s="171">
        <v>0</v>
      </c>
      <c r="AU15" s="172">
        <v>40</v>
      </c>
      <c r="AV15" s="29"/>
      <c r="AW15" s="242"/>
      <c r="AX15" s="233" t="s">
        <v>14</v>
      </c>
      <c r="AY15" s="234"/>
      <c r="AZ15" s="58">
        <f t="shared" ref="AZ15:BK15" si="47">SUM(AZ11:AZ14)</f>
        <v>1901</v>
      </c>
      <c r="BA15" s="59">
        <f t="shared" si="47"/>
        <v>0</v>
      </c>
      <c r="BB15" s="60">
        <f t="shared" si="47"/>
        <v>0</v>
      </c>
      <c r="BC15" s="61">
        <f t="shared" si="47"/>
        <v>266</v>
      </c>
      <c r="BD15" s="58">
        <f t="shared" si="47"/>
        <v>718</v>
      </c>
      <c r="BE15" s="59">
        <f t="shared" si="47"/>
        <v>0</v>
      </c>
      <c r="BF15" s="60">
        <f t="shared" si="47"/>
        <v>0</v>
      </c>
      <c r="BG15" s="61">
        <f t="shared" si="47"/>
        <v>223</v>
      </c>
      <c r="BH15" s="58">
        <f t="shared" si="47"/>
        <v>48</v>
      </c>
      <c r="BI15" s="59">
        <f t="shared" si="47"/>
        <v>0</v>
      </c>
      <c r="BJ15" s="60">
        <f t="shared" si="47"/>
        <v>0</v>
      </c>
      <c r="BK15" s="61">
        <f t="shared" si="47"/>
        <v>23</v>
      </c>
      <c r="BL15" s="29"/>
      <c r="BM15" s="242"/>
      <c r="BN15" s="233" t="s">
        <v>14</v>
      </c>
      <c r="BO15" s="234"/>
      <c r="BP15" s="58">
        <f t="shared" ref="BP15:CA15" si="48">SUM(BP11:BP14)</f>
        <v>1901</v>
      </c>
      <c r="BQ15" s="59">
        <f t="shared" si="48"/>
        <v>6</v>
      </c>
      <c r="BR15" s="60">
        <f t="shared" si="48"/>
        <v>0</v>
      </c>
      <c r="BS15" s="61">
        <f t="shared" si="48"/>
        <v>178</v>
      </c>
      <c r="BT15" s="58">
        <f t="shared" si="48"/>
        <v>718</v>
      </c>
      <c r="BU15" s="59">
        <f t="shared" si="48"/>
        <v>5</v>
      </c>
      <c r="BV15" s="60">
        <f t="shared" si="48"/>
        <v>0</v>
      </c>
      <c r="BW15" s="61">
        <f t="shared" si="48"/>
        <v>109</v>
      </c>
      <c r="BX15" s="58">
        <f t="shared" si="48"/>
        <v>37</v>
      </c>
      <c r="BY15" s="59">
        <f t="shared" si="48"/>
        <v>0</v>
      </c>
      <c r="BZ15" s="60">
        <f t="shared" si="48"/>
        <v>0</v>
      </c>
      <c r="CA15" s="61">
        <f t="shared" si="48"/>
        <v>15</v>
      </c>
      <c r="CB15" s="29"/>
      <c r="CC15" s="242"/>
      <c r="CD15" s="233" t="s">
        <v>14</v>
      </c>
      <c r="CE15" s="234"/>
      <c r="CF15" s="58">
        <f t="shared" ref="CF15:CQ15" si="49">SUM(CF11:CF14)</f>
        <v>0</v>
      </c>
      <c r="CG15" s="59">
        <f t="shared" si="49"/>
        <v>0</v>
      </c>
      <c r="CH15" s="60">
        <f t="shared" si="49"/>
        <v>0</v>
      </c>
      <c r="CI15" s="61">
        <f t="shared" si="49"/>
        <v>0</v>
      </c>
      <c r="CJ15" s="58">
        <f t="shared" si="49"/>
        <v>0</v>
      </c>
      <c r="CK15" s="59">
        <f t="shared" si="49"/>
        <v>0</v>
      </c>
      <c r="CL15" s="60">
        <f t="shared" si="49"/>
        <v>0</v>
      </c>
      <c r="CM15" s="61">
        <f t="shared" si="49"/>
        <v>0</v>
      </c>
      <c r="CN15" s="58">
        <f t="shared" si="49"/>
        <v>0</v>
      </c>
      <c r="CO15" s="59">
        <f t="shared" si="49"/>
        <v>0</v>
      </c>
      <c r="CP15" s="60">
        <f t="shared" si="49"/>
        <v>0</v>
      </c>
      <c r="CQ15" s="61">
        <f t="shared" si="49"/>
        <v>0</v>
      </c>
      <c r="CR15" s="29"/>
      <c r="CS15" s="242"/>
      <c r="CT15" s="233" t="s">
        <v>14</v>
      </c>
      <c r="CU15" s="234"/>
      <c r="CV15" s="169">
        <v>1887</v>
      </c>
      <c r="CW15" s="170">
        <v>0</v>
      </c>
      <c r="CX15" s="171">
        <v>0</v>
      </c>
      <c r="CY15" s="172">
        <v>330</v>
      </c>
      <c r="CZ15" s="170">
        <v>711</v>
      </c>
      <c r="DA15" s="170">
        <v>0</v>
      </c>
      <c r="DB15" s="171">
        <v>0</v>
      </c>
      <c r="DC15" s="172">
        <v>212</v>
      </c>
      <c r="DD15" s="170">
        <v>51</v>
      </c>
      <c r="DE15" s="170">
        <v>11</v>
      </c>
      <c r="DF15" s="171">
        <v>0</v>
      </c>
      <c r="DG15" s="172">
        <v>15</v>
      </c>
      <c r="DH15" s="29"/>
      <c r="DI15" s="242"/>
      <c r="DJ15" s="233" t="s">
        <v>14</v>
      </c>
      <c r="DK15" s="234"/>
      <c r="DL15" s="199">
        <f t="shared" ref="DL15:DW15" si="50">SUM(DL11:DL14)</f>
        <v>1901</v>
      </c>
      <c r="DM15" s="200">
        <f t="shared" si="50"/>
        <v>0</v>
      </c>
      <c r="DN15" s="201">
        <f t="shared" si="50"/>
        <v>0</v>
      </c>
      <c r="DO15" s="202">
        <f t="shared" si="50"/>
        <v>326</v>
      </c>
      <c r="DP15" s="199">
        <f t="shared" si="50"/>
        <v>718</v>
      </c>
      <c r="DQ15" s="200">
        <f t="shared" si="50"/>
        <v>0</v>
      </c>
      <c r="DR15" s="201">
        <f t="shared" si="50"/>
        <v>0</v>
      </c>
      <c r="DS15" s="202">
        <f t="shared" si="50"/>
        <v>258</v>
      </c>
      <c r="DT15" s="199">
        <f t="shared" si="50"/>
        <v>48</v>
      </c>
      <c r="DU15" s="200">
        <f t="shared" si="50"/>
        <v>0</v>
      </c>
      <c r="DV15" s="201">
        <f t="shared" si="50"/>
        <v>0</v>
      </c>
      <c r="DW15" s="202">
        <f t="shared" si="50"/>
        <v>38</v>
      </c>
      <c r="DX15" s="29"/>
      <c r="DY15" s="242"/>
      <c r="DZ15" s="233" t="s">
        <v>14</v>
      </c>
      <c r="EA15" s="234"/>
      <c r="EB15" s="199">
        <f t="shared" ref="EB15:EM15" si="51">SUM(EB11:EB14)</f>
        <v>821</v>
      </c>
      <c r="EC15" s="200">
        <f t="shared" si="51"/>
        <v>19</v>
      </c>
      <c r="ED15" s="201">
        <f t="shared" si="51"/>
        <v>0</v>
      </c>
      <c r="EE15" s="202">
        <f t="shared" si="51"/>
        <v>85</v>
      </c>
      <c r="EF15" s="199">
        <f t="shared" si="51"/>
        <v>571</v>
      </c>
      <c r="EG15" s="200">
        <f t="shared" si="51"/>
        <v>14</v>
      </c>
      <c r="EH15" s="201">
        <f t="shared" si="51"/>
        <v>0</v>
      </c>
      <c r="EI15" s="202">
        <f t="shared" si="51"/>
        <v>0</v>
      </c>
      <c r="EJ15" s="199">
        <f t="shared" si="51"/>
        <v>35</v>
      </c>
      <c r="EK15" s="200">
        <f t="shared" si="51"/>
        <v>0</v>
      </c>
      <c r="EL15" s="201">
        <f t="shared" si="51"/>
        <v>0</v>
      </c>
      <c r="EM15" s="202">
        <f t="shared" si="51"/>
        <v>13</v>
      </c>
      <c r="EN15" s="29"/>
      <c r="EO15" s="242"/>
      <c r="EP15" s="233" t="s">
        <v>14</v>
      </c>
      <c r="EQ15" s="234"/>
      <c r="ER15" s="58">
        <f t="shared" ref="ER15:FC15" si="52">SUM(ER11:ER14)</f>
        <v>0</v>
      </c>
      <c r="ES15" s="59">
        <f t="shared" si="52"/>
        <v>0</v>
      </c>
      <c r="ET15" s="60">
        <f t="shared" si="52"/>
        <v>0</v>
      </c>
      <c r="EU15" s="61">
        <f t="shared" si="52"/>
        <v>0</v>
      </c>
      <c r="EV15" s="58">
        <f t="shared" si="52"/>
        <v>0</v>
      </c>
      <c r="EW15" s="59">
        <f t="shared" si="52"/>
        <v>0</v>
      </c>
      <c r="EX15" s="60">
        <f t="shared" si="52"/>
        <v>0</v>
      </c>
      <c r="EY15" s="61">
        <f t="shared" si="52"/>
        <v>0</v>
      </c>
      <c r="EZ15" s="58">
        <f t="shared" si="52"/>
        <v>0</v>
      </c>
      <c r="FA15" s="59">
        <f t="shared" si="52"/>
        <v>0</v>
      </c>
      <c r="FB15" s="60">
        <f t="shared" si="52"/>
        <v>0</v>
      </c>
      <c r="FC15" s="61">
        <f t="shared" si="52"/>
        <v>0</v>
      </c>
      <c r="FD15" s="29"/>
      <c r="FE15" s="242"/>
      <c r="FF15" s="233" t="s">
        <v>14</v>
      </c>
      <c r="FG15" s="234"/>
      <c r="FH15" s="58">
        <f t="shared" ref="FH15:FS15" si="53">SUM(FH11:FH14)</f>
        <v>0</v>
      </c>
      <c r="FI15" s="59">
        <f t="shared" si="53"/>
        <v>0</v>
      </c>
      <c r="FJ15" s="60">
        <f t="shared" si="53"/>
        <v>0</v>
      </c>
      <c r="FK15" s="61">
        <f t="shared" si="53"/>
        <v>0</v>
      </c>
      <c r="FL15" s="58">
        <f t="shared" si="53"/>
        <v>0</v>
      </c>
      <c r="FM15" s="59">
        <f t="shared" si="53"/>
        <v>0</v>
      </c>
      <c r="FN15" s="60">
        <f t="shared" si="53"/>
        <v>0</v>
      </c>
      <c r="FO15" s="61">
        <f t="shared" si="53"/>
        <v>0</v>
      </c>
      <c r="FP15" s="58">
        <f t="shared" si="53"/>
        <v>0</v>
      </c>
      <c r="FQ15" s="59">
        <f t="shared" si="53"/>
        <v>0</v>
      </c>
      <c r="FR15" s="60">
        <f t="shared" si="53"/>
        <v>0</v>
      </c>
      <c r="FS15" s="61">
        <f t="shared" si="53"/>
        <v>0</v>
      </c>
      <c r="FT15" s="29"/>
      <c r="FU15" s="242"/>
      <c r="FV15" s="233" t="s">
        <v>14</v>
      </c>
      <c r="FW15" s="234"/>
      <c r="FX15" s="58">
        <f t="shared" ref="FX15:GI15" si="54">SUM(FX11:FX14)</f>
        <v>0</v>
      </c>
      <c r="FY15" s="59">
        <f t="shared" si="54"/>
        <v>0</v>
      </c>
      <c r="FZ15" s="60">
        <f t="shared" si="54"/>
        <v>0</v>
      </c>
      <c r="GA15" s="61">
        <f t="shared" si="54"/>
        <v>0</v>
      </c>
      <c r="GB15" s="58">
        <f t="shared" si="54"/>
        <v>0</v>
      </c>
      <c r="GC15" s="59">
        <f t="shared" si="54"/>
        <v>0</v>
      </c>
      <c r="GD15" s="60">
        <f t="shared" si="54"/>
        <v>0</v>
      </c>
      <c r="GE15" s="61">
        <f t="shared" si="54"/>
        <v>0</v>
      </c>
      <c r="GF15" s="58">
        <f t="shared" si="54"/>
        <v>0</v>
      </c>
      <c r="GG15" s="59">
        <f t="shared" si="54"/>
        <v>0</v>
      </c>
      <c r="GH15" s="60">
        <f t="shared" si="54"/>
        <v>0</v>
      </c>
      <c r="GI15" s="61">
        <f t="shared" si="54"/>
        <v>0</v>
      </c>
      <c r="GJ15" s="29"/>
      <c r="GK15" s="242"/>
      <c r="GL15" s="233" t="s">
        <v>14</v>
      </c>
      <c r="GM15" s="234"/>
      <c r="GN15" s="62">
        <f t="shared" ref="GN15:GY15" si="55">SUM(GN11:GN14)</f>
        <v>0</v>
      </c>
      <c r="GO15" s="63">
        <f t="shared" si="55"/>
        <v>25</v>
      </c>
      <c r="GP15" s="64">
        <f t="shared" si="55"/>
        <v>0</v>
      </c>
      <c r="GQ15" s="64">
        <f t="shared" si="55"/>
        <v>2095</v>
      </c>
      <c r="GR15" s="62">
        <f t="shared" si="55"/>
        <v>0</v>
      </c>
      <c r="GS15" s="63">
        <f t="shared" si="55"/>
        <v>19</v>
      </c>
      <c r="GT15" s="64">
        <f t="shared" si="55"/>
        <v>0</v>
      </c>
      <c r="GU15" s="64">
        <f t="shared" si="55"/>
        <v>1501</v>
      </c>
      <c r="GV15" s="62">
        <f t="shared" si="55"/>
        <v>0</v>
      </c>
      <c r="GW15" s="63">
        <f t="shared" si="55"/>
        <v>11</v>
      </c>
      <c r="GX15" s="64">
        <f t="shared" si="55"/>
        <v>352</v>
      </c>
      <c r="GY15" s="64">
        <f t="shared" si="55"/>
        <v>154</v>
      </c>
      <c r="GZ15" s="29"/>
      <c r="HA15" s="31"/>
      <c r="HN15" s="31"/>
    </row>
    <row r="16" spans="1:222" ht="15" customHeight="1" thickTop="1" thickBot="1" x14ac:dyDescent="0.3">
      <c r="A16" s="243"/>
      <c r="B16" s="65" t="s">
        <v>15</v>
      </c>
      <c r="C16" s="65"/>
      <c r="D16" s="66"/>
      <c r="E16" s="66" t="s">
        <v>2</v>
      </c>
      <c r="F16" s="66"/>
      <c r="G16" s="66">
        <v>0</v>
      </c>
      <c r="H16" s="66"/>
      <c r="I16" s="66" t="s">
        <v>16</v>
      </c>
      <c r="J16" s="66"/>
      <c r="K16" s="66">
        <v>0</v>
      </c>
      <c r="L16" s="66"/>
      <c r="M16" s="66" t="s">
        <v>17</v>
      </c>
      <c r="N16" s="232">
        <v>0</v>
      </c>
      <c r="O16" s="232"/>
      <c r="P16" s="29"/>
      <c r="Q16" s="243"/>
      <c r="R16" s="65" t="s">
        <v>15</v>
      </c>
      <c r="S16" s="65"/>
      <c r="T16" s="66"/>
      <c r="U16" s="66" t="s">
        <v>2</v>
      </c>
      <c r="V16" s="66"/>
      <c r="W16" s="66">
        <v>0</v>
      </c>
      <c r="X16" s="66"/>
      <c r="Y16" s="66" t="s">
        <v>16</v>
      </c>
      <c r="Z16" s="66"/>
      <c r="AA16" s="66">
        <v>0</v>
      </c>
      <c r="AB16" s="66"/>
      <c r="AC16" s="66" t="s">
        <v>17</v>
      </c>
      <c r="AD16" s="232">
        <v>0</v>
      </c>
      <c r="AE16" s="232"/>
      <c r="AF16" s="29"/>
      <c r="AG16" s="243"/>
      <c r="AH16" s="65" t="s">
        <v>15</v>
      </c>
      <c r="AI16" s="65"/>
      <c r="AJ16" s="173"/>
      <c r="AK16" s="174" t="s">
        <v>2</v>
      </c>
      <c r="AL16" s="173"/>
      <c r="AM16" s="175">
        <v>0</v>
      </c>
      <c r="AN16" s="173"/>
      <c r="AO16" s="174" t="s">
        <v>16</v>
      </c>
      <c r="AP16" s="173"/>
      <c r="AQ16" s="175">
        <v>0</v>
      </c>
      <c r="AR16" s="173"/>
      <c r="AS16" s="175" t="s">
        <v>17</v>
      </c>
      <c r="AT16" s="249">
        <v>0</v>
      </c>
      <c r="AU16" s="250"/>
      <c r="AV16" s="29"/>
      <c r="AW16" s="243"/>
      <c r="AX16" s="65" t="s">
        <v>15</v>
      </c>
      <c r="AY16" s="65"/>
      <c r="AZ16" s="66"/>
      <c r="BA16" s="66" t="s">
        <v>2</v>
      </c>
      <c r="BB16" s="66"/>
      <c r="BC16" s="66">
        <v>0</v>
      </c>
      <c r="BD16" s="66"/>
      <c r="BE16" s="66" t="s">
        <v>16</v>
      </c>
      <c r="BF16" s="66"/>
      <c r="BG16" s="66">
        <v>0</v>
      </c>
      <c r="BH16" s="66"/>
      <c r="BI16" s="66" t="s">
        <v>17</v>
      </c>
      <c r="BJ16" s="232">
        <v>0</v>
      </c>
      <c r="BK16" s="232"/>
      <c r="BL16" s="29"/>
      <c r="BM16" s="243"/>
      <c r="BN16" s="65" t="s">
        <v>15</v>
      </c>
      <c r="BO16" s="65"/>
      <c r="BP16" s="66"/>
      <c r="BQ16" s="66" t="s">
        <v>2</v>
      </c>
      <c r="BR16" s="66"/>
      <c r="BS16" s="66">
        <v>0</v>
      </c>
      <c r="BT16" s="66"/>
      <c r="BU16" s="66" t="s">
        <v>16</v>
      </c>
      <c r="BV16" s="66"/>
      <c r="BW16" s="66">
        <v>0</v>
      </c>
      <c r="BX16" s="66"/>
      <c r="BY16" s="66" t="s">
        <v>17</v>
      </c>
      <c r="BZ16" s="232">
        <v>0</v>
      </c>
      <c r="CA16" s="232"/>
      <c r="CB16" s="29"/>
      <c r="CC16" s="243"/>
      <c r="CD16" s="65" t="s">
        <v>15</v>
      </c>
      <c r="CE16" s="65"/>
      <c r="CF16" s="66"/>
      <c r="CG16" s="66" t="s">
        <v>2</v>
      </c>
      <c r="CH16" s="66"/>
      <c r="CI16" s="66">
        <v>0</v>
      </c>
      <c r="CJ16" s="66"/>
      <c r="CK16" s="66" t="s">
        <v>16</v>
      </c>
      <c r="CL16" s="66"/>
      <c r="CM16" s="66">
        <v>0</v>
      </c>
      <c r="CN16" s="66"/>
      <c r="CO16" s="66" t="s">
        <v>17</v>
      </c>
      <c r="CP16" s="232">
        <v>0</v>
      </c>
      <c r="CQ16" s="232"/>
      <c r="CR16" s="29"/>
      <c r="CS16" s="243"/>
      <c r="CT16" s="65" t="s">
        <v>15</v>
      </c>
      <c r="CU16" s="65"/>
      <c r="CV16" s="182"/>
      <c r="CW16" s="183" t="s">
        <v>2</v>
      </c>
      <c r="CX16" s="182"/>
      <c r="CY16" s="184">
        <v>0</v>
      </c>
      <c r="CZ16" s="182"/>
      <c r="DA16" s="183" t="s">
        <v>16</v>
      </c>
      <c r="DB16" s="182"/>
      <c r="DC16" s="184">
        <v>0</v>
      </c>
      <c r="DD16" s="182"/>
      <c r="DE16" s="184" t="s">
        <v>17</v>
      </c>
      <c r="DF16" s="249">
        <v>0</v>
      </c>
      <c r="DG16" s="250"/>
      <c r="DH16" s="29"/>
      <c r="DI16" s="243"/>
      <c r="DJ16" s="65" t="s">
        <v>15</v>
      </c>
      <c r="DK16" s="65"/>
      <c r="DL16" s="203"/>
      <c r="DM16" s="203" t="s">
        <v>2</v>
      </c>
      <c r="DN16" s="203"/>
      <c r="DO16" s="203">
        <v>0</v>
      </c>
      <c r="DP16" s="203"/>
      <c r="DQ16" s="203" t="s">
        <v>16</v>
      </c>
      <c r="DR16" s="203"/>
      <c r="DS16" s="203">
        <v>0</v>
      </c>
      <c r="DT16" s="203"/>
      <c r="DU16" s="203" t="s">
        <v>17</v>
      </c>
      <c r="DV16" s="247">
        <v>0</v>
      </c>
      <c r="DW16" s="248"/>
      <c r="DX16" s="29"/>
      <c r="DY16" s="243"/>
      <c r="DZ16" s="65" t="s">
        <v>15</v>
      </c>
      <c r="EA16" s="65"/>
      <c r="EB16" s="66"/>
      <c r="EC16" s="66" t="s">
        <v>2</v>
      </c>
      <c r="ED16" s="66"/>
      <c r="EE16" s="66">
        <v>0</v>
      </c>
      <c r="EF16" s="66"/>
      <c r="EG16" s="66" t="s">
        <v>16</v>
      </c>
      <c r="EH16" s="66"/>
      <c r="EI16" s="66">
        <v>0</v>
      </c>
      <c r="EJ16" s="66"/>
      <c r="EK16" s="66" t="s">
        <v>17</v>
      </c>
      <c r="EL16" s="232">
        <v>0</v>
      </c>
      <c r="EM16" s="232"/>
      <c r="EN16" s="29"/>
      <c r="EO16" s="243"/>
      <c r="EP16" s="65" t="s">
        <v>15</v>
      </c>
      <c r="EQ16" s="65"/>
      <c r="ER16" s="66"/>
      <c r="ES16" s="66" t="s">
        <v>2</v>
      </c>
      <c r="ET16" s="66"/>
      <c r="EU16" s="66">
        <v>0</v>
      </c>
      <c r="EV16" s="66"/>
      <c r="EW16" s="66" t="s">
        <v>16</v>
      </c>
      <c r="EX16" s="66"/>
      <c r="EY16" s="66">
        <v>0</v>
      </c>
      <c r="EZ16" s="66"/>
      <c r="FA16" s="66" t="s">
        <v>17</v>
      </c>
      <c r="FB16" s="232">
        <v>0</v>
      </c>
      <c r="FC16" s="232"/>
      <c r="FD16" s="29"/>
      <c r="FE16" s="243"/>
      <c r="FF16" s="65" t="s">
        <v>15</v>
      </c>
      <c r="FG16" s="65"/>
      <c r="FH16" s="66"/>
      <c r="FI16" s="66" t="s">
        <v>2</v>
      </c>
      <c r="FJ16" s="66"/>
      <c r="FK16" s="66">
        <v>0</v>
      </c>
      <c r="FL16" s="66"/>
      <c r="FM16" s="66" t="s">
        <v>16</v>
      </c>
      <c r="FN16" s="66"/>
      <c r="FO16" s="66">
        <v>0</v>
      </c>
      <c r="FP16" s="66"/>
      <c r="FQ16" s="66" t="s">
        <v>17</v>
      </c>
      <c r="FR16" s="232">
        <v>0</v>
      </c>
      <c r="FS16" s="232"/>
      <c r="FT16" s="29"/>
      <c r="FU16" s="243"/>
      <c r="FV16" s="65" t="s">
        <v>15</v>
      </c>
      <c r="FW16" s="65"/>
      <c r="FX16" s="66"/>
      <c r="FY16" s="66" t="s">
        <v>2</v>
      </c>
      <c r="FZ16" s="66"/>
      <c r="GA16" s="66">
        <v>0</v>
      </c>
      <c r="GB16" s="66"/>
      <c r="GC16" s="66" t="s">
        <v>16</v>
      </c>
      <c r="GD16" s="66"/>
      <c r="GE16" s="66">
        <v>0</v>
      </c>
      <c r="GF16" s="66"/>
      <c r="GG16" s="66" t="s">
        <v>17</v>
      </c>
      <c r="GH16" s="232">
        <v>0</v>
      </c>
      <c r="GI16" s="232"/>
      <c r="GJ16" s="29"/>
      <c r="GK16" s="243"/>
      <c r="GL16" s="65" t="s">
        <v>15</v>
      </c>
      <c r="GM16" s="65"/>
      <c r="GN16" s="66"/>
      <c r="GO16" s="66" t="s">
        <v>2</v>
      </c>
      <c r="GP16" s="66"/>
      <c r="GQ16" s="66"/>
      <c r="GR16" s="66">
        <f>G16+W16+AM16+BC16+BS16+CI16+CY16+DO16+EE16+EU16+FK16+GA16</f>
        <v>0</v>
      </c>
      <c r="GS16" s="66" t="s">
        <v>16</v>
      </c>
      <c r="GT16" s="66"/>
      <c r="GU16" s="66"/>
      <c r="GV16" s="66">
        <f>K16+AA16+AQ16+BG16+BW16+CM16+DC16+DS16+EI16+EY16+FO16+GE16</f>
        <v>0</v>
      </c>
      <c r="GW16" s="66" t="s">
        <v>17</v>
      </c>
      <c r="GX16" s="66"/>
      <c r="GY16" s="66">
        <f>N16+AD16+AT16+BJ16+BZ16+CP16+DF16+DV16+EL16+FB16+FR16+GH16</f>
        <v>0</v>
      </c>
      <c r="GZ16" s="29"/>
      <c r="HA16" s="31"/>
      <c r="HN16" s="31"/>
    </row>
    <row r="17" spans="1:222" ht="15" customHeight="1" thickTop="1" thickBot="1" x14ac:dyDescent="0.3">
      <c r="A17" s="241" t="s">
        <v>26</v>
      </c>
      <c r="B17" s="38"/>
      <c r="C17" s="39" t="s">
        <v>10</v>
      </c>
      <c r="D17" s="160">
        <v>90</v>
      </c>
      <c r="E17" s="161">
        <v>9</v>
      </c>
      <c r="F17" s="161">
        <v>20</v>
      </c>
      <c r="G17" s="162">
        <v>152</v>
      </c>
      <c r="H17" s="161">
        <v>78</v>
      </c>
      <c r="I17" s="161">
        <v>2</v>
      </c>
      <c r="J17" s="161">
        <v>25</v>
      </c>
      <c r="K17" s="162">
        <v>237</v>
      </c>
      <c r="L17" s="161">
        <v>0</v>
      </c>
      <c r="M17" s="161">
        <v>0</v>
      </c>
      <c r="N17" s="149">
        <v>0</v>
      </c>
      <c r="O17" s="43">
        <v>0</v>
      </c>
      <c r="P17" s="29"/>
      <c r="Q17" s="241" t="s">
        <v>26</v>
      </c>
      <c r="R17" s="38"/>
      <c r="S17" s="39" t="s">
        <v>10</v>
      </c>
      <c r="T17" s="40">
        <v>0</v>
      </c>
      <c r="U17" s="41">
        <v>0</v>
      </c>
      <c r="V17" s="42">
        <v>0</v>
      </c>
      <c r="W17" s="43">
        <v>0</v>
      </c>
      <c r="X17" s="40">
        <v>0</v>
      </c>
      <c r="Y17" s="41">
        <v>0</v>
      </c>
      <c r="Z17" s="42">
        <v>0</v>
      </c>
      <c r="AA17" s="43">
        <v>0</v>
      </c>
      <c r="AB17" s="40">
        <v>0</v>
      </c>
      <c r="AC17" s="41">
        <v>0</v>
      </c>
      <c r="AD17" s="42">
        <v>0</v>
      </c>
      <c r="AE17" s="43">
        <v>0</v>
      </c>
      <c r="AF17" s="29"/>
      <c r="AG17" s="241" t="s">
        <v>26</v>
      </c>
      <c r="AH17" s="38"/>
      <c r="AI17" s="39" t="s">
        <v>10</v>
      </c>
      <c r="AJ17" s="156">
        <v>0</v>
      </c>
      <c r="AK17" s="157">
        <v>0</v>
      </c>
      <c r="AL17" s="158">
        <v>0</v>
      </c>
      <c r="AM17" s="159">
        <v>0</v>
      </c>
      <c r="AN17" s="157">
        <v>0</v>
      </c>
      <c r="AO17" s="157">
        <v>0</v>
      </c>
      <c r="AP17" s="158">
        <v>0</v>
      </c>
      <c r="AQ17" s="159">
        <v>0</v>
      </c>
      <c r="AR17" s="157">
        <v>0</v>
      </c>
      <c r="AS17" s="157">
        <v>0</v>
      </c>
      <c r="AT17" s="158">
        <v>0</v>
      </c>
      <c r="AU17" s="159">
        <v>0</v>
      </c>
      <c r="AV17" s="29"/>
      <c r="AW17" s="241" t="s">
        <v>26</v>
      </c>
      <c r="AX17" s="38"/>
      <c r="AY17" s="39" t="s">
        <v>10</v>
      </c>
      <c r="AZ17" s="148">
        <v>184</v>
      </c>
      <c r="BA17" s="149">
        <v>10</v>
      </c>
      <c r="BB17" s="150">
        <v>49</v>
      </c>
      <c r="BC17" s="151">
        <v>122</v>
      </c>
      <c r="BD17" s="149">
        <v>254</v>
      </c>
      <c r="BE17" s="149">
        <v>7</v>
      </c>
      <c r="BF17" s="150">
        <v>18</v>
      </c>
      <c r="BG17" s="151">
        <v>135</v>
      </c>
      <c r="BH17" s="149">
        <v>0</v>
      </c>
      <c r="BI17" s="149">
        <v>0</v>
      </c>
      <c r="BJ17" s="150">
        <v>0</v>
      </c>
      <c r="BK17" s="151">
        <v>1</v>
      </c>
      <c r="BL17" s="29"/>
      <c r="BM17" s="241" t="s">
        <v>26</v>
      </c>
      <c r="BN17" s="38"/>
      <c r="BO17" s="39" t="s">
        <v>10</v>
      </c>
      <c r="BP17" s="148">
        <v>184</v>
      </c>
      <c r="BQ17" s="149">
        <v>2</v>
      </c>
      <c r="BR17" s="150">
        <v>31</v>
      </c>
      <c r="BS17" s="151">
        <v>258</v>
      </c>
      <c r="BT17" s="149">
        <v>259</v>
      </c>
      <c r="BU17" s="149">
        <v>1</v>
      </c>
      <c r="BV17" s="150">
        <v>9</v>
      </c>
      <c r="BW17" s="151">
        <v>214</v>
      </c>
      <c r="BX17" s="149">
        <v>3</v>
      </c>
      <c r="BY17" s="149">
        <v>1</v>
      </c>
      <c r="BZ17" s="150">
        <v>0</v>
      </c>
      <c r="CA17" s="151">
        <v>1</v>
      </c>
      <c r="CB17" s="29"/>
      <c r="CC17" s="241" t="s">
        <v>26</v>
      </c>
      <c r="CD17" s="38"/>
      <c r="CE17" s="39" t="s">
        <v>10</v>
      </c>
      <c r="CF17" s="148">
        <v>125</v>
      </c>
      <c r="CG17" s="149">
        <v>5</v>
      </c>
      <c r="CH17" s="150">
        <v>35</v>
      </c>
      <c r="CI17" s="151">
        <v>122</v>
      </c>
      <c r="CJ17" s="149">
        <v>158</v>
      </c>
      <c r="CK17" s="149">
        <v>7</v>
      </c>
      <c r="CL17" s="150">
        <v>10</v>
      </c>
      <c r="CM17" s="151">
        <v>135</v>
      </c>
      <c r="CN17" s="149">
        <v>0</v>
      </c>
      <c r="CO17" s="149">
        <v>0</v>
      </c>
      <c r="CP17" s="150">
        <v>0</v>
      </c>
      <c r="CQ17" s="151">
        <v>1</v>
      </c>
      <c r="CR17" s="29"/>
      <c r="CS17" s="241" t="s">
        <v>26</v>
      </c>
      <c r="CT17" s="38"/>
      <c r="CU17" s="39" t="s">
        <v>10</v>
      </c>
      <c r="CV17" s="163">
        <v>180</v>
      </c>
      <c r="CW17" s="157">
        <v>9</v>
      </c>
      <c r="CX17" s="157">
        <v>58</v>
      </c>
      <c r="CY17" s="164">
        <v>0</v>
      </c>
      <c r="CZ17" s="157">
        <v>190</v>
      </c>
      <c r="DA17" s="157">
        <v>9000</v>
      </c>
      <c r="DB17" s="157">
        <v>40</v>
      </c>
      <c r="DC17" s="164">
        <v>0</v>
      </c>
      <c r="DD17" s="157">
        <v>0</v>
      </c>
      <c r="DE17" s="157">
        <v>0</v>
      </c>
      <c r="DF17" s="157">
        <v>0</v>
      </c>
      <c r="DG17" s="159">
        <v>0</v>
      </c>
      <c r="DH17" s="29"/>
      <c r="DI17" s="241" t="s">
        <v>26</v>
      </c>
      <c r="DJ17" s="38"/>
      <c r="DK17" s="39" t="s">
        <v>10</v>
      </c>
      <c r="DL17" s="204"/>
      <c r="DM17" s="205" t="s">
        <v>2</v>
      </c>
      <c r="DN17" s="204"/>
      <c r="DO17" s="206">
        <v>0</v>
      </c>
      <c r="DP17" s="204"/>
      <c r="DQ17" s="205" t="s">
        <v>16</v>
      </c>
      <c r="DR17" s="204"/>
      <c r="DS17" s="206">
        <v>0</v>
      </c>
      <c r="DT17" s="204"/>
      <c r="DU17" s="206" t="s">
        <v>17</v>
      </c>
      <c r="DV17" s="256">
        <v>0</v>
      </c>
      <c r="DW17" s="257"/>
      <c r="DX17" s="29"/>
      <c r="DY17" s="241" t="s">
        <v>26</v>
      </c>
      <c r="DZ17" s="38"/>
      <c r="EA17" s="39" t="s">
        <v>10</v>
      </c>
      <c r="EB17" s="207">
        <v>255</v>
      </c>
      <c r="EC17" s="208">
        <v>4</v>
      </c>
      <c r="ED17" s="209">
        <v>0</v>
      </c>
      <c r="EE17" s="189">
        <v>42</v>
      </c>
      <c r="EF17" s="207">
        <v>185</v>
      </c>
      <c r="EG17" s="208">
        <v>2</v>
      </c>
      <c r="EH17" s="209">
        <v>0</v>
      </c>
      <c r="EI17" s="189">
        <v>0</v>
      </c>
      <c r="EJ17" s="207">
        <v>5</v>
      </c>
      <c r="EK17" s="208">
        <v>0</v>
      </c>
      <c r="EL17" s="209">
        <v>0</v>
      </c>
      <c r="EM17" s="189">
        <v>0</v>
      </c>
      <c r="EN17" s="29"/>
      <c r="EO17" s="241" t="s">
        <v>26</v>
      </c>
      <c r="EP17" s="38"/>
      <c r="EQ17" s="39" t="s">
        <v>10</v>
      </c>
      <c r="ER17" s="207">
        <v>255</v>
      </c>
      <c r="ES17" s="208">
        <v>4</v>
      </c>
      <c r="ET17" s="209">
        <v>0</v>
      </c>
      <c r="EU17" s="189">
        <v>80</v>
      </c>
      <c r="EV17" s="207">
        <v>185</v>
      </c>
      <c r="EW17" s="208">
        <v>2</v>
      </c>
      <c r="EX17" s="209">
        <v>0</v>
      </c>
      <c r="EY17" s="189">
        <v>0</v>
      </c>
      <c r="EZ17" s="207">
        <v>5</v>
      </c>
      <c r="FA17" s="208">
        <v>0</v>
      </c>
      <c r="FB17" s="209">
        <v>0</v>
      </c>
      <c r="FC17" s="189">
        <v>0</v>
      </c>
      <c r="FD17" s="29"/>
      <c r="FE17" s="241" t="s">
        <v>26</v>
      </c>
      <c r="FF17" s="38"/>
      <c r="FG17" s="39" t="s">
        <v>10</v>
      </c>
      <c r="FH17" s="40">
        <v>0</v>
      </c>
      <c r="FI17" s="41">
        <v>0</v>
      </c>
      <c r="FJ17" s="42">
        <v>0</v>
      </c>
      <c r="FK17" s="43">
        <v>0</v>
      </c>
      <c r="FL17" s="40">
        <v>0</v>
      </c>
      <c r="FM17" s="41">
        <v>0</v>
      </c>
      <c r="FN17" s="42">
        <v>0</v>
      </c>
      <c r="FO17" s="43">
        <v>0</v>
      </c>
      <c r="FP17" s="40">
        <v>0</v>
      </c>
      <c r="FQ17" s="41">
        <v>0</v>
      </c>
      <c r="FR17" s="42">
        <v>0</v>
      </c>
      <c r="FS17" s="43">
        <v>0</v>
      </c>
      <c r="FT17" s="29"/>
      <c r="FU17" s="241" t="s">
        <v>26</v>
      </c>
      <c r="FV17" s="38"/>
      <c r="FW17" s="39" t="s">
        <v>10</v>
      </c>
      <c r="FX17" s="40">
        <v>0</v>
      </c>
      <c r="FY17" s="41">
        <v>0</v>
      </c>
      <c r="FZ17" s="42">
        <v>0</v>
      </c>
      <c r="GA17" s="43">
        <v>0</v>
      </c>
      <c r="GB17" s="40">
        <v>0</v>
      </c>
      <c r="GC17" s="41">
        <v>0</v>
      </c>
      <c r="GD17" s="42">
        <v>0</v>
      </c>
      <c r="GE17" s="43">
        <v>0</v>
      </c>
      <c r="GF17" s="40">
        <v>0</v>
      </c>
      <c r="GG17" s="41">
        <v>0</v>
      </c>
      <c r="GH17" s="42">
        <v>0</v>
      </c>
      <c r="GI17" s="43">
        <v>0</v>
      </c>
      <c r="GJ17" s="29"/>
      <c r="GK17" s="241" t="str">
        <f t="shared" ref="GK17" si="56">FU17</f>
        <v>السليمانية</v>
      </c>
      <c r="GL17" s="38"/>
      <c r="GM17" s="39" t="s">
        <v>10</v>
      </c>
      <c r="GN17" s="41">
        <f>FX17</f>
        <v>0</v>
      </c>
      <c r="GO17" s="41" t="e">
        <f t="shared" ref="GO17:GO20" si="57">E17+U17+AK17+BA17+BQ17+CG17++CW17+DM17+EC17+ES17+FI17+FY17</f>
        <v>#VALUE!</v>
      </c>
      <c r="GP17" s="41">
        <f t="shared" ref="GP17:GP20" si="58">F17+V17+AL17+BB17+BR17+CH17++CX17+DN17+ED17+ET17+FJ17+FZ17</f>
        <v>193</v>
      </c>
      <c r="GQ17" s="41">
        <f t="shared" ref="GQ17:GQ20" si="59">G17+W17+AM17+BC17+BS17+CI17++CY17+DO17+EE17+EU17+FK17+GA17</f>
        <v>776</v>
      </c>
      <c r="GR17" s="41">
        <f>GB17</f>
        <v>0</v>
      </c>
      <c r="GS17" s="41" t="e">
        <f t="shared" ref="GS17:GS20" si="60">I17+Y17+AO17+BE17+BU17+CK17++DA17+DQ17+EG17+EW17+FM17+GC17</f>
        <v>#VALUE!</v>
      </c>
      <c r="GT17" s="41">
        <f t="shared" ref="GT17:GT20" si="61">J17+Z17+AP17+BF17+BV17+CL17++DB17+DR17+EH17+EX17+FN17+GD17</f>
        <v>102</v>
      </c>
      <c r="GU17" s="41">
        <f t="shared" ref="GU17:GU20" si="62">K17+AA17+AQ17+BG17+BW17+CM17++DC17+DS17+EI17+EY17+FO17+GE17</f>
        <v>721</v>
      </c>
      <c r="GV17" s="41">
        <f>GF17</f>
        <v>0</v>
      </c>
      <c r="GW17" s="41" t="e">
        <f t="shared" ref="GW17:GW20" si="63">M17+AC17+AS17+BI17+BY17+CO17++DE17+DU17+EK17+FA17+FQ17+GG17</f>
        <v>#VALUE!</v>
      </c>
      <c r="GX17" s="41">
        <f t="shared" ref="GX17:GX20" si="64">N17+AD17+AT17+BJ17+BZ17+CP17++DF17+DV17+EL17+FB17+FR17+GH17</f>
        <v>0</v>
      </c>
      <c r="GY17" s="41">
        <f t="shared" ref="GY17:GY20" si="65">O17+AE17+AU17+BK17+CA17+CQ17++DG17+DW17+EM17+FC17+FS17+GI17</f>
        <v>3</v>
      </c>
      <c r="GZ17" s="29"/>
      <c r="HA17" s="31"/>
      <c r="HN17" s="31"/>
    </row>
    <row r="18" spans="1:222" ht="15" customHeight="1" thickBot="1" x14ac:dyDescent="0.3">
      <c r="A18" s="242"/>
      <c r="B18" s="46" t="s">
        <v>11</v>
      </c>
      <c r="C18" s="47" t="s">
        <v>12</v>
      </c>
      <c r="D18" s="163">
        <v>75</v>
      </c>
      <c r="E18" s="157">
        <v>6</v>
      </c>
      <c r="F18" s="157">
        <v>22</v>
      </c>
      <c r="G18" s="164">
        <v>120</v>
      </c>
      <c r="H18" s="157">
        <v>200</v>
      </c>
      <c r="I18" s="157">
        <v>4</v>
      </c>
      <c r="J18" s="157">
        <v>20</v>
      </c>
      <c r="K18" s="164">
        <v>188</v>
      </c>
      <c r="L18" s="157">
        <v>0</v>
      </c>
      <c r="M18" s="157">
        <v>0</v>
      </c>
      <c r="N18" s="157">
        <v>0</v>
      </c>
      <c r="O18" s="51">
        <v>0</v>
      </c>
      <c r="P18" s="29"/>
      <c r="Q18" s="242"/>
      <c r="R18" s="46" t="s">
        <v>11</v>
      </c>
      <c r="S18" s="47" t="s">
        <v>12</v>
      </c>
      <c r="T18" s="48">
        <v>0</v>
      </c>
      <c r="U18" s="49">
        <v>0</v>
      </c>
      <c r="V18" s="50">
        <v>0</v>
      </c>
      <c r="W18" s="51">
        <v>0</v>
      </c>
      <c r="X18" s="48">
        <v>0</v>
      </c>
      <c r="Y18" s="49">
        <v>0</v>
      </c>
      <c r="Z18" s="50">
        <v>0</v>
      </c>
      <c r="AA18" s="51">
        <v>0</v>
      </c>
      <c r="AB18" s="48">
        <v>0</v>
      </c>
      <c r="AC18" s="49">
        <v>0</v>
      </c>
      <c r="AD18" s="50">
        <v>0</v>
      </c>
      <c r="AE18" s="51">
        <v>0</v>
      </c>
      <c r="AF18" s="29"/>
      <c r="AG18" s="242"/>
      <c r="AH18" s="46" t="s">
        <v>11</v>
      </c>
      <c r="AI18" s="47" t="s">
        <v>12</v>
      </c>
      <c r="AJ18" s="152">
        <v>0</v>
      </c>
      <c r="AK18" s="153">
        <v>0</v>
      </c>
      <c r="AL18" s="154">
        <v>0</v>
      </c>
      <c r="AM18" s="155">
        <v>0</v>
      </c>
      <c r="AN18" s="153">
        <v>0</v>
      </c>
      <c r="AO18" s="153">
        <v>0</v>
      </c>
      <c r="AP18" s="154">
        <v>0</v>
      </c>
      <c r="AQ18" s="155">
        <v>0</v>
      </c>
      <c r="AR18" s="153">
        <v>0</v>
      </c>
      <c r="AS18" s="153">
        <v>0</v>
      </c>
      <c r="AT18" s="154">
        <v>0</v>
      </c>
      <c r="AU18" s="155">
        <v>0</v>
      </c>
      <c r="AV18" s="29"/>
      <c r="AW18" s="242"/>
      <c r="AX18" s="46" t="s">
        <v>11</v>
      </c>
      <c r="AY18" s="47" t="s">
        <v>12</v>
      </c>
      <c r="AZ18" s="152">
        <v>129</v>
      </c>
      <c r="BA18" s="153">
        <v>5</v>
      </c>
      <c r="BB18" s="154">
        <v>35</v>
      </c>
      <c r="BC18" s="155">
        <v>135</v>
      </c>
      <c r="BD18" s="153">
        <v>146</v>
      </c>
      <c r="BE18" s="153">
        <v>2</v>
      </c>
      <c r="BF18" s="154">
        <v>4</v>
      </c>
      <c r="BG18" s="155">
        <v>124</v>
      </c>
      <c r="BH18" s="153">
        <v>0</v>
      </c>
      <c r="BI18" s="153">
        <v>0</v>
      </c>
      <c r="BJ18" s="154">
        <v>0</v>
      </c>
      <c r="BK18" s="155">
        <v>0</v>
      </c>
      <c r="BL18" s="29"/>
      <c r="BM18" s="242"/>
      <c r="BN18" s="46" t="s">
        <v>11</v>
      </c>
      <c r="BO18" s="47" t="s">
        <v>12</v>
      </c>
      <c r="BP18" s="152">
        <v>129</v>
      </c>
      <c r="BQ18" s="153">
        <v>1</v>
      </c>
      <c r="BR18" s="154">
        <v>12</v>
      </c>
      <c r="BS18" s="155">
        <v>207</v>
      </c>
      <c r="BT18" s="153">
        <v>149</v>
      </c>
      <c r="BU18" s="153">
        <v>0</v>
      </c>
      <c r="BV18" s="154">
        <v>5</v>
      </c>
      <c r="BW18" s="155">
        <v>187</v>
      </c>
      <c r="BX18" s="153">
        <v>2</v>
      </c>
      <c r="BY18" s="153">
        <v>0</v>
      </c>
      <c r="BZ18" s="154">
        <v>0</v>
      </c>
      <c r="CA18" s="155">
        <v>0</v>
      </c>
      <c r="CB18" s="29"/>
      <c r="CC18" s="242"/>
      <c r="CD18" s="46" t="s">
        <v>11</v>
      </c>
      <c r="CE18" s="47" t="s">
        <v>12</v>
      </c>
      <c r="CF18" s="152">
        <v>125</v>
      </c>
      <c r="CG18" s="153">
        <v>2</v>
      </c>
      <c r="CH18" s="154">
        <v>20</v>
      </c>
      <c r="CI18" s="155">
        <v>135</v>
      </c>
      <c r="CJ18" s="153">
        <v>163</v>
      </c>
      <c r="CK18" s="153">
        <v>2</v>
      </c>
      <c r="CL18" s="154">
        <v>4</v>
      </c>
      <c r="CM18" s="155">
        <v>124</v>
      </c>
      <c r="CN18" s="153">
        <v>0</v>
      </c>
      <c r="CO18" s="153">
        <v>0</v>
      </c>
      <c r="CP18" s="154">
        <v>0</v>
      </c>
      <c r="CQ18" s="155">
        <v>0</v>
      </c>
      <c r="CR18" s="29"/>
      <c r="CS18" s="242"/>
      <c r="CT18" s="46" t="s">
        <v>11</v>
      </c>
      <c r="CU18" s="47" t="s">
        <v>12</v>
      </c>
      <c r="CV18" s="163">
        <v>125</v>
      </c>
      <c r="CW18" s="157">
        <v>11</v>
      </c>
      <c r="CX18" s="157">
        <v>56</v>
      </c>
      <c r="CY18" s="164">
        <v>0</v>
      </c>
      <c r="CZ18" s="157">
        <v>345</v>
      </c>
      <c r="DA18" s="157">
        <v>600</v>
      </c>
      <c r="DB18" s="157">
        <v>25</v>
      </c>
      <c r="DC18" s="164">
        <v>0</v>
      </c>
      <c r="DD18" s="157">
        <v>0</v>
      </c>
      <c r="DE18" s="157">
        <v>0</v>
      </c>
      <c r="DF18" s="157">
        <v>0</v>
      </c>
      <c r="DG18" s="155">
        <v>0</v>
      </c>
      <c r="DH18" s="29"/>
      <c r="DI18" s="242"/>
      <c r="DJ18" s="46" t="s">
        <v>11</v>
      </c>
      <c r="DK18" s="47" t="s">
        <v>12</v>
      </c>
      <c r="DL18" s="195">
        <v>125</v>
      </c>
      <c r="DM18" s="196">
        <v>5</v>
      </c>
      <c r="DN18" s="197">
        <v>35</v>
      </c>
      <c r="DO18" s="198">
        <v>122</v>
      </c>
      <c r="DP18" s="196">
        <v>158</v>
      </c>
      <c r="DQ18" s="196">
        <v>7</v>
      </c>
      <c r="DR18" s="197">
        <v>10</v>
      </c>
      <c r="DS18" s="198">
        <v>135</v>
      </c>
      <c r="DT18" s="196">
        <v>0</v>
      </c>
      <c r="DU18" s="196">
        <v>0</v>
      </c>
      <c r="DV18" s="197">
        <v>0</v>
      </c>
      <c r="DW18" s="198">
        <v>1</v>
      </c>
      <c r="DX18" s="29"/>
      <c r="DY18" s="242"/>
      <c r="DZ18" s="46" t="s">
        <v>11</v>
      </c>
      <c r="EA18" s="47" t="s">
        <v>12</v>
      </c>
      <c r="EB18" s="210">
        <v>240</v>
      </c>
      <c r="EC18" s="211">
        <v>5</v>
      </c>
      <c r="ED18" s="212">
        <v>0</v>
      </c>
      <c r="EE18" s="194">
        <v>40</v>
      </c>
      <c r="EF18" s="210">
        <v>171</v>
      </c>
      <c r="EG18" s="211">
        <v>4</v>
      </c>
      <c r="EH18" s="212">
        <v>0</v>
      </c>
      <c r="EI18" s="194">
        <v>0</v>
      </c>
      <c r="EJ18" s="210">
        <v>7</v>
      </c>
      <c r="EK18" s="211">
        <v>0</v>
      </c>
      <c r="EL18" s="212">
        <v>0</v>
      </c>
      <c r="EM18" s="194">
        <v>0</v>
      </c>
      <c r="EN18" s="29"/>
      <c r="EO18" s="242"/>
      <c r="EP18" s="46" t="s">
        <v>11</v>
      </c>
      <c r="EQ18" s="47" t="s">
        <v>12</v>
      </c>
      <c r="ER18" s="210">
        <v>240</v>
      </c>
      <c r="ES18" s="211">
        <v>5</v>
      </c>
      <c r="ET18" s="212">
        <v>0</v>
      </c>
      <c r="EU18" s="194">
        <v>66</v>
      </c>
      <c r="EV18" s="210">
        <v>171</v>
      </c>
      <c r="EW18" s="211">
        <v>4</v>
      </c>
      <c r="EX18" s="212">
        <v>0</v>
      </c>
      <c r="EY18" s="194">
        <v>0</v>
      </c>
      <c r="EZ18" s="210">
        <v>7</v>
      </c>
      <c r="FA18" s="211">
        <v>0</v>
      </c>
      <c r="FB18" s="212">
        <v>0</v>
      </c>
      <c r="FC18" s="194">
        <v>0</v>
      </c>
      <c r="FD18" s="29"/>
      <c r="FE18" s="242"/>
      <c r="FF18" s="46" t="s">
        <v>11</v>
      </c>
      <c r="FG18" s="47" t="s">
        <v>12</v>
      </c>
      <c r="FH18" s="48">
        <v>0</v>
      </c>
      <c r="FI18" s="49">
        <v>0</v>
      </c>
      <c r="FJ18" s="50">
        <v>0</v>
      </c>
      <c r="FK18" s="51">
        <v>0</v>
      </c>
      <c r="FL18" s="48">
        <v>0</v>
      </c>
      <c r="FM18" s="49">
        <v>0</v>
      </c>
      <c r="FN18" s="50">
        <v>0</v>
      </c>
      <c r="FO18" s="51">
        <v>0</v>
      </c>
      <c r="FP18" s="48">
        <v>0</v>
      </c>
      <c r="FQ18" s="49">
        <v>0</v>
      </c>
      <c r="FR18" s="50">
        <v>0</v>
      </c>
      <c r="FS18" s="51">
        <v>0</v>
      </c>
      <c r="FT18" s="29"/>
      <c r="FU18" s="242"/>
      <c r="FV18" s="46" t="s">
        <v>11</v>
      </c>
      <c r="FW18" s="47" t="s">
        <v>12</v>
      </c>
      <c r="FX18" s="48">
        <v>0</v>
      </c>
      <c r="FY18" s="49">
        <v>0</v>
      </c>
      <c r="FZ18" s="50">
        <v>0</v>
      </c>
      <c r="GA18" s="51">
        <v>0</v>
      </c>
      <c r="GB18" s="48">
        <v>0</v>
      </c>
      <c r="GC18" s="49">
        <v>0</v>
      </c>
      <c r="GD18" s="50">
        <v>0</v>
      </c>
      <c r="GE18" s="51">
        <v>0</v>
      </c>
      <c r="GF18" s="48">
        <v>0</v>
      </c>
      <c r="GG18" s="49">
        <v>0</v>
      </c>
      <c r="GH18" s="50">
        <v>0</v>
      </c>
      <c r="GI18" s="51">
        <v>0</v>
      </c>
      <c r="GJ18" s="29"/>
      <c r="GK18" s="242"/>
      <c r="GL18" s="46" t="s">
        <v>11</v>
      </c>
      <c r="GM18" s="47" t="s">
        <v>12</v>
      </c>
      <c r="GN18" s="41">
        <f t="shared" ref="GN18:GN20" si="66">FX18</f>
        <v>0</v>
      </c>
      <c r="GO18" s="41">
        <f t="shared" si="57"/>
        <v>40</v>
      </c>
      <c r="GP18" s="41">
        <f t="shared" si="58"/>
        <v>180</v>
      </c>
      <c r="GQ18" s="41">
        <f t="shared" si="59"/>
        <v>825</v>
      </c>
      <c r="GR18" s="41">
        <f t="shared" ref="GR18:GR20" si="67">GB18</f>
        <v>0</v>
      </c>
      <c r="GS18" s="41">
        <f t="shared" si="60"/>
        <v>623</v>
      </c>
      <c r="GT18" s="41">
        <f t="shared" si="61"/>
        <v>68</v>
      </c>
      <c r="GU18" s="41">
        <f t="shared" si="62"/>
        <v>758</v>
      </c>
      <c r="GV18" s="41">
        <f t="shared" ref="GV18:GV20" si="68">GF18</f>
        <v>0</v>
      </c>
      <c r="GW18" s="41">
        <f t="shared" si="63"/>
        <v>0</v>
      </c>
      <c r="GX18" s="41">
        <f t="shared" si="64"/>
        <v>0</v>
      </c>
      <c r="GY18" s="41">
        <f t="shared" si="65"/>
        <v>1</v>
      </c>
      <c r="GZ18" s="29"/>
      <c r="HA18" s="31"/>
      <c r="HN18" s="31"/>
    </row>
    <row r="19" spans="1:222" ht="15" customHeight="1" thickBot="1" x14ac:dyDescent="0.3">
      <c r="A19" s="242"/>
      <c r="B19" s="38" t="s">
        <v>13</v>
      </c>
      <c r="C19" s="54" t="s">
        <v>10</v>
      </c>
      <c r="D19" s="163">
        <v>70</v>
      </c>
      <c r="E19" s="157">
        <v>0</v>
      </c>
      <c r="F19" s="157">
        <v>10</v>
      </c>
      <c r="G19" s="164">
        <v>109</v>
      </c>
      <c r="H19" s="157">
        <v>140</v>
      </c>
      <c r="I19" s="157">
        <v>0</v>
      </c>
      <c r="J19" s="157">
        <v>8</v>
      </c>
      <c r="K19" s="164">
        <v>190</v>
      </c>
      <c r="L19" s="157">
        <v>0</v>
      </c>
      <c r="M19" s="157">
        <v>0</v>
      </c>
      <c r="N19" s="157">
        <v>0</v>
      </c>
      <c r="O19" s="43">
        <v>0</v>
      </c>
      <c r="P19" s="29"/>
      <c r="Q19" s="242"/>
      <c r="R19" s="38" t="s">
        <v>13</v>
      </c>
      <c r="S19" s="54" t="s">
        <v>10</v>
      </c>
      <c r="T19" s="40">
        <v>0</v>
      </c>
      <c r="U19" s="41">
        <v>0</v>
      </c>
      <c r="V19" s="42">
        <v>0</v>
      </c>
      <c r="W19" s="43">
        <v>0</v>
      </c>
      <c r="X19" s="40">
        <v>0</v>
      </c>
      <c r="Y19" s="41">
        <v>0</v>
      </c>
      <c r="Z19" s="42">
        <v>0</v>
      </c>
      <c r="AA19" s="43">
        <v>0</v>
      </c>
      <c r="AB19" s="40">
        <v>0</v>
      </c>
      <c r="AC19" s="41">
        <v>0</v>
      </c>
      <c r="AD19" s="42">
        <v>0</v>
      </c>
      <c r="AE19" s="43">
        <v>0</v>
      </c>
      <c r="AF19" s="29"/>
      <c r="AG19" s="242"/>
      <c r="AH19" s="38" t="s">
        <v>13</v>
      </c>
      <c r="AI19" s="54" t="s">
        <v>10</v>
      </c>
      <c r="AJ19" s="156">
        <v>0</v>
      </c>
      <c r="AK19" s="157">
        <v>0</v>
      </c>
      <c r="AL19" s="158">
        <v>0</v>
      </c>
      <c r="AM19" s="159">
        <v>0</v>
      </c>
      <c r="AN19" s="157">
        <v>0</v>
      </c>
      <c r="AO19" s="157">
        <v>0</v>
      </c>
      <c r="AP19" s="158">
        <v>0</v>
      </c>
      <c r="AQ19" s="159">
        <v>0</v>
      </c>
      <c r="AR19" s="157">
        <v>0</v>
      </c>
      <c r="AS19" s="157">
        <v>0</v>
      </c>
      <c r="AT19" s="158">
        <v>0</v>
      </c>
      <c r="AU19" s="159">
        <v>0</v>
      </c>
      <c r="AV19" s="29"/>
      <c r="AW19" s="242"/>
      <c r="AX19" s="38" t="s">
        <v>13</v>
      </c>
      <c r="AY19" s="54" t="s">
        <v>10</v>
      </c>
      <c r="AZ19" s="156">
        <v>0</v>
      </c>
      <c r="BA19" s="157">
        <v>3</v>
      </c>
      <c r="BB19" s="158">
        <v>15</v>
      </c>
      <c r="BC19" s="159">
        <v>114</v>
      </c>
      <c r="BD19" s="157">
        <v>44</v>
      </c>
      <c r="BE19" s="157">
        <v>4</v>
      </c>
      <c r="BF19" s="158">
        <v>9</v>
      </c>
      <c r="BG19" s="159">
        <v>95</v>
      </c>
      <c r="BH19" s="157">
        <v>0</v>
      </c>
      <c r="BI19" s="157">
        <v>0</v>
      </c>
      <c r="BJ19" s="158">
        <v>0</v>
      </c>
      <c r="BK19" s="159">
        <v>0</v>
      </c>
      <c r="BL19" s="29"/>
      <c r="BM19" s="242"/>
      <c r="BN19" s="38" t="s">
        <v>13</v>
      </c>
      <c r="BO19" s="54" t="s">
        <v>10</v>
      </c>
      <c r="BP19" s="156">
        <v>0</v>
      </c>
      <c r="BQ19" s="157">
        <v>0</v>
      </c>
      <c r="BR19" s="158">
        <v>8</v>
      </c>
      <c r="BS19" s="159">
        <v>52</v>
      </c>
      <c r="BT19" s="157">
        <v>44</v>
      </c>
      <c r="BU19" s="157">
        <v>0</v>
      </c>
      <c r="BV19" s="158">
        <v>3</v>
      </c>
      <c r="BW19" s="159">
        <v>42</v>
      </c>
      <c r="BX19" s="157">
        <v>0</v>
      </c>
      <c r="BY19" s="157">
        <v>0</v>
      </c>
      <c r="BZ19" s="158">
        <v>0</v>
      </c>
      <c r="CA19" s="159">
        <v>0</v>
      </c>
      <c r="CB19" s="29"/>
      <c r="CC19" s="242"/>
      <c r="CD19" s="38" t="s">
        <v>13</v>
      </c>
      <c r="CE19" s="54" t="s">
        <v>10</v>
      </c>
      <c r="CF19" s="156">
        <v>0</v>
      </c>
      <c r="CG19" s="157">
        <v>3</v>
      </c>
      <c r="CH19" s="158">
        <v>9</v>
      </c>
      <c r="CI19" s="159">
        <v>114</v>
      </c>
      <c r="CJ19" s="157">
        <v>44</v>
      </c>
      <c r="CK19" s="157">
        <v>4</v>
      </c>
      <c r="CL19" s="158">
        <v>9</v>
      </c>
      <c r="CM19" s="159">
        <v>95</v>
      </c>
      <c r="CN19" s="157">
        <v>0</v>
      </c>
      <c r="CO19" s="157">
        <v>0</v>
      </c>
      <c r="CP19" s="158">
        <v>0</v>
      </c>
      <c r="CQ19" s="159">
        <v>0</v>
      </c>
      <c r="CR19" s="29"/>
      <c r="CS19" s="242"/>
      <c r="CT19" s="38" t="s">
        <v>13</v>
      </c>
      <c r="CU19" s="54" t="s">
        <v>10</v>
      </c>
      <c r="CV19" s="163">
        <v>52</v>
      </c>
      <c r="CW19" s="157">
        <v>0</v>
      </c>
      <c r="CX19" s="157">
        <v>0</v>
      </c>
      <c r="CY19" s="164">
        <v>0</v>
      </c>
      <c r="CZ19" s="157">
        <v>45</v>
      </c>
      <c r="DA19" s="157">
        <v>0</v>
      </c>
      <c r="DB19" s="157">
        <v>0</v>
      </c>
      <c r="DC19" s="164">
        <v>0</v>
      </c>
      <c r="DD19" s="157">
        <v>0</v>
      </c>
      <c r="DE19" s="157">
        <v>0</v>
      </c>
      <c r="DF19" s="157">
        <v>0</v>
      </c>
      <c r="DG19" s="159">
        <v>0</v>
      </c>
      <c r="DH19" s="29"/>
      <c r="DI19" s="242"/>
      <c r="DJ19" s="38" t="s">
        <v>13</v>
      </c>
      <c r="DK19" s="54" t="s">
        <v>10</v>
      </c>
      <c r="DL19" s="190">
        <v>125</v>
      </c>
      <c r="DM19" s="191">
        <v>2</v>
      </c>
      <c r="DN19" s="192">
        <v>20</v>
      </c>
      <c r="DO19" s="193">
        <v>135</v>
      </c>
      <c r="DP19" s="191">
        <v>163</v>
      </c>
      <c r="DQ19" s="191">
        <v>2</v>
      </c>
      <c r="DR19" s="192">
        <v>4</v>
      </c>
      <c r="DS19" s="193">
        <v>124</v>
      </c>
      <c r="DT19" s="191">
        <v>0</v>
      </c>
      <c r="DU19" s="191">
        <v>0</v>
      </c>
      <c r="DV19" s="192">
        <v>0</v>
      </c>
      <c r="DW19" s="193">
        <v>0</v>
      </c>
      <c r="DX19" s="29"/>
      <c r="DY19" s="242"/>
      <c r="DZ19" s="38" t="s">
        <v>13</v>
      </c>
      <c r="EA19" s="54" t="s">
        <v>10</v>
      </c>
      <c r="EB19" s="207">
        <v>56</v>
      </c>
      <c r="EC19" s="208">
        <v>1</v>
      </c>
      <c r="ED19" s="209">
        <v>0</v>
      </c>
      <c r="EE19" s="189">
        <v>5</v>
      </c>
      <c r="EF19" s="207">
        <v>32</v>
      </c>
      <c r="EG19" s="208">
        <v>0</v>
      </c>
      <c r="EH19" s="209">
        <v>0</v>
      </c>
      <c r="EI19" s="189">
        <v>0</v>
      </c>
      <c r="EJ19" s="207">
        <v>2</v>
      </c>
      <c r="EK19" s="208">
        <v>0</v>
      </c>
      <c r="EL19" s="209">
        <v>0</v>
      </c>
      <c r="EM19" s="189">
        <v>0</v>
      </c>
      <c r="EN19" s="29"/>
      <c r="EO19" s="242"/>
      <c r="EP19" s="38" t="s">
        <v>13</v>
      </c>
      <c r="EQ19" s="54" t="s">
        <v>10</v>
      </c>
      <c r="ER19" s="207">
        <v>56</v>
      </c>
      <c r="ES19" s="208">
        <v>1</v>
      </c>
      <c r="ET19" s="209">
        <v>0</v>
      </c>
      <c r="EU19" s="189">
        <v>9</v>
      </c>
      <c r="EV19" s="207">
        <v>32</v>
      </c>
      <c r="EW19" s="208">
        <v>0</v>
      </c>
      <c r="EX19" s="209">
        <v>0</v>
      </c>
      <c r="EY19" s="189">
        <v>0</v>
      </c>
      <c r="EZ19" s="207">
        <v>2</v>
      </c>
      <c r="FA19" s="208">
        <v>0</v>
      </c>
      <c r="FB19" s="209">
        <v>0</v>
      </c>
      <c r="FC19" s="189">
        <v>0</v>
      </c>
      <c r="FD19" s="29"/>
      <c r="FE19" s="242"/>
      <c r="FF19" s="38" t="s">
        <v>13</v>
      </c>
      <c r="FG19" s="54" t="s">
        <v>10</v>
      </c>
      <c r="FH19" s="40">
        <v>0</v>
      </c>
      <c r="FI19" s="41">
        <v>0</v>
      </c>
      <c r="FJ19" s="42">
        <v>0</v>
      </c>
      <c r="FK19" s="43">
        <v>0</v>
      </c>
      <c r="FL19" s="40">
        <v>0</v>
      </c>
      <c r="FM19" s="41">
        <v>0</v>
      </c>
      <c r="FN19" s="42">
        <v>0</v>
      </c>
      <c r="FO19" s="43">
        <v>0</v>
      </c>
      <c r="FP19" s="40">
        <v>0</v>
      </c>
      <c r="FQ19" s="41">
        <v>0</v>
      </c>
      <c r="FR19" s="42">
        <v>0</v>
      </c>
      <c r="FS19" s="43">
        <v>0</v>
      </c>
      <c r="FT19" s="29"/>
      <c r="FU19" s="242"/>
      <c r="FV19" s="38" t="s">
        <v>13</v>
      </c>
      <c r="FW19" s="54" t="s">
        <v>10</v>
      </c>
      <c r="FX19" s="40">
        <v>0</v>
      </c>
      <c r="FY19" s="41">
        <v>0</v>
      </c>
      <c r="FZ19" s="42">
        <v>0</v>
      </c>
      <c r="GA19" s="43">
        <v>0</v>
      </c>
      <c r="GB19" s="40">
        <v>0</v>
      </c>
      <c r="GC19" s="41">
        <v>0</v>
      </c>
      <c r="GD19" s="42">
        <v>0</v>
      </c>
      <c r="GE19" s="43">
        <v>0</v>
      </c>
      <c r="GF19" s="40">
        <v>0</v>
      </c>
      <c r="GG19" s="41">
        <v>0</v>
      </c>
      <c r="GH19" s="42">
        <v>0</v>
      </c>
      <c r="GI19" s="43">
        <v>0</v>
      </c>
      <c r="GJ19" s="29"/>
      <c r="GK19" s="242"/>
      <c r="GL19" s="38" t="s">
        <v>13</v>
      </c>
      <c r="GM19" s="54" t="s">
        <v>10</v>
      </c>
      <c r="GN19" s="41">
        <f t="shared" si="66"/>
        <v>0</v>
      </c>
      <c r="GO19" s="41">
        <f t="shared" si="57"/>
        <v>10</v>
      </c>
      <c r="GP19" s="41">
        <f t="shared" si="58"/>
        <v>62</v>
      </c>
      <c r="GQ19" s="41">
        <f t="shared" si="59"/>
        <v>538</v>
      </c>
      <c r="GR19" s="41">
        <f t="shared" si="67"/>
        <v>0</v>
      </c>
      <c r="GS19" s="41">
        <f t="shared" si="60"/>
        <v>10</v>
      </c>
      <c r="GT19" s="41">
        <f t="shared" si="61"/>
        <v>33</v>
      </c>
      <c r="GU19" s="41">
        <f t="shared" si="62"/>
        <v>546</v>
      </c>
      <c r="GV19" s="41">
        <f t="shared" si="68"/>
        <v>0</v>
      </c>
      <c r="GW19" s="41">
        <f t="shared" si="63"/>
        <v>0</v>
      </c>
      <c r="GX19" s="41">
        <f t="shared" si="64"/>
        <v>0</v>
      </c>
      <c r="GY19" s="41">
        <f t="shared" si="65"/>
        <v>0</v>
      </c>
      <c r="GZ19" s="29"/>
      <c r="HA19" s="31"/>
      <c r="HN19" s="31"/>
    </row>
    <row r="20" spans="1:222" ht="15" customHeight="1" thickBot="1" x14ac:dyDescent="0.3">
      <c r="A20" s="242"/>
      <c r="B20" s="46" t="s">
        <v>11</v>
      </c>
      <c r="C20" s="56" t="s">
        <v>12</v>
      </c>
      <c r="D20" s="165">
        <v>45</v>
      </c>
      <c r="E20" s="153">
        <v>0</v>
      </c>
      <c r="F20" s="153">
        <v>2</v>
      </c>
      <c r="G20" s="166">
        <v>30</v>
      </c>
      <c r="H20" s="153">
        <v>100</v>
      </c>
      <c r="I20" s="153">
        <v>0</v>
      </c>
      <c r="J20" s="153">
        <v>5</v>
      </c>
      <c r="K20" s="166">
        <v>26</v>
      </c>
      <c r="L20" s="153">
        <v>0</v>
      </c>
      <c r="M20" s="153">
        <v>0</v>
      </c>
      <c r="N20" s="153">
        <v>0</v>
      </c>
      <c r="O20" s="51">
        <v>0</v>
      </c>
      <c r="P20" s="29"/>
      <c r="Q20" s="242"/>
      <c r="R20" s="46" t="s">
        <v>11</v>
      </c>
      <c r="S20" s="56" t="s">
        <v>12</v>
      </c>
      <c r="T20" s="48">
        <v>0</v>
      </c>
      <c r="U20" s="49">
        <v>0</v>
      </c>
      <c r="V20" s="50">
        <v>0</v>
      </c>
      <c r="W20" s="51">
        <v>0</v>
      </c>
      <c r="X20" s="48">
        <v>0</v>
      </c>
      <c r="Y20" s="49">
        <v>0</v>
      </c>
      <c r="Z20" s="50">
        <v>0</v>
      </c>
      <c r="AA20" s="51">
        <v>0</v>
      </c>
      <c r="AB20" s="48">
        <v>0</v>
      </c>
      <c r="AC20" s="49">
        <v>0</v>
      </c>
      <c r="AD20" s="50">
        <v>0</v>
      </c>
      <c r="AE20" s="51">
        <v>0</v>
      </c>
      <c r="AF20" s="29"/>
      <c r="AG20" s="242"/>
      <c r="AH20" s="46" t="s">
        <v>11</v>
      </c>
      <c r="AI20" s="56" t="s">
        <v>12</v>
      </c>
      <c r="AJ20" s="152">
        <v>0</v>
      </c>
      <c r="AK20" s="153">
        <v>0</v>
      </c>
      <c r="AL20" s="154">
        <v>0</v>
      </c>
      <c r="AM20" s="155">
        <v>0</v>
      </c>
      <c r="AN20" s="153">
        <v>0</v>
      </c>
      <c r="AO20" s="153">
        <v>0</v>
      </c>
      <c r="AP20" s="154">
        <v>0</v>
      </c>
      <c r="AQ20" s="155">
        <v>0</v>
      </c>
      <c r="AR20" s="153">
        <v>0</v>
      </c>
      <c r="AS20" s="153">
        <v>0</v>
      </c>
      <c r="AT20" s="154">
        <v>0</v>
      </c>
      <c r="AU20" s="155">
        <v>0</v>
      </c>
      <c r="AV20" s="29"/>
      <c r="AW20" s="242"/>
      <c r="AX20" s="46" t="s">
        <v>11</v>
      </c>
      <c r="AY20" s="56" t="s">
        <v>12</v>
      </c>
      <c r="AZ20" s="152">
        <v>0</v>
      </c>
      <c r="BA20" s="153">
        <v>7</v>
      </c>
      <c r="BB20" s="154">
        <v>17</v>
      </c>
      <c r="BC20" s="155">
        <v>50</v>
      </c>
      <c r="BD20" s="153">
        <v>98</v>
      </c>
      <c r="BE20" s="153">
        <v>1</v>
      </c>
      <c r="BF20" s="154">
        <v>11</v>
      </c>
      <c r="BG20" s="155">
        <v>60</v>
      </c>
      <c r="BH20" s="153">
        <v>0</v>
      </c>
      <c r="BI20" s="153">
        <v>0</v>
      </c>
      <c r="BJ20" s="154">
        <v>0</v>
      </c>
      <c r="BK20" s="155">
        <v>0</v>
      </c>
      <c r="BL20" s="29"/>
      <c r="BM20" s="242"/>
      <c r="BN20" s="46" t="s">
        <v>11</v>
      </c>
      <c r="BO20" s="56" t="s">
        <v>12</v>
      </c>
      <c r="BP20" s="152">
        <v>0</v>
      </c>
      <c r="BQ20" s="153">
        <v>0</v>
      </c>
      <c r="BR20" s="154">
        <v>4</v>
      </c>
      <c r="BS20" s="155">
        <v>39</v>
      </c>
      <c r="BT20" s="153">
        <v>98</v>
      </c>
      <c r="BU20" s="153">
        <v>0</v>
      </c>
      <c r="BV20" s="154">
        <v>0</v>
      </c>
      <c r="BW20" s="155">
        <v>29</v>
      </c>
      <c r="BX20" s="153">
        <v>0</v>
      </c>
      <c r="BY20" s="153">
        <v>0</v>
      </c>
      <c r="BZ20" s="154">
        <v>0</v>
      </c>
      <c r="CA20" s="155">
        <v>0</v>
      </c>
      <c r="CB20" s="29"/>
      <c r="CC20" s="242"/>
      <c r="CD20" s="46" t="s">
        <v>11</v>
      </c>
      <c r="CE20" s="56" t="s">
        <v>12</v>
      </c>
      <c r="CF20" s="152">
        <v>0</v>
      </c>
      <c r="CG20" s="153">
        <v>7</v>
      </c>
      <c r="CH20" s="154">
        <v>10</v>
      </c>
      <c r="CI20" s="155">
        <v>50</v>
      </c>
      <c r="CJ20" s="153">
        <v>98</v>
      </c>
      <c r="CK20" s="153">
        <v>1</v>
      </c>
      <c r="CL20" s="154">
        <v>11</v>
      </c>
      <c r="CM20" s="155">
        <v>60</v>
      </c>
      <c r="CN20" s="153">
        <v>0</v>
      </c>
      <c r="CO20" s="153">
        <v>0</v>
      </c>
      <c r="CP20" s="154">
        <v>0</v>
      </c>
      <c r="CQ20" s="155">
        <v>0</v>
      </c>
      <c r="CR20" s="29"/>
      <c r="CS20" s="242"/>
      <c r="CT20" s="46" t="s">
        <v>11</v>
      </c>
      <c r="CU20" s="56" t="s">
        <v>12</v>
      </c>
      <c r="CV20" s="165">
        <v>66</v>
      </c>
      <c r="CW20" s="153">
        <v>0</v>
      </c>
      <c r="CX20" s="153">
        <v>0</v>
      </c>
      <c r="CY20" s="166">
        <v>0</v>
      </c>
      <c r="CZ20" s="153">
        <v>200</v>
      </c>
      <c r="DA20" s="153">
        <v>0</v>
      </c>
      <c r="DB20" s="153">
        <v>0</v>
      </c>
      <c r="DC20" s="166">
        <v>0</v>
      </c>
      <c r="DD20" s="153">
        <v>0</v>
      </c>
      <c r="DE20" s="153">
        <v>0</v>
      </c>
      <c r="DF20" s="153">
        <v>0</v>
      </c>
      <c r="DG20" s="155">
        <v>0</v>
      </c>
      <c r="DH20" s="29"/>
      <c r="DI20" s="242"/>
      <c r="DJ20" s="46" t="s">
        <v>11</v>
      </c>
      <c r="DK20" s="56" t="s">
        <v>12</v>
      </c>
      <c r="DL20" s="195">
        <v>0</v>
      </c>
      <c r="DM20" s="196">
        <v>3</v>
      </c>
      <c r="DN20" s="197">
        <v>9</v>
      </c>
      <c r="DO20" s="198">
        <v>114</v>
      </c>
      <c r="DP20" s="196">
        <v>44</v>
      </c>
      <c r="DQ20" s="196">
        <v>4</v>
      </c>
      <c r="DR20" s="197">
        <v>9</v>
      </c>
      <c r="DS20" s="198">
        <v>95</v>
      </c>
      <c r="DT20" s="196">
        <v>0</v>
      </c>
      <c r="DU20" s="196">
        <v>0</v>
      </c>
      <c r="DV20" s="197">
        <v>0</v>
      </c>
      <c r="DW20" s="198">
        <v>0</v>
      </c>
      <c r="DX20" s="29"/>
      <c r="DY20" s="242"/>
      <c r="DZ20" s="46" t="s">
        <v>11</v>
      </c>
      <c r="EA20" s="56" t="s">
        <v>12</v>
      </c>
      <c r="EB20" s="210">
        <v>45</v>
      </c>
      <c r="EC20" s="211">
        <v>2</v>
      </c>
      <c r="ED20" s="212">
        <v>0</v>
      </c>
      <c r="EE20" s="194">
        <v>4</v>
      </c>
      <c r="EF20" s="210">
        <v>15</v>
      </c>
      <c r="EG20" s="211">
        <v>0</v>
      </c>
      <c r="EH20" s="212">
        <v>0</v>
      </c>
      <c r="EI20" s="194">
        <v>0</v>
      </c>
      <c r="EJ20" s="210">
        <v>1</v>
      </c>
      <c r="EK20" s="211">
        <v>0</v>
      </c>
      <c r="EL20" s="212">
        <v>0</v>
      </c>
      <c r="EM20" s="194">
        <v>0</v>
      </c>
      <c r="EN20" s="29"/>
      <c r="EO20" s="242"/>
      <c r="EP20" s="46" t="s">
        <v>11</v>
      </c>
      <c r="EQ20" s="56" t="s">
        <v>12</v>
      </c>
      <c r="ER20" s="210">
        <v>45</v>
      </c>
      <c r="ES20" s="211">
        <v>2</v>
      </c>
      <c r="ET20" s="212">
        <v>0</v>
      </c>
      <c r="EU20" s="194">
        <v>10</v>
      </c>
      <c r="EV20" s="210">
        <v>15</v>
      </c>
      <c r="EW20" s="211">
        <v>0</v>
      </c>
      <c r="EX20" s="212">
        <v>0</v>
      </c>
      <c r="EY20" s="194">
        <v>0</v>
      </c>
      <c r="EZ20" s="210">
        <v>1</v>
      </c>
      <c r="FA20" s="211">
        <v>0</v>
      </c>
      <c r="FB20" s="212">
        <v>0</v>
      </c>
      <c r="FC20" s="194">
        <v>0</v>
      </c>
      <c r="FD20" s="29"/>
      <c r="FE20" s="242"/>
      <c r="FF20" s="46" t="s">
        <v>11</v>
      </c>
      <c r="FG20" s="56" t="s">
        <v>12</v>
      </c>
      <c r="FH20" s="48">
        <v>0</v>
      </c>
      <c r="FI20" s="49">
        <v>0</v>
      </c>
      <c r="FJ20" s="50">
        <v>0</v>
      </c>
      <c r="FK20" s="51">
        <v>0</v>
      </c>
      <c r="FL20" s="48">
        <v>0</v>
      </c>
      <c r="FM20" s="49">
        <v>0</v>
      </c>
      <c r="FN20" s="50">
        <v>0</v>
      </c>
      <c r="FO20" s="51">
        <v>0</v>
      </c>
      <c r="FP20" s="48">
        <v>0</v>
      </c>
      <c r="FQ20" s="49">
        <v>0</v>
      </c>
      <c r="FR20" s="50">
        <v>0</v>
      </c>
      <c r="FS20" s="51">
        <v>0</v>
      </c>
      <c r="FT20" s="29"/>
      <c r="FU20" s="242"/>
      <c r="FV20" s="46" t="s">
        <v>11</v>
      </c>
      <c r="FW20" s="56" t="s">
        <v>12</v>
      </c>
      <c r="FX20" s="48">
        <v>0</v>
      </c>
      <c r="FY20" s="49">
        <v>0</v>
      </c>
      <c r="FZ20" s="50">
        <v>0</v>
      </c>
      <c r="GA20" s="51">
        <v>0</v>
      </c>
      <c r="GB20" s="48">
        <v>0</v>
      </c>
      <c r="GC20" s="49">
        <v>0</v>
      </c>
      <c r="GD20" s="50">
        <v>0</v>
      </c>
      <c r="GE20" s="51">
        <v>0</v>
      </c>
      <c r="GF20" s="48">
        <v>0</v>
      </c>
      <c r="GG20" s="49">
        <v>0</v>
      </c>
      <c r="GH20" s="50">
        <v>0</v>
      </c>
      <c r="GI20" s="51">
        <v>0</v>
      </c>
      <c r="GJ20" s="29"/>
      <c r="GK20" s="242"/>
      <c r="GL20" s="46" t="s">
        <v>11</v>
      </c>
      <c r="GM20" s="56" t="s">
        <v>12</v>
      </c>
      <c r="GN20" s="41">
        <f t="shared" si="66"/>
        <v>0</v>
      </c>
      <c r="GO20" s="41">
        <f t="shared" si="57"/>
        <v>21</v>
      </c>
      <c r="GP20" s="41">
        <f t="shared" si="58"/>
        <v>42</v>
      </c>
      <c r="GQ20" s="41">
        <f t="shared" si="59"/>
        <v>297</v>
      </c>
      <c r="GR20" s="41">
        <f t="shared" si="67"/>
        <v>0</v>
      </c>
      <c r="GS20" s="41">
        <f t="shared" si="60"/>
        <v>6</v>
      </c>
      <c r="GT20" s="41">
        <f t="shared" si="61"/>
        <v>36</v>
      </c>
      <c r="GU20" s="41">
        <f t="shared" si="62"/>
        <v>270</v>
      </c>
      <c r="GV20" s="41">
        <f t="shared" si="68"/>
        <v>0</v>
      </c>
      <c r="GW20" s="41">
        <f t="shared" si="63"/>
        <v>0</v>
      </c>
      <c r="GX20" s="41">
        <f t="shared" si="64"/>
        <v>0</v>
      </c>
      <c r="GY20" s="41">
        <f t="shared" si="65"/>
        <v>0</v>
      </c>
      <c r="GZ20" s="29"/>
      <c r="HA20" s="31"/>
      <c r="HN20" s="31"/>
    </row>
    <row r="21" spans="1:222" ht="15" customHeight="1" thickBot="1" x14ac:dyDescent="0.3">
      <c r="A21" s="242"/>
      <c r="B21" s="233" t="s">
        <v>14</v>
      </c>
      <c r="C21" s="234"/>
      <c r="D21" s="58">
        <f t="shared" ref="D21:O21" si="69">SUM(D17:D20)</f>
        <v>280</v>
      </c>
      <c r="E21" s="59">
        <f t="shared" si="69"/>
        <v>15</v>
      </c>
      <c r="F21" s="60">
        <f t="shared" si="69"/>
        <v>54</v>
      </c>
      <c r="G21" s="61">
        <f t="shared" si="69"/>
        <v>411</v>
      </c>
      <c r="H21" s="58">
        <f t="shared" si="69"/>
        <v>518</v>
      </c>
      <c r="I21" s="59">
        <f t="shared" si="69"/>
        <v>6</v>
      </c>
      <c r="J21" s="60">
        <f t="shared" si="69"/>
        <v>58</v>
      </c>
      <c r="K21" s="61">
        <f t="shared" si="69"/>
        <v>641</v>
      </c>
      <c r="L21" s="58">
        <f t="shared" si="69"/>
        <v>0</v>
      </c>
      <c r="M21" s="59">
        <f t="shared" si="69"/>
        <v>0</v>
      </c>
      <c r="N21" s="60">
        <f t="shared" si="69"/>
        <v>0</v>
      </c>
      <c r="O21" s="61">
        <f t="shared" si="69"/>
        <v>0</v>
      </c>
      <c r="P21" s="29"/>
      <c r="Q21" s="242"/>
      <c r="R21" s="233" t="s">
        <v>14</v>
      </c>
      <c r="S21" s="234"/>
      <c r="T21" s="58">
        <f t="shared" ref="T21:AE21" si="70">SUM(T17:T20)</f>
        <v>0</v>
      </c>
      <c r="U21" s="59">
        <f t="shared" si="70"/>
        <v>0</v>
      </c>
      <c r="V21" s="60">
        <f t="shared" si="70"/>
        <v>0</v>
      </c>
      <c r="W21" s="61">
        <f t="shared" si="70"/>
        <v>0</v>
      </c>
      <c r="X21" s="58">
        <f t="shared" si="70"/>
        <v>0</v>
      </c>
      <c r="Y21" s="59">
        <f t="shared" si="70"/>
        <v>0</v>
      </c>
      <c r="Z21" s="60">
        <f t="shared" si="70"/>
        <v>0</v>
      </c>
      <c r="AA21" s="61">
        <f t="shared" si="70"/>
        <v>0</v>
      </c>
      <c r="AB21" s="58">
        <f t="shared" si="70"/>
        <v>0</v>
      </c>
      <c r="AC21" s="59">
        <f t="shared" si="70"/>
        <v>0</v>
      </c>
      <c r="AD21" s="60">
        <f t="shared" si="70"/>
        <v>0</v>
      </c>
      <c r="AE21" s="61">
        <f t="shared" si="70"/>
        <v>0</v>
      </c>
      <c r="AF21" s="29"/>
      <c r="AG21" s="242"/>
      <c r="AH21" s="233" t="s">
        <v>14</v>
      </c>
      <c r="AI21" s="234"/>
      <c r="AJ21" s="169">
        <v>0</v>
      </c>
      <c r="AK21" s="170">
        <v>0</v>
      </c>
      <c r="AL21" s="171">
        <v>0</v>
      </c>
      <c r="AM21" s="172">
        <v>0</v>
      </c>
      <c r="AN21" s="170">
        <v>0</v>
      </c>
      <c r="AO21" s="170">
        <v>0</v>
      </c>
      <c r="AP21" s="171">
        <v>0</v>
      </c>
      <c r="AQ21" s="172">
        <v>0</v>
      </c>
      <c r="AR21" s="170">
        <v>0</v>
      </c>
      <c r="AS21" s="170">
        <v>0</v>
      </c>
      <c r="AT21" s="171">
        <v>0</v>
      </c>
      <c r="AU21" s="172">
        <v>0</v>
      </c>
      <c r="AV21" s="29"/>
      <c r="AW21" s="242"/>
      <c r="AX21" s="233" t="s">
        <v>14</v>
      </c>
      <c r="AY21" s="234"/>
      <c r="AZ21" s="58">
        <f t="shared" ref="AZ21:BK21" si="71">SUM(AZ17:AZ20)</f>
        <v>313</v>
      </c>
      <c r="BA21" s="59">
        <f t="shared" si="71"/>
        <v>25</v>
      </c>
      <c r="BB21" s="60">
        <f t="shared" si="71"/>
        <v>116</v>
      </c>
      <c r="BC21" s="61">
        <f t="shared" si="71"/>
        <v>421</v>
      </c>
      <c r="BD21" s="58">
        <f t="shared" si="71"/>
        <v>542</v>
      </c>
      <c r="BE21" s="59">
        <f t="shared" si="71"/>
        <v>14</v>
      </c>
      <c r="BF21" s="60">
        <f t="shared" si="71"/>
        <v>42</v>
      </c>
      <c r="BG21" s="61">
        <f t="shared" si="71"/>
        <v>414</v>
      </c>
      <c r="BH21" s="58">
        <f t="shared" si="71"/>
        <v>0</v>
      </c>
      <c r="BI21" s="59">
        <f t="shared" si="71"/>
        <v>0</v>
      </c>
      <c r="BJ21" s="60">
        <f t="shared" si="71"/>
        <v>0</v>
      </c>
      <c r="BK21" s="61">
        <f t="shared" si="71"/>
        <v>1</v>
      </c>
      <c r="BL21" s="29"/>
      <c r="BM21" s="242"/>
      <c r="BN21" s="233" t="s">
        <v>14</v>
      </c>
      <c r="BO21" s="234"/>
      <c r="BP21" s="58">
        <f t="shared" ref="BP21:CA21" si="72">SUM(BP17:BP20)</f>
        <v>313</v>
      </c>
      <c r="BQ21" s="59">
        <f t="shared" si="72"/>
        <v>3</v>
      </c>
      <c r="BR21" s="60">
        <f t="shared" si="72"/>
        <v>55</v>
      </c>
      <c r="BS21" s="61">
        <f t="shared" si="72"/>
        <v>556</v>
      </c>
      <c r="BT21" s="58">
        <f t="shared" si="72"/>
        <v>550</v>
      </c>
      <c r="BU21" s="59">
        <f t="shared" si="72"/>
        <v>1</v>
      </c>
      <c r="BV21" s="60">
        <f t="shared" si="72"/>
        <v>17</v>
      </c>
      <c r="BW21" s="61">
        <f t="shared" si="72"/>
        <v>472</v>
      </c>
      <c r="BX21" s="58">
        <f t="shared" si="72"/>
        <v>5</v>
      </c>
      <c r="BY21" s="59">
        <f t="shared" si="72"/>
        <v>1</v>
      </c>
      <c r="BZ21" s="60">
        <f t="shared" si="72"/>
        <v>0</v>
      </c>
      <c r="CA21" s="61">
        <f t="shared" si="72"/>
        <v>1</v>
      </c>
      <c r="CB21" s="29"/>
      <c r="CC21" s="242"/>
      <c r="CD21" s="233" t="s">
        <v>14</v>
      </c>
      <c r="CE21" s="234"/>
      <c r="CF21" s="169">
        <v>250</v>
      </c>
      <c r="CG21" s="170">
        <v>17</v>
      </c>
      <c r="CH21" s="171">
        <v>74</v>
      </c>
      <c r="CI21" s="172">
        <v>421</v>
      </c>
      <c r="CJ21" s="170">
        <v>463</v>
      </c>
      <c r="CK21" s="170">
        <v>14</v>
      </c>
      <c r="CL21" s="171">
        <v>34</v>
      </c>
      <c r="CM21" s="172">
        <v>414</v>
      </c>
      <c r="CN21" s="170">
        <v>0</v>
      </c>
      <c r="CO21" s="170">
        <v>0</v>
      </c>
      <c r="CP21" s="171">
        <v>0</v>
      </c>
      <c r="CQ21" s="172">
        <v>1</v>
      </c>
      <c r="CR21" s="29"/>
      <c r="CS21" s="242"/>
      <c r="CT21" s="233" t="s">
        <v>14</v>
      </c>
      <c r="CU21" s="234"/>
      <c r="CV21" s="169">
        <v>423</v>
      </c>
      <c r="CW21" s="170">
        <v>20</v>
      </c>
      <c r="CX21" s="171">
        <v>114</v>
      </c>
      <c r="CY21" s="172">
        <v>0</v>
      </c>
      <c r="CZ21" s="170">
        <v>557</v>
      </c>
      <c r="DA21" s="170">
        <v>9600</v>
      </c>
      <c r="DB21" s="171">
        <v>65</v>
      </c>
      <c r="DC21" s="172">
        <v>0</v>
      </c>
      <c r="DD21" s="170">
        <v>0</v>
      </c>
      <c r="DE21" s="170">
        <v>0</v>
      </c>
      <c r="DF21" s="171">
        <v>0</v>
      </c>
      <c r="DG21" s="172">
        <v>0</v>
      </c>
      <c r="DH21" s="29"/>
      <c r="DI21" s="242"/>
      <c r="DJ21" s="233" t="s">
        <v>14</v>
      </c>
      <c r="DK21" s="234"/>
      <c r="DL21" s="190">
        <v>0</v>
      </c>
      <c r="DM21" s="191">
        <v>7</v>
      </c>
      <c r="DN21" s="192">
        <v>10</v>
      </c>
      <c r="DO21" s="193">
        <v>50</v>
      </c>
      <c r="DP21" s="191">
        <v>98</v>
      </c>
      <c r="DQ21" s="191">
        <v>1</v>
      </c>
      <c r="DR21" s="192">
        <v>11</v>
      </c>
      <c r="DS21" s="193">
        <v>60</v>
      </c>
      <c r="DT21" s="191">
        <v>0</v>
      </c>
      <c r="DU21" s="191">
        <v>0</v>
      </c>
      <c r="DV21" s="192">
        <v>0</v>
      </c>
      <c r="DW21" s="193">
        <v>0</v>
      </c>
      <c r="DX21" s="29"/>
      <c r="DY21" s="242"/>
      <c r="DZ21" s="233" t="s">
        <v>14</v>
      </c>
      <c r="EA21" s="234"/>
      <c r="EB21" s="199">
        <f t="shared" ref="EB21:EM21" si="73">SUM(EB17:EB20)</f>
        <v>596</v>
      </c>
      <c r="EC21" s="200">
        <f t="shared" si="73"/>
        <v>12</v>
      </c>
      <c r="ED21" s="201">
        <f t="shared" si="73"/>
        <v>0</v>
      </c>
      <c r="EE21" s="202">
        <f t="shared" si="73"/>
        <v>91</v>
      </c>
      <c r="EF21" s="199">
        <f t="shared" si="73"/>
        <v>403</v>
      </c>
      <c r="EG21" s="200">
        <f t="shared" si="73"/>
        <v>6</v>
      </c>
      <c r="EH21" s="201">
        <f t="shared" si="73"/>
        <v>0</v>
      </c>
      <c r="EI21" s="202">
        <f t="shared" si="73"/>
        <v>0</v>
      </c>
      <c r="EJ21" s="199">
        <f t="shared" si="73"/>
        <v>15</v>
      </c>
      <c r="EK21" s="200">
        <f t="shared" si="73"/>
        <v>0</v>
      </c>
      <c r="EL21" s="201">
        <f t="shared" si="73"/>
        <v>0</v>
      </c>
      <c r="EM21" s="202">
        <f t="shared" si="73"/>
        <v>0</v>
      </c>
      <c r="EN21" s="29"/>
      <c r="EO21" s="242"/>
      <c r="EP21" s="233" t="s">
        <v>14</v>
      </c>
      <c r="EQ21" s="234"/>
      <c r="ER21" s="58">
        <f t="shared" ref="ER21:FC21" si="74">SUM(ER17:ER20)</f>
        <v>596</v>
      </c>
      <c r="ES21" s="59">
        <f t="shared" si="74"/>
        <v>12</v>
      </c>
      <c r="ET21" s="60">
        <f t="shared" si="74"/>
        <v>0</v>
      </c>
      <c r="EU21" s="61">
        <f t="shared" si="74"/>
        <v>165</v>
      </c>
      <c r="EV21" s="58">
        <f t="shared" si="74"/>
        <v>403</v>
      </c>
      <c r="EW21" s="59">
        <f t="shared" si="74"/>
        <v>6</v>
      </c>
      <c r="EX21" s="60">
        <f t="shared" si="74"/>
        <v>0</v>
      </c>
      <c r="EY21" s="61">
        <f t="shared" si="74"/>
        <v>0</v>
      </c>
      <c r="EZ21" s="58">
        <f t="shared" si="74"/>
        <v>15</v>
      </c>
      <c r="FA21" s="59">
        <f t="shared" si="74"/>
        <v>0</v>
      </c>
      <c r="FB21" s="60">
        <f t="shared" si="74"/>
        <v>0</v>
      </c>
      <c r="FC21" s="61">
        <f t="shared" si="74"/>
        <v>0</v>
      </c>
      <c r="FD21" s="29"/>
      <c r="FE21" s="242"/>
      <c r="FF21" s="233" t="s">
        <v>14</v>
      </c>
      <c r="FG21" s="234"/>
      <c r="FH21" s="58">
        <f t="shared" ref="FH21:FS21" si="75">SUM(FH17:FH20)</f>
        <v>0</v>
      </c>
      <c r="FI21" s="59">
        <f t="shared" si="75"/>
        <v>0</v>
      </c>
      <c r="FJ21" s="60">
        <f t="shared" si="75"/>
        <v>0</v>
      </c>
      <c r="FK21" s="61">
        <f t="shared" si="75"/>
        <v>0</v>
      </c>
      <c r="FL21" s="58">
        <f t="shared" si="75"/>
        <v>0</v>
      </c>
      <c r="FM21" s="59">
        <f t="shared" si="75"/>
        <v>0</v>
      </c>
      <c r="FN21" s="60">
        <f t="shared" si="75"/>
        <v>0</v>
      </c>
      <c r="FO21" s="61">
        <f t="shared" si="75"/>
        <v>0</v>
      </c>
      <c r="FP21" s="58">
        <f t="shared" si="75"/>
        <v>0</v>
      </c>
      <c r="FQ21" s="59">
        <f t="shared" si="75"/>
        <v>0</v>
      </c>
      <c r="FR21" s="60">
        <f t="shared" si="75"/>
        <v>0</v>
      </c>
      <c r="FS21" s="61">
        <f t="shared" si="75"/>
        <v>0</v>
      </c>
      <c r="FT21" s="29"/>
      <c r="FU21" s="242"/>
      <c r="FV21" s="233" t="s">
        <v>14</v>
      </c>
      <c r="FW21" s="234"/>
      <c r="FX21" s="58">
        <f t="shared" ref="FX21:GI21" si="76">SUM(FX17:FX20)</f>
        <v>0</v>
      </c>
      <c r="FY21" s="59">
        <f t="shared" si="76"/>
        <v>0</v>
      </c>
      <c r="FZ21" s="60">
        <f t="shared" si="76"/>
        <v>0</v>
      </c>
      <c r="GA21" s="61">
        <f t="shared" si="76"/>
        <v>0</v>
      </c>
      <c r="GB21" s="58">
        <f t="shared" si="76"/>
        <v>0</v>
      </c>
      <c r="GC21" s="59">
        <f t="shared" si="76"/>
        <v>0</v>
      </c>
      <c r="GD21" s="60">
        <f t="shared" si="76"/>
        <v>0</v>
      </c>
      <c r="GE21" s="61">
        <f t="shared" si="76"/>
        <v>0</v>
      </c>
      <c r="GF21" s="58">
        <f t="shared" si="76"/>
        <v>0</v>
      </c>
      <c r="GG21" s="59">
        <f t="shared" si="76"/>
        <v>0</v>
      </c>
      <c r="GH21" s="60">
        <f t="shared" si="76"/>
        <v>0</v>
      </c>
      <c r="GI21" s="61">
        <f t="shared" si="76"/>
        <v>0</v>
      </c>
      <c r="GJ21" s="29"/>
      <c r="GK21" s="242"/>
      <c r="GL21" s="233" t="s">
        <v>14</v>
      </c>
      <c r="GM21" s="234"/>
      <c r="GN21" s="62">
        <f t="shared" ref="GN21:GY21" si="77">SUM(GN17:GN20)</f>
        <v>0</v>
      </c>
      <c r="GO21" s="63" t="e">
        <f t="shared" si="77"/>
        <v>#VALUE!</v>
      </c>
      <c r="GP21" s="64">
        <f t="shared" si="77"/>
        <v>477</v>
      </c>
      <c r="GQ21" s="64">
        <f t="shared" si="77"/>
        <v>2436</v>
      </c>
      <c r="GR21" s="62">
        <f t="shared" si="77"/>
        <v>0</v>
      </c>
      <c r="GS21" s="63" t="e">
        <f t="shared" si="77"/>
        <v>#VALUE!</v>
      </c>
      <c r="GT21" s="64">
        <f t="shared" si="77"/>
        <v>239</v>
      </c>
      <c r="GU21" s="64">
        <f t="shared" si="77"/>
        <v>2295</v>
      </c>
      <c r="GV21" s="62">
        <f t="shared" si="77"/>
        <v>0</v>
      </c>
      <c r="GW21" s="63" t="e">
        <f t="shared" si="77"/>
        <v>#VALUE!</v>
      </c>
      <c r="GX21" s="64">
        <f t="shared" si="77"/>
        <v>0</v>
      </c>
      <c r="GY21" s="64">
        <f t="shared" si="77"/>
        <v>4</v>
      </c>
      <c r="GZ21" s="29"/>
      <c r="HA21" s="31"/>
      <c r="HN21" s="31"/>
    </row>
    <row r="22" spans="1:222" ht="15" customHeight="1" thickTop="1" thickBot="1" x14ac:dyDescent="0.3">
      <c r="A22" s="243"/>
      <c r="B22" s="65" t="s">
        <v>15</v>
      </c>
      <c r="C22" s="65"/>
      <c r="D22" s="66"/>
      <c r="E22" s="66" t="s">
        <v>2</v>
      </c>
      <c r="F22" s="66"/>
      <c r="G22" s="66">
        <v>0</v>
      </c>
      <c r="H22" s="66"/>
      <c r="I22" s="66" t="s">
        <v>16</v>
      </c>
      <c r="J22" s="66"/>
      <c r="K22" s="66">
        <v>0</v>
      </c>
      <c r="L22" s="66"/>
      <c r="M22" s="66" t="s">
        <v>17</v>
      </c>
      <c r="N22" s="232">
        <v>0</v>
      </c>
      <c r="O22" s="232"/>
      <c r="P22" s="29"/>
      <c r="Q22" s="243"/>
      <c r="R22" s="65" t="s">
        <v>15</v>
      </c>
      <c r="S22" s="65"/>
      <c r="T22" s="66"/>
      <c r="U22" s="66" t="s">
        <v>2</v>
      </c>
      <c r="V22" s="66"/>
      <c r="W22" s="66">
        <v>0</v>
      </c>
      <c r="X22" s="66"/>
      <c r="Y22" s="66" t="s">
        <v>16</v>
      </c>
      <c r="Z22" s="66"/>
      <c r="AA22" s="66">
        <v>0</v>
      </c>
      <c r="AB22" s="66"/>
      <c r="AC22" s="66" t="s">
        <v>17</v>
      </c>
      <c r="AD22" s="232">
        <v>0</v>
      </c>
      <c r="AE22" s="232"/>
      <c r="AF22" s="29"/>
      <c r="AG22" s="243"/>
      <c r="AH22" s="65" t="s">
        <v>15</v>
      </c>
      <c r="AI22" s="65"/>
      <c r="AJ22" s="173"/>
      <c r="AK22" s="174" t="s">
        <v>2</v>
      </c>
      <c r="AL22" s="173"/>
      <c r="AM22" s="175">
        <v>0</v>
      </c>
      <c r="AN22" s="173"/>
      <c r="AO22" s="174" t="s">
        <v>16</v>
      </c>
      <c r="AP22" s="173"/>
      <c r="AQ22" s="175">
        <v>0</v>
      </c>
      <c r="AR22" s="173"/>
      <c r="AS22" s="175" t="s">
        <v>17</v>
      </c>
      <c r="AT22" s="249">
        <v>0</v>
      </c>
      <c r="AU22" s="250"/>
      <c r="AV22" s="29"/>
      <c r="AW22" s="243"/>
      <c r="AX22" s="65" t="s">
        <v>15</v>
      </c>
      <c r="AY22" s="65"/>
      <c r="AZ22" s="66"/>
      <c r="BA22" s="66" t="s">
        <v>2</v>
      </c>
      <c r="BB22" s="66"/>
      <c r="BC22" s="66">
        <v>0</v>
      </c>
      <c r="BD22" s="66"/>
      <c r="BE22" s="66" t="s">
        <v>16</v>
      </c>
      <c r="BF22" s="66"/>
      <c r="BG22" s="66">
        <v>0</v>
      </c>
      <c r="BH22" s="66"/>
      <c r="BI22" s="66" t="s">
        <v>17</v>
      </c>
      <c r="BJ22" s="232">
        <v>0</v>
      </c>
      <c r="BK22" s="232"/>
      <c r="BL22" s="29"/>
      <c r="BM22" s="243"/>
      <c r="BN22" s="65" t="s">
        <v>15</v>
      </c>
      <c r="BO22" s="65"/>
      <c r="BP22" s="66"/>
      <c r="BQ22" s="66" t="s">
        <v>2</v>
      </c>
      <c r="BR22" s="66"/>
      <c r="BS22" s="66">
        <v>0</v>
      </c>
      <c r="BT22" s="66"/>
      <c r="BU22" s="66" t="s">
        <v>16</v>
      </c>
      <c r="BV22" s="66"/>
      <c r="BW22" s="66">
        <v>0</v>
      </c>
      <c r="BX22" s="66"/>
      <c r="BY22" s="66" t="s">
        <v>17</v>
      </c>
      <c r="BZ22" s="232">
        <v>0</v>
      </c>
      <c r="CA22" s="232"/>
      <c r="CB22" s="29"/>
      <c r="CC22" s="243"/>
      <c r="CD22" s="65" t="s">
        <v>15</v>
      </c>
      <c r="CE22" s="65"/>
      <c r="CF22" s="173"/>
      <c r="CG22" s="174" t="s">
        <v>2</v>
      </c>
      <c r="CH22" s="173"/>
      <c r="CI22" s="175">
        <v>0</v>
      </c>
      <c r="CJ22" s="173"/>
      <c r="CK22" s="174" t="s">
        <v>16</v>
      </c>
      <c r="CL22" s="173"/>
      <c r="CM22" s="175">
        <v>0</v>
      </c>
      <c r="CN22" s="173"/>
      <c r="CO22" s="175" t="s">
        <v>17</v>
      </c>
      <c r="CP22" s="249">
        <v>0</v>
      </c>
      <c r="CQ22" s="250"/>
      <c r="CR22" s="29"/>
      <c r="CS22" s="243"/>
      <c r="CT22" s="65" t="s">
        <v>15</v>
      </c>
      <c r="CU22" s="65"/>
      <c r="CV22" s="173"/>
      <c r="CW22" s="174" t="s">
        <v>2</v>
      </c>
      <c r="CX22" s="173"/>
      <c r="CY22" s="175">
        <v>0</v>
      </c>
      <c r="CZ22" s="173"/>
      <c r="DA22" s="174" t="s">
        <v>16</v>
      </c>
      <c r="DB22" s="173"/>
      <c r="DC22" s="175">
        <v>0</v>
      </c>
      <c r="DD22" s="173"/>
      <c r="DE22" s="175" t="s">
        <v>17</v>
      </c>
      <c r="DF22" s="249">
        <v>0</v>
      </c>
      <c r="DG22" s="250"/>
      <c r="DH22" s="29"/>
      <c r="DI22" s="243"/>
      <c r="DJ22" s="65" t="s">
        <v>15</v>
      </c>
      <c r="DK22" s="65"/>
      <c r="DL22" s="203"/>
      <c r="DM22" s="203" t="s">
        <v>2</v>
      </c>
      <c r="DN22" s="203"/>
      <c r="DO22" s="203">
        <v>0</v>
      </c>
      <c r="DP22" s="203"/>
      <c r="DQ22" s="203" t="s">
        <v>16</v>
      </c>
      <c r="DR22" s="203"/>
      <c r="DS22" s="203">
        <v>0</v>
      </c>
      <c r="DT22" s="203"/>
      <c r="DU22" s="203" t="s">
        <v>17</v>
      </c>
      <c r="DV22" s="247">
        <v>0</v>
      </c>
      <c r="DW22" s="248"/>
      <c r="DX22" s="29"/>
      <c r="DY22" s="243"/>
      <c r="DZ22" s="65" t="s">
        <v>15</v>
      </c>
      <c r="EA22" s="65"/>
      <c r="EB22" s="213"/>
      <c r="EC22" s="213" t="s">
        <v>2</v>
      </c>
      <c r="ED22" s="213"/>
      <c r="EE22" s="213">
        <v>0</v>
      </c>
      <c r="EF22" s="213"/>
      <c r="EG22" s="213" t="s">
        <v>16</v>
      </c>
      <c r="EH22" s="213"/>
      <c r="EI22" s="213">
        <v>0</v>
      </c>
      <c r="EJ22" s="213"/>
      <c r="EK22" s="213" t="s">
        <v>17</v>
      </c>
      <c r="EL22" s="247">
        <v>0</v>
      </c>
      <c r="EM22" s="248"/>
      <c r="EN22" s="29"/>
      <c r="EO22" s="243"/>
      <c r="EP22" s="65" t="s">
        <v>15</v>
      </c>
      <c r="EQ22" s="65"/>
      <c r="ER22" s="66"/>
      <c r="ES22" s="66" t="s">
        <v>2</v>
      </c>
      <c r="ET22" s="66"/>
      <c r="EU22" s="66">
        <v>0</v>
      </c>
      <c r="EV22" s="66"/>
      <c r="EW22" s="66" t="s">
        <v>16</v>
      </c>
      <c r="EX22" s="66"/>
      <c r="EY22" s="66">
        <v>0</v>
      </c>
      <c r="EZ22" s="66"/>
      <c r="FA22" s="66" t="s">
        <v>17</v>
      </c>
      <c r="FB22" s="232">
        <v>0</v>
      </c>
      <c r="FC22" s="232"/>
      <c r="FD22" s="29"/>
      <c r="FE22" s="243"/>
      <c r="FF22" s="65" t="s">
        <v>15</v>
      </c>
      <c r="FG22" s="65"/>
      <c r="FH22" s="66"/>
      <c r="FI22" s="66" t="s">
        <v>2</v>
      </c>
      <c r="FJ22" s="66"/>
      <c r="FK22" s="66">
        <v>0</v>
      </c>
      <c r="FL22" s="66"/>
      <c r="FM22" s="66" t="s">
        <v>16</v>
      </c>
      <c r="FN22" s="66"/>
      <c r="FO22" s="66">
        <v>0</v>
      </c>
      <c r="FP22" s="66"/>
      <c r="FQ22" s="66" t="s">
        <v>17</v>
      </c>
      <c r="FR22" s="232">
        <v>0</v>
      </c>
      <c r="FS22" s="232"/>
      <c r="FT22" s="29"/>
      <c r="FU22" s="243"/>
      <c r="FV22" s="65" t="s">
        <v>15</v>
      </c>
      <c r="FW22" s="65"/>
      <c r="FX22" s="66"/>
      <c r="FY22" s="66" t="s">
        <v>2</v>
      </c>
      <c r="FZ22" s="66"/>
      <c r="GA22" s="66">
        <v>0</v>
      </c>
      <c r="GB22" s="66"/>
      <c r="GC22" s="66" t="s">
        <v>16</v>
      </c>
      <c r="GD22" s="66"/>
      <c r="GE22" s="66">
        <v>0</v>
      </c>
      <c r="GF22" s="66"/>
      <c r="GG22" s="66" t="s">
        <v>17</v>
      </c>
      <c r="GH22" s="232">
        <v>0</v>
      </c>
      <c r="GI22" s="232"/>
      <c r="GJ22" s="29"/>
      <c r="GK22" s="243"/>
      <c r="GL22" s="65" t="s">
        <v>15</v>
      </c>
      <c r="GM22" s="65"/>
      <c r="GN22" s="66"/>
      <c r="GO22" s="66" t="s">
        <v>2</v>
      </c>
      <c r="GP22" s="66"/>
      <c r="GQ22" s="66"/>
      <c r="GR22" s="66">
        <f>G22+W22+AM22+BC22+BS22+CI22+CY22+DO22+EE22+EU22+FK22+GA22</f>
        <v>0</v>
      </c>
      <c r="GS22" s="66" t="s">
        <v>16</v>
      </c>
      <c r="GT22" s="66"/>
      <c r="GU22" s="66"/>
      <c r="GV22" s="66">
        <f>K22+AA22+AQ22+BG22+BW22+CM22+DC22+DS22+EI22+EY22+FO22+GE22</f>
        <v>0</v>
      </c>
      <c r="GW22" s="66" t="s">
        <v>17</v>
      </c>
      <c r="GX22" s="66"/>
      <c r="GY22" s="66">
        <f>N22+AD22+AT22+BJ22+BZ22+CP22+DF22+DV22+EL22+FB22+FR22+GH22</f>
        <v>0</v>
      </c>
      <c r="GZ22" s="29"/>
      <c r="HA22" s="31"/>
      <c r="HN22" s="31"/>
    </row>
    <row r="23" spans="1:222" ht="15" customHeight="1" thickTop="1" thickBot="1" x14ac:dyDescent="0.3">
      <c r="A23" s="241" t="s">
        <v>27</v>
      </c>
      <c r="B23" s="38"/>
      <c r="C23" s="39" t="s">
        <v>10</v>
      </c>
      <c r="D23" s="148">
        <v>310</v>
      </c>
      <c r="E23" s="149">
        <v>11</v>
      </c>
      <c r="F23" s="150">
        <v>15</v>
      </c>
      <c r="G23" s="151">
        <v>0</v>
      </c>
      <c r="H23" s="149">
        <v>287</v>
      </c>
      <c r="I23" s="149">
        <v>1</v>
      </c>
      <c r="J23" s="150">
        <v>6</v>
      </c>
      <c r="K23" s="151">
        <v>0</v>
      </c>
      <c r="L23" s="149">
        <v>8</v>
      </c>
      <c r="M23" s="149">
        <v>0</v>
      </c>
      <c r="N23" s="150">
        <v>0</v>
      </c>
      <c r="O23" s="43">
        <v>0</v>
      </c>
      <c r="P23" s="29"/>
      <c r="Q23" s="241" t="s">
        <v>27</v>
      </c>
      <c r="R23" s="38"/>
      <c r="S23" s="39" t="s">
        <v>10</v>
      </c>
      <c r="T23" s="148">
        <v>310</v>
      </c>
      <c r="U23" s="149">
        <v>14</v>
      </c>
      <c r="V23" s="150">
        <v>15</v>
      </c>
      <c r="W23" s="151">
        <v>110</v>
      </c>
      <c r="X23" s="149">
        <v>287</v>
      </c>
      <c r="Y23" s="149">
        <v>1</v>
      </c>
      <c r="Z23" s="150">
        <v>6</v>
      </c>
      <c r="AA23" s="151">
        <v>98</v>
      </c>
      <c r="AB23" s="149">
        <v>8</v>
      </c>
      <c r="AC23" s="149">
        <v>0</v>
      </c>
      <c r="AD23" s="150">
        <v>0</v>
      </c>
      <c r="AE23" s="151">
        <v>0</v>
      </c>
      <c r="AF23" s="29"/>
      <c r="AG23" s="241" t="s">
        <v>27</v>
      </c>
      <c r="AH23" s="38"/>
      <c r="AI23" s="39" t="s">
        <v>10</v>
      </c>
      <c r="AJ23" s="148">
        <v>157</v>
      </c>
      <c r="AK23" s="149">
        <v>2</v>
      </c>
      <c r="AL23" s="150">
        <v>0</v>
      </c>
      <c r="AM23" s="151">
        <v>0</v>
      </c>
      <c r="AN23" s="149">
        <v>110</v>
      </c>
      <c r="AO23" s="149">
        <v>1</v>
      </c>
      <c r="AP23" s="150">
        <v>0</v>
      </c>
      <c r="AQ23" s="151">
        <v>0</v>
      </c>
      <c r="AR23" s="149">
        <v>42</v>
      </c>
      <c r="AS23" s="149">
        <v>2</v>
      </c>
      <c r="AT23" s="150">
        <v>0</v>
      </c>
      <c r="AU23" s="151">
        <v>0</v>
      </c>
      <c r="AV23" s="29"/>
      <c r="AW23" s="241" t="s">
        <v>27</v>
      </c>
      <c r="AX23" s="38"/>
      <c r="AY23" s="39" t="s">
        <v>10</v>
      </c>
      <c r="AZ23" s="148">
        <v>310</v>
      </c>
      <c r="BA23" s="149">
        <v>11</v>
      </c>
      <c r="BB23" s="150">
        <v>15</v>
      </c>
      <c r="BC23" s="151">
        <v>115</v>
      </c>
      <c r="BD23" s="149">
        <v>287</v>
      </c>
      <c r="BE23" s="149">
        <v>1</v>
      </c>
      <c r="BF23" s="150">
        <v>6</v>
      </c>
      <c r="BG23" s="151">
        <v>100</v>
      </c>
      <c r="BH23" s="149">
        <v>8</v>
      </c>
      <c r="BI23" s="149">
        <v>0</v>
      </c>
      <c r="BJ23" s="150">
        <v>0</v>
      </c>
      <c r="BK23" s="151">
        <v>0</v>
      </c>
      <c r="BL23" s="29"/>
      <c r="BM23" s="241" t="s">
        <v>27</v>
      </c>
      <c r="BN23" s="38"/>
      <c r="BO23" s="39" t="s">
        <v>10</v>
      </c>
      <c r="BP23" s="148">
        <v>410</v>
      </c>
      <c r="BQ23" s="149">
        <v>0</v>
      </c>
      <c r="BR23" s="150">
        <v>1</v>
      </c>
      <c r="BS23" s="151">
        <v>60</v>
      </c>
      <c r="BT23" s="149">
        <v>397</v>
      </c>
      <c r="BU23" s="149">
        <v>0</v>
      </c>
      <c r="BV23" s="150">
        <v>6</v>
      </c>
      <c r="BW23" s="151">
        <v>60</v>
      </c>
      <c r="BX23" s="149">
        <v>61</v>
      </c>
      <c r="BY23" s="149">
        <v>0</v>
      </c>
      <c r="BZ23" s="150">
        <v>0</v>
      </c>
      <c r="CA23" s="151">
        <v>6</v>
      </c>
      <c r="CB23" s="29"/>
      <c r="CC23" s="241" t="s">
        <v>27</v>
      </c>
      <c r="CD23" s="38"/>
      <c r="CE23" s="39" t="s">
        <v>10</v>
      </c>
      <c r="CF23" s="148">
        <v>263</v>
      </c>
      <c r="CG23" s="149">
        <v>0</v>
      </c>
      <c r="CH23" s="150">
        <v>1</v>
      </c>
      <c r="CI23" s="151">
        <v>18</v>
      </c>
      <c r="CJ23" s="149">
        <v>133</v>
      </c>
      <c r="CK23" s="149">
        <v>0</v>
      </c>
      <c r="CL23" s="150">
        <v>1</v>
      </c>
      <c r="CM23" s="151">
        <v>11</v>
      </c>
      <c r="CN23" s="149">
        <v>33</v>
      </c>
      <c r="CO23" s="149">
        <v>0</v>
      </c>
      <c r="CP23" s="150">
        <v>0</v>
      </c>
      <c r="CQ23" s="151">
        <v>0</v>
      </c>
      <c r="CR23" s="29"/>
      <c r="CS23" s="241" t="s">
        <v>27</v>
      </c>
      <c r="CT23" s="38"/>
      <c r="CU23" s="39" t="s">
        <v>10</v>
      </c>
      <c r="CV23" s="156">
        <v>310</v>
      </c>
      <c r="CW23" s="157">
        <v>14</v>
      </c>
      <c r="CX23" s="158">
        <v>15</v>
      </c>
      <c r="CY23" s="159">
        <v>110</v>
      </c>
      <c r="CZ23" s="157">
        <v>287</v>
      </c>
      <c r="DA23" s="157">
        <v>1</v>
      </c>
      <c r="DB23" s="158">
        <v>6</v>
      </c>
      <c r="DC23" s="159">
        <v>98</v>
      </c>
      <c r="DD23" s="157">
        <v>8</v>
      </c>
      <c r="DE23" s="157">
        <v>0</v>
      </c>
      <c r="DF23" s="158">
        <v>0</v>
      </c>
      <c r="DG23" s="159">
        <v>1</v>
      </c>
      <c r="DH23" s="29"/>
      <c r="DI23" s="241" t="s">
        <v>27</v>
      </c>
      <c r="DJ23" s="38"/>
      <c r="DK23" s="39" t="s">
        <v>10</v>
      </c>
      <c r="DL23" s="185">
        <v>320</v>
      </c>
      <c r="DM23" s="186">
        <v>0</v>
      </c>
      <c r="DN23" s="187">
        <v>1</v>
      </c>
      <c r="DO23" s="188">
        <v>50</v>
      </c>
      <c r="DP23" s="186">
        <v>21</v>
      </c>
      <c r="DQ23" s="186">
        <v>0</v>
      </c>
      <c r="DR23" s="187">
        <v>0</v>
      </c>
      <c r="DS23" s="188">
        <v>72</v>
      </c>
      <c r="DT23" s="186">
        <v>40</v>
      </c>
      <c r="DU23" s="186">
        <v>0</v>
      </c>
      <c r="DV23" s="187">
        <v>0</v>
      </c>
      <c r="DW23" s="189">
        <v>0</v>
      </c>
      <c r="DX23" s="29"/>
      <c r="DY23" s="241" t="s">
        <v>27</v>
      </c>
      <c r="DZ23" s="38"/>
      <c r="EA23" s="39" t="s">
        <v>10</v>
      </c>
      <c r="EB23" s="207">
        <v>1343</v>
      </c>
      <c r="EC23" s="208">
        <v>4</v>
      </c>
      <c r="ED23" s="209">
        <v>0</v>
      </c>
      <c r="EE23" s="189">
        <v>48</v>
      </c>
      <c r="EF23" s="207">
        <v>968</v>
      </c>
      <c r="EG23" s="208">
        <v>12</v>
      </c>
      <c r="EH23" s="209">
        <v>0</v>
      </c>
      <c r="EI23" s="189">
        <v>23</v>
      </c>
      <c r="EJ23" s="207">
        <v>23</v>
      </c>
      <c r="EK23" s="208">
        <v>2</v>
      </c>
      <c r="EL23" s="209">
        <v>0</v>
      </c>
      <c r="EM23" s="189">
        <v>3</v>
      </c>
      <c r="EN23" s="29"/>
      <c r="EO23" s="241" t="s">
        <v>27</v>
      </c>
      <c r="EP23" s="38"/>
      <c r="EQ23" s="39" t="s">
        <v>10</v>
      </c>
      <c r="ER23" s="207">
        <v>1343</v>
      </c>
      <c r="ES23" s="208">
        <v>4</v>
      </c>
      <c r="ET23" s="209">
        <v>0</v>
      </c>
      <c r="EU23" s="189">
        <v>30</v>
      </c>
      <c r="EV23" s="207">
        <v>968</v>
      </c>
      <c r="EW23" s="208">
        <v>12</v>
      </c>
      <c r="EX23" s="209">
        <v>0</v>
      </c>
      <c r="EY23" s="189">
        <v>20</v>
      </c>
      <c r="EZ23" s="207">
        <v>23</v>
      </c>
      <c r="FA23" s="208">
        <v>2</v>
      </c>
      <c r="FB23" s="209">
        <v>0</v>
      </c>
      <c r="FC23" s="189">
        <v>0</v>
      </c>
      <c r="FD23" s="29"/>
      <c r="FE23" s="241" t="s">
        <v>27</v>
      </c>
      <c r="FF23" s="38"/>
      <c r="FG23" s="39" t="s">
        <v>10</v>
      </c>
      <c r="FH23" s="40">
        <v>0</v>
      </c>
      <c r="FI23" s="41">
        <v>0</v>
      </c>
      <c r="FJ23" s="42">
        <v>0</v>
      </c>
      <c r="FK23" s="43">
        <v>0</v>
      </c>
      <c r="FL23" s="40">
        <v>0</v>
      </c>
      <c r="FM23" s="41">
        <v>0</v>
      </c>
      <c r="FN23" s="42">
        <v>0</v>
      </c>
      <c r="FO23" s="43">
        <v>0</v>
      </c>
      <c r="FP23" s="40">
        <v>0</v>
      </c>
      <c r="FQ23" s="41">
        <v>0</v>
      </c>
      <c r="FR23" s="42">
        <v>0</v>
      </c>
      <c r="FS23" s="43">
        <v>0</v>
      </c>
      <c r="FT23" s="29"/>
      <c r="FU23" s="241" t="s">
        <v>27</v>
      </c>
      <c r="FV23" s="38"/>
      <c r="FW23" s="39" t="s">
        <v>10</v>
      </c>
      <c r="FX23" s="40">
        <v>0</v>
      </c>
      <c r="FY23" s="41">
        <v>0</v>
      </c>
      <c r="FZ23" s="42">
        <v>0</v>
      </c>
      <c r="GA23" s="43">
        <v>0</v>
      </c>
      <c r="GB23" s="40">
        <v>0</v>
      </c>
      <c r="GC23" s="41">
        <v>0</v>
      </c>
      <c r="GD23" s="42">
        <v>0</v>
      </c>
      <c r="GE23" s="43">
        <v>0</v>
      </c>
      <c r="GF23" s="40">
        <v>0</v>
      </c>
      <c r="GG23" s="41">
        <v>0</v>
      </c>
      <c r="GH23" s="42">
        <v>0</v>
      </c>
      <c r="GI23" s="43">
        <v>0</v>
      </c>
      <c r="GJ23" s="29"/>
      <c r="GK23" s="241" t="str">
        <f t="shared" ref="GK23" si="78">FU23</f>
        <v>المطار القديم</v>
      </c>
      <c r="GL23" s="38"/>
      <c r="GM23" s="39" t="s">
        <v>10</v>
      </c>
      <c r="GN23" s="41">
        <f>FX23</f>
        <v>0</v>
      </c>
      <c r="GO23" s="41">
        <f t="shared" ref="GO23:GO26" si="79">E23+U23+AK23+BA23+BQ23+CG23++CW23+DM23+EC23+ES23+FI23+FY23</f>
        <v>60</v>
      </c>
      <c r="GP23" s="41">
        <f t="shared" ref="GP23:GP26" si="80">F23+V23+AL23+BB23+BR23+CH23++CX23+DN23+ED23+ET23+FJ23+FZ23</f>
        <v>63</v>
      </c>
      <c r="GQ23" s="41">
        <f t="shared" ref="GQ23:GQ26" si="81">G23+W23+AM23+BC23+BS23+CI23++CY23+DO23+EE23+EU23+FK23+GA23</f>
        <v>541</v>
      </c>
      <c r="GR23" s="41">
        <f>GB23</f>
        <v>0</v>
      </c>
      <c r="GS23" s="41">
        <f t="shared" ref="GS23:GS26" si="82">I23+Y23+AO23+BE23+BU23+CK23++DA23+DQ23+EG23+EW23+FM23+GC23</f>
        <v>29</v>
      </c>
      <c r="GT23" s="41">
        <f t="shared" ref="GT23:GT26" si="83">J23+Z23+AP23+BF23+BV23+CL23++DB23+DR23+EH23+EX23+FN23+GD23</f>
        <v>31</v>
      </c>
      <c r="GU23" s="41">
        <f t="shared" ref="GU23:GU26" si="84">K23+AA23+AQ23+BG23+BW23+CM23++DC23+DS23+EI23+EY23+FO23+GE23</f>
        <v>482</v>
      </c>
      <c r="GV23" s="41">
        <f>GF23</f>
        <v>0</v>
      </c>
      <c r="GW23" s="41">
        <f t="shared" ref="GW23:GW26" si="85">M23+AC23+AS23+BI23+BY23+CO23++DE23+DU23+EK23+FA23+FQ23+GG23</f>
        <v>6</v>
      </c>
      <c r="GX23" s="41">
        <f t="shared" ref="GX23:GX26" si="86">N23+AD23+AT23+BJ23+BZ23+CP23++DF23+DV23+EL23+FB23+FR23+GH23</f>
        <v>0</v>
      </c>
      <c r="GY23" s="41">
        <f t="shared" ref="GY23:GY26" si="87">O23+AE23+AU23+BK23+CA23+CQ23++DG23+DW23+EM23+FC23+FS23+GI23</f>
        <v>10</v>
      </c>
      <c r="GZ23" s="29"/>
      <c r="HA23" s="31"/>
      <c r="HN23" s="31"/>
    </row>
    <row r="24" spans="1:222" ht="15" customHeight="1" thickBot="1" x14ac:dyDescent="0.3">
      <c r="A24" s="242"/>
      <c r="B24" s="46" t="s">
        <v>11</v>
      </c>
      <c r="C24" s="47" t="s">
        <v>12</v>
      </c>
      <c r="D24" s="152">
        <v>298</v>
      </c>
      <c r="E24" s="153">
        <v>7</v>
      </c>
      <c r="F24" s="154">
        <v>7</v>
      </c>
      <c r="G24" s="155">
        <v>0</v>
      </c>
      <c r="H24" s="153">
        <v>108</v>
      </c>
      <c r="I24" s="153">
        <v>0</v>
      </c>
      <c r="J24" s="154">
        <v>0</v>
      </c>
      <c r="K24" s="155">
        <v>0</v>
      </c>
      <c r="L24" s="153">
        <v>0</v>
      </c>
      <c r="M24" s="153">
        <v>0</v>
      </c>
      <c r="N24" s="154">
        <v>0</v>
      </c>
      <c r="O24" s="51">
        <v>0</v>
      </c>
      <c r="P24" s="29"/>
      <c r="Q24" s="242"/>
      <c r="R24" s="46" t="s">
        <v>11</v>
      </c>
      <c r="S24" s="47" t="s">
        <v>12</v>
      </c>
      <c r="T24" s="152">
        <v>298</v>
      </c>
      <c r="U24" s="153">
        <v>9</v>
      </c>
      <c r="V24" s="154">
        <v>8</v>
      </c>
      <c r="W24" s="155">
        <v>95</v>
      </c>
      <c r="X24" s="153">
        <v>108</v>
      </c>
      <c r="Y24" s="153">
        <v>0</v>
      </c>
      <c r="Z24" s="154">
        <v>0</v>
      </c>
      <c r="AA24" s="155">
        <v>96</v>
      </c>
      <c r="AB24" s="153">
        <v>0</v>
      </c>
      <c r="AC24" s="153">
        <v>0</v>
      </c>
      <c r="AD24" s="154">
        <v>0</v>
      </c>
      <c r="AE24" s="155">
        <v>0</v>
      </c>
      <c r="AF24" s="29"/>
      <c r="AG24" s="242"/>
      <c r="AH24" s="46" t="s">
        <v>11</v>
      </c>
      <c r="AI24" s="47" t="s">
        <v>12</v>
      </c>
      <c r="AJ24" s="152">
        <v>110</v>
      </c>
      <c r="AK24" s="153">
        <v>10</v>
      </c>
      <c r="AL24" s="154">
        <v>0</v>
      </c>
      <c r="AM24" s="155">
        <v>0</v>
      </c>
      <c r="AN24" s="153">
        <v>130</v>
      </c>
      <c r="AO24" s="153">
        <v>7</v>
      </c>
      <c r="AP24" s="154">
        <v>0</v>
      </c>
      <c r="AQ24" s="155">
        <v>0</v>
      </c>
      <c r="AR24" s="153">
        <v>3</v>
      </c>
      <c r="AS24" s="153">
        <v>0</v>
      </c>
      <c r="AT24" s="154">
        <v>0</v>
      </c>
      <c r="AU24" s="155">
        <v>0</v>
      </c>
      <c r="AV24" s="29"/>
      <c r="AW24" s="242"/>
      <c r="AX24" s="46" t="s">
        <v>11</v>
      </c>
      <c r="AY24" s="47" t="s">
        <v>12</v>
      </c>
      <c r="AZ24" s="152">
        <v>298</v>
      </c>
      <c r="BA24" s="153">
        <v>7</v>
      </c>
      <c r="BB24" s="154">
        <v>8</v>
      </c>
      <c r="BC24" s="155">
        <v>80</v>
      </c>
      <c r="BD24" s="153">
        <v>108</v>
      </c>
      <c r="BE24" s="153">
        <v>0</v>
      </c>
      <c r="BF24" s="154">
        <v>0</v>
      </c>
      <c r="BG24" s="155">
        <v>91</v>
      </c>
      <c r="BH24" s="153">
        <v>0</v>
      </c>
      <c r="BI24" s="153">
        <v>0</v>
      </c>
      <c r="BJ24" s="154">
        <v>0</v>
      </c>
      <c r="BK24" s="155">
        <v>0</v>
      </c>
      <c r="BL24" s="29"/>
      <c r="BM24" s="242"/>
      <c r="BN24" s="46" t="s">
        <v>11</v>
      </c>
      <c r="BO24" s="47" t="s">
        <v>12</v>
      </c>
      <c r="BP24" s="152">
        <v>308</v>
      </c>
      <c r="BQ24" s="153">
        <v>0</v>
      </c>
      <c r="BR24" s="154">
        <v>30</v>
      </c>
      <c r="BS24" s="155">
        <v>45</v>
      </c>
      <c r="BT24" s="153">
        <v>206</v>
      </c>
      <c r="BU24" s="153">
        <v>0</v>
      </c>
      <c r="BV24" s="154">
        <v>5</v>
      </c>
      <c r="BW24" s="155">
        <v>61</v>
      </c>
      <c r="BX24" s="153">
        <v>62</v>
      </c>
      <c r="BY24" s="153">
        <v>0</v>
      </c>
      <c r="BZ24" s="154">
        <v>0</v>
      </c>
      <c r="CA24" s="155">
        <v>2</v>
      </c>
      <c r="CB24" s="29"/>
      <c r="CC24" s="242"/>
      <c r="CD24" s="46" t="s">
        <v>11</v>
      </c>
      <c r="CE24" s="47" t="s">
        <v>12</v>
      </c>
      <c r="CF24" s="152">
        <v>315</v>
      </c>
      <c r="CG24" s="153">
        <v>0</v>
      </c>
      <c r="CH24" s="154">
        <v>1</v>
      </c>
      <c r="CI24" s="155">
        <v>22</v>
      </c>
      <c r="CJ24" s="153">
        <v>216</v>
      </c>
      <c r="CK24" s="153">
        <v>0</v>
      </c>
      <c r="CL24" s="154">
        <v>0</v>
      </c>
      <c r="CM24" s="155">
        <v>20</v>
      </c>
      <c r="CN24" s="153">
        <v>36</v>
      </c>
      <c r="CO24" s="153">
        <v>0</v>
      </c>
      <c r="CP24" s="154">
        <v>0</v>
      </c>
      <c r="CQ24" s="155">
        <v>0</v>
      </c>
      <c r="CR24" s="29"/>
      <c r="CS24" s="242"/>
      <c r="CT24" s="46" t="s">
        <v>11</v>
      </c>
      <c r="CU24" s="47" t="s">
        <v>12</v>
      </c>
      <c r="CV24" s="152">
        <v>298</v>
      </c>
      <c r="CW24" s="153">
        <v>9</v>
      </c>
      <c r="CX24" s="154">
        <v>8</v>
      </c>
      <c r="CY24" s="155">
        <v>95</v>
      </c>
      <c r="CZ24" s="153">
        <v>108</v>
      </c>
      <c r="DA24" s="153">
        <v>0</v>
      </c>
      <c r="DB24" s="154">
        <v>0</v>
      </c>
      <c r="DC24" s="155">
        <v>96</v>
      </c>
      <c r="DD24" s="153">
        <v>0</v>
      </c>
      <c r="DE24" s="153">
        <v>0</v>
      </c>
      <c r="DF24" s="154">
        <v>0</v>
      </c>
      <c r="DG24" s="155">
        <v>0</v>
      </c>
      <c r="DH24" s="29"/>
      <c r="DI24" s="242"/>
      <c r="DJ24" s="46" t="s">
        <v>11</v>
      </c>
      <c r="DK24" s="47" t="s">
        <v>12</v>
      </c>
      <c r="DL24" s="190">
        <v>100</v>
      </c>
      <c r="DM24" s="191">
        <v>0</v>
      </c>
      <c r="DN24" s="192">
        <v>1</v>
      </c>
      <c r="DO24" s="193">
        <v>46</v>
      </c>
      <c r="DP24" s="191">
        <v>7</v>
      </c>
      <c r="DQ24" s="191">
        <v>0</v>
      </c>
      <c r="DR24" s="192">
        <v>0</v>
      </c>
      <c r="DS24" s="193">
        <v>44</v>
      </c>
      <c r="DT24" s="191">
        <v>30</v>
      </c>
      <c r="DU24" s="191">
        <v>0</v>
      </c>
      <c r="DV24" s="192">
        <v>0</v>
      </c>
      <c r="DW24" s="194">
        <v>0</v>
      </c>
      <c r="DX24" s="29"/>
      <c r="DY24" s="242"/>
      <c r="DZ24" s="46" t="s">
        <v>11</v>
      </c>
      <c r="EA24" s="47" t="s">
        <v>12</v>
      </c>
      <c r="EB24" s="210">
        <v>0</v>
      </c>
      <c r="EC24" s="211">
        <v>3</v>
      </c>
      <c r="ED24" s="212">
        <v>0</v>
      </c>
      <c r="EE24" s="194">
        <v>29</v>
      </c>
      <c r="EF24" s="210">
        <v>755</v>
      </c>
      <c r="EG24" s="211">
        <v>11</v>
      </c>
      <c r="EH24" s="212">
        <v>0</v>
      </c>
      <c r="EI24" s="194">
        <v>11</v>
      </c>
      <c r="EJ24" s="210">
        <v>20</v>
      </c>
      <c r="EK24" s="211">
        <v>1</v>
      </c>
      <c r="EL24" s="212">
        <v>0</v>
      </c>
      <c r="EM24" s="194">
        <v>3</v>
      </c>
      <c r="EN24" s="29"/>
      <c r="EO24" s="242"/>
      <c r="EP24" s="46" t="s">
        <v>11</v>
      </c>
      <c r="EQ24" s="47" t="s">
        <v>12</v>
      </c>
      <c r="ER24" s="210">
        <v>0</v>
      </c>
      <c r="ES24" s="211">
        <v>3</v>
      </c>
      <c r="ET24" s="212">
        <v>0</v>
      </c>
      <c r="EU24" s="194">
        <v>20</v>
      </c>
      <c r="EV24" s="210">
        <v>755</v>
      </c>
      <c r="EW24" s="211">
        <v>11</v>
      </c>
      <c r="EX24" s="212">
        <v>0</v>
      </c>
      <c r="EY24" s="194">
        <v>10</v>
      </c>
      <c r="EZ24" s="210">
        <v>20</v>
      </c>
      <c r="FA24" s="211">
        <v>1</v>
      </c>
      <c r="FB24" s="212">
        <v>0</v>
      </c>
      <c r="FC24" s="194">
        <v>0</v>
      </c>
      <c r="FD24" s="29"/>
      <c r="FE24" s="242"/>
      <c r="FF24" s="46" t="s">
        <v>11</v>
      </c>
      <c r="FG24" s="47" t="s">
        <v>12</v>
      </c>
      <c r="FH24" s="48">
        <v>0</v>
      </c>
      <c r="FI24" s="49">
        <v>0</v>
      </c>
      <c r="FJ24" s="50">
        <v>0</v>
      </c>
      <c r="FK24" s="51">
        <v>0</v>
      </c>
      <c r="FL24" s="48">
        <v>0</v>
      </c>
      <c r="FM24" s="49">
        <v>0</v>
      </c>
      <c r="FN24" s="50">
        <v>0</v>
      </c>
      <c r="FO24" s="51">
        <v>0</v>
      </c>
      <c r="FP24" s="48">
        <v>0</v>
      </c>
      <c r="FQ24" s="49">
        <v>0</v>
      </c>
      <c r="FR24" s="50">
        <v>0</v>
      </c>
      <c r="FS24" s="51">
        <v>0</v>
      </c>
      <c r="FT24" s="29"/>
      <c r="FU24" s="242"/>
      <c r="FV24" s="46" t="s">
        <v>11</v>
      </c>
      <c r="FW24" s="47" t="s">
        <v>12</v>
      </c>
      <c r="FX24" s="48">
        <v>0</v>
      </c>
      <c r="FY24" s="49">
        <v>0</v>
      </c>
      <c r="FZ24" s="50">
        <v>0</v>
      </c>
      <c r="GA24" s="51">
        <v>0</v>
      </c>
      <c r="GB24" s="48">
        <v>0</v>
      </c>
      <c r="GC24" s="49">
        <v>0</v>
      </c>
      <c r="GD24" s="50">
        <v>0</v>
      </c>
      <c r="GE24" s="51">
        <v>0</v>
      </c>
      <c r="GF24" s="48">
        <v>0</v>
      </c>
      <c r="GG24" s="49">
        <v>0</v>
      </c>
      <c r="GH24" s="50">
        <v>0</v>
      </c>
      <c r="GI24" s="51">
        <v>0</v>
      </c>
      <c r="GJ24" s="29"/>
      <c r="GK24" s="242"/>
      <c r="GL24" s="46" t="s">
        <v>11</v>
      </c>
      <c r="GM24" s="47" t="s">
        <v>12</v>
      </c>
      <c r="GN24" s="41">
        <f t="shared" ref="GN24:GN26" si="88">FX24</f>
        <v>0</v>
      </c>
      <c r="GO24" s="41">
        <f t="shared" si="79"/>
        <v>48</v>
      </c>
      <c r="GP24" s="41">
        <f t="shared" si="80"/>
        <v>63</v>
      </c>
      <c r="GQ24" s="41">
        <f t="shared" si="81"/>
        <v>432</v>
      </c>
      <c r="GR24" s="41">
        <f t="shared" ref="GR24:GR26" si="89">GB24</f>
        <v>0</v>
      </c>
      <c r="GS24" s="41">
        <f t="shared" si="82"/>
        <v>29</v>
      </c>
      <c r="GT24" s="41">
        <f t="shared" si="83"/>
        <v>5</v>
      </c>
      <c r="GU24" s="41">
        <f t="shared" si="84"/>
        <v>429</v>
      </c>
      <c r="GV24" s="41">
        <f t="shared" ref="GV24:GV26" si="90">GF24</f>
        <v>0</v>
      </c>
      <c r="GW24" s="41">
        <f t="shared" si="85"/>
        <v>2</v>
      </c>
      <c r="GX24" s="41">
        <f t="shared" si="86"/>
        <v>0</v>
      </c>
      <c r="GY24" s="41">
        <f t="shared" si="87"/>
        <v>5</v>
      </c>
      <c r="GZ24" s="29"/>
      <c r="HA24" s="31"/>
      <c r="HN24" s="31"/>
    </row>
    <row r="25" spans="1:222" ht="15" customHeight="1" thickBot="1" x14ac:dyDescent="0.3">
      <c r="A25" s="242"/>
      <c r="B25" s="38" t="s">
        <v>13</v>
      </c>
      <c r="C25" s="54" t="s">
        <v>10</v>
      </c>
      <c r="D25" s="156">
        <v>189</v>
      </c>
      <c r="E25" s="157">
        <v>7</v>
      </c>
      <c r="F25" s="158">
        <v>2</v>
      </c>
      <c r="G25" s="159">
        <v>0</v>
      </c>
      <c r="H25" s="157">
        <v>87</v>
      </c>
      <c r="I25" s="157">
        <v>0</v>
      </c>
      <c r="J25" s="158">
        <v>1</v>
      </c>
      <c r="K25" s="159">
        <v>0</v>
      </c>
      <c r="L25" s="157">
        <v>0</v>
      </c>
      <c r="M25" s="157">
        <v>0</v>
      </c>
      <c r="N25" s="158">
        <v>0</v>
      </c>
      <c r="O25" s="43">
        <v>0</v>
      </c>
      <c r="P25" s="29"/>
      <c r="Q25" s="242"/>
      <c r="R25" s="38" t="s">
        <v>13</v>
      </c>
      <c r="S25" s="54" t="s">
        <v>10</v>
      </c>
      <c r="T25" s="156">
        <v>189</v>
      </c>
      <c r="U25" s="157">
        <v>8</v>
      </c>
      <c r="V25" s="158">
        <v>2</v>
      </c>
      <c r="W25" s="159">
        <v>69</v>
      </c>
      <c r="X25" s="157">
        <v>87</v>
      </c>
      <c r="Y25" s="157">
        <v>0</v>
      </c>
      <c r="Z25" s="158">
        <v>1</v>
      </c>
      <c r="AA25" s="159">
        <v>8</v>
      </c>
      <c r="AB25" s="157">
        <v>0</v>
      </c>
      <c r="AC25" s="157">
        <v>0</v>
      </c>
      <c r="AD25" s="158">
        <v>0</v>
      </c>
      <c r="AE25" s="159">
        <v>0</v>
      </c>
      <c r="AF25" s="29"/>
      <c r="AG25" s="242"/>
      <c r="AH25" s="38" t="s">
        <v>13</v>
      </c>
      <c r="AI25" s="54" t="s">
        <v>10</v>
      </c>
      <c r="AJ25" s="156">
        <v>9</v>
      </c>
      <c r="AK25" s="157">
        <v>0</v>
      </c>
      <c r="AL25" s="158">
        <v>0</v>
      </c>
      <c r="AM25" s="159">
        <v>0</v>
      </c>
      <c r="AN25" s="157">
        <v>14</v>
      </c>
      <c r="AO25" s="157">
        <v>0</v>
      </c>
      <c r="AP25" s="158">
        <v>0</v>
      </c>
      <c r="AQ25" s="159">
        <v>0</v>
      </c>
      <c r="AR25" s="157">
        <v>0</v>
      </c>
      <c r="AS25" s="157">
        <v>0</v>
      </c>
      <c r="AT25" s="158">
        <v>0</v>
      </c>
      <c r="AU25" s="159">
        <v>0</v>
      </c>
      <c r="AV25" s="29"/>
      <c r="AW25" s="242"/>
      <c r="AX25" s="38" t="s">
        <v>13</v>
      </c>
      <c r="AY25" s="54" t="s">
        <v>10</v>
      </c>
      <c r="AZ25" s="156">
        <v>189</v>
      </c>
      <c r="BA25" s="157">
        <v>7</v>
      </c>
      <c r="BB25" s="158">
        <v>2</v>
      </c>
      <c r="BC25" s="159">
        <v>40</v>
      </c>
      <c r="BD25" s="157">
        <v>77</v>
      </c>
      <c r="BE25" s="157">
        <v>0</v>
      </c>
      <c r="BF25" s="158">
        <v>1</v>
      </c>
      <c r="BG25" s="159">
        <v>10</v>
      </c>
      <c r="BH25" s="157">
        <v>0</v>
      </c>
      <c r="BI25" s="157">
        <v>0</v>
      </c>
      <c r="BJ25" s="158">
        <v>0</v>
      </c>
      <c r="BK25" s="159">
        <v>0</v>
      </c>
      <c r="BL25" s="29"/>
      <c r="BM25" s="242"/>
      <c r="BN25" s="38" t="s">
        <v>13</v>
      </c>
      <c r="BO25" s="54" t="s">
        <v>10</v>
      </c>
      <c r="BP25" s="156">
        <v>100</v>
      </c>
      <c r="BQ25" s="157">
        <v>0</v>
      </c>
      <c r="BR25" s="158">
        <v>1</v>
      </c>
      <c r="BS25" s="159">
        <v>1</v>
      </c>
      <c r="BT25" s="157">
        <v>61</v>
      </c>
      <c r="BU25" s="157">
        <v>0</v>
      </c>
      <c r="BV25" s="158">
        <v>3</v>
      </c>
      <c r="BW25" s="159">
        <v>13</v>
      </c>
      <c r="BX25" s="157">
        <v>13</v>
      </c>
      <c r="BY25" s="157">
        <v>0</v>
      </c>
      <c r="BZ25" s="158">
        <v>0</v>
      </c>
      <c r="CA25" s="159">
        <v>4</v>
      </c>
      <c r="CB25" s="29"/>
      <c r="CC25" s="242"/>
      <c r="CD25" s="38" t="s">
        <v>13</v>
      </c>
      <c r="CE25" s="54" t="s">
        <v>10</v>
      </c>
      <c r="CF25" s="156">
        <v>31</v>
      </c>
      <c r="CG25" s="157">
        <v>0</v>
      </c>
      <c r="CH25" s="158">
        <v>0</v>
      </c>
      <c r="CI25" s="159">
        <v>2</v>
      </c>
      <c r="CJ25" s="157">
        <v>22</v>
      </c>
      <c r="CK25" s="157">
        <v>0</v>
      </c>
      <c r="CL25" s="158">
        <v>0</v>
      </c>
      <c r="CM25" s="159">
        <v>0</v>
      </c>
      <c r="CN25" s="157">
        <v>1</v>
      </c>
      <c r="CO25" s="157">
        <v>0</v>
      </c>
      <c r="CP25" s="158">
        <v>0</v>
      </c>
      <c r="CQ25" s="159">
        <v>0</v>
      </c>
      <c r="CR25" s="29"/>
      <c r="CS25" s="242"/>
      <c r="CT25" s="38" t="s">
        <v>13</v>
      </c>
      <c r="CU25" s="54" t="s">
        <v>10</v>
      </c>
      <c r="CV25" s="156">
        <v>189</v>
      </c>
      <c r="CW25" s="157">
        <v>8</v>
      </c>
      <c r="CX25" s="158">
        <v>2</v>
      </c>
      <c r="CY25" s="159">
        <v>69</v>
      </c>
      <c r="CZ25" s="157">
        <v>87</v>
      </c>
      <c r="DA25" s="157">
        <v>0</v>
      </c>
      <c r="DB25" s="158">
        <v>1</v>
      </c>
      <c r="DC25" s="159">
        <v>8</v>
      </c>
      <c r="DD25" s="157">
        <v>0</v>
      </c>
      <c r="DE25" s="157">
        <v>0</v>
      </c>
      <c r="DF25" s="158">
        <v>0</v>
      </c>
      <c r="DG25" s="159">
        <v>0</v>
      </c>
      <c r="DH25" s="29"/>
      <c r="DI25" s="242"/>
      <c r="DJ25" s="38" t="s">
        <v>13</v>
      </c>
      <c r="DK25" s="54" t="s">
        <v>10</v>
      </c>
      <c r="DL25" s="195">
        <v>29</v>
      </c>
      <c r="DM25" s="196">
        <v>0</v>
      </c>
      <c r="DN25" s="197">
        <v>2</v>
      </c>
      <c r="DO25" s="198">
        <v>12</v>
      </c>
      <c r="DP25" s="196">
        <v>10</v>
      </c>
      <c r="DQ25" s="196">
        <v>0</v>
      </c>
      <c r="DR25" s="197">
        <v>0</v>
      </c>
      <c r="DS25" s="198">
        <v>23</v>
      </c>
      <c r="DT25" s="196">
        <v>6</v>
      </c>
      <c r="DU25" s="196">
        <v>0</v>
      </c>
      <c r="DV25" s="197">
        <v>0</v>
      </c>
      <c r="DW25" s="189">
        <v>0</v>
      </c>
      <c r="DX25" s="29"/>
      <c r="DY25" s="242"/>
      <c r="DZ25" s="38" t="s">
        <v>13</v>
      </c>
      <c r="EA25" s="54" t="s">
        <v>10</v>
      </c>
      <c r="EB25" s="207">
        <v>0</v>
      </c>
      <c r="EC25" s="208">
        <v>1</v>
      </c>
      <c r="ED25" s="209">
        <v>0</v>
      </c>
      <c r="EE25" s="189">
        <v>17</v>
      </c>
      <c r="EF25" s="207">
        <v>721</v>
      </c>
      <c r="EG25" s="208">
        <v>2</v>
      </c>
      <c r="EH25" s="209">
        <v>0</v>
      </c>
      <c r="EI25" s="189">
        <v>2</v>
      </c>
      <c r="EJ25" s="207">
        <v>5</v>
      </c>
      <c r="EK25" s="208">
        <v>0</v>
      </c>
      <c r="EL25" s="209">
        <v>0</v>
      </c>
      <c r="EM25" s="189">
        <v>1</v>
      </c>
      <c r="EN25" s="29"/>
      <c r="EO25" s="242"/>
      <c r="EP25" s="38" t="s">
        <v>13</v>
      </c>
      <c r="EQ25" s="54" t="s">
        <v>10</v>
      </c>
      <c r="ER25" s="207">
        <v>0</v>
      </c>
      <c r="ES25" s="208">
        <v>1</v>
      </c>
      <c r="ET25" s="209">
        <v>0</v>
      </c>
      <c r="EU25" s="189">
        <v>10</v>
      </c>
      <c r="EV25" s="207">
        <v>721</v>
      </c>
      <c r="EW25" s="208">
        <v>2</v>
      </c>
      <c r="EX25" s="209">
        <v>0</v>
      </c>
      <c r="EY25" s="189">
        <v>0</v>
      </c>
      <c r="EZ25" s="207">
        <v>5</v>
      </c>
      <c r="FA25" s="208">
        <v>0</v>
      </c>
      <c r="FB25" s="209">
        <v>0</v>
      </c>
      <c r="FC25" s="189">
        <v>0</v>
      </c>
      <c r="FD25" s="29"/>
      <c r="FE25" s="242"/>
      <c r="FF25" s="38" t="s">
        <v>13</v>
      </c>
      <c r="FG25" s="54" t="s">
        <v>10</v>
      </c>
      <c r="FH25" s="40">
        <v>0</v>
      </c>
      <c r="FI25" s="41">
        <v>0</v>
      </c>
      <c r="FJ25" s="42">
        <v>0</v>
      </c>
      <c r="FK25" s="43">
        <v>0</v>
      </c>
      <c r="FL25" s="40">
        <v>0</v>
      </c>
      <c r="FM25" s="41">
        <v>0</v>
      </c>
      <c r="FN25" s="42">
        <v>0</v>
      </c>
      <c r="FO25" s="43">
        <v>0</v>
      </c>
      <c r="FP25" s="40">
        <v>0</v>
      </c>
      <c r="FQ25" s="41">
        <v>0</v>
      </c>
      <c r="FR25" s="42">
        <v>0</v>
      </c>
      <c r="FS25" s="43">
        <v>0</v>
      </c>
      <c r="FT25" s="29"/>
      <c r="FU25" s="242"/>
      <c r="FV25" s="38" t="s">
        <v>13</v>
      </c>
      <c r="FW25" s="54" t="s">
        <v>10</v>
      </c>
      <c r="FX25" s="40">
        <v>0</v>
      </c>
      <c r="FY25" s="41">
        <v>0</v>
      </c>
      <c r="FZ25" s="42">
        <v>0</v>
      </c>
      <c r="GA25" s="43">
        <v>0</v>
      </c>
      <c r="GB25" s="40">
        <v>0</v>
      </c>
      <c r="GC25" s="41">
        <v>0</v>
      </c>
      <c r="GD25" s="42">
        <v>0</v>
      </c>
      <c r="GE25" s="43">
        <v>0</v>
      </c>
      <c r="GF25" s="40">
        <v>0</v>
      </c>
      <c r="GG25" s="41">
        <v>0</v>
      </c>
      <c r="GH25" s="42">
        <v>0</v>
      </c>
      <c r="GI25" s="43">
        <v>0</v>
      </c>
      <c r="GJ25" s="29"/>
      <c r="GK25" s="242"/>
      <c r="GL25" s="38" t="s">
        <v>13</v>
      </c>
      <c r="GM25" s="54" t="s">
        <v>10</v>
      </c>
      <c r="GN25" s="41">
        <f t="shared" si="88"/>
        <v>0</v>
      </c>
      <c r="GO25" s="41">
        <f t="shared" si="79"/>
        <v>32</v>
      </c>
      <c r="GP25" s="41">
        <f t="shared" si="80"/>
        <v>11</v>
      </c>
      <c r="GQ25" s="41">
        <f t="shared" si="81"/>
        <v>220</v>
      </c>
      <c r="GR25" s="41">
        <f t="shared" si="89"/>
        <v>0</v>
      </c>
      <c r="GS25" s="41">
        <f t="shared" si="82"/>
        <v>4</v>
      </c>
      <c r="GT25" s="41">
        <f t="shared" si="83"/>
        <v>7</v>
      </c>
      <c r="GU25" s="41">
        <f t="shared" si="84"/>
        <v>64</v>
      </c>
      <c r="GV25" s="41">
        <f t="shared" si="90"/>
        <v>0</v>
      </c>
      <c r="GW25" s="41">
        <f t="shared" si="85"/>
        <v>0</v>
      </c>
      <c r="GX25" s="41">
        <f t="shared" si="86"/>
        <v>0</v>
      </c>
      <c r="GY25" s="41">
        <f t="shared" si="87"/>
        <v>5</v>
      </c>
      <c r="GZ25" s="29"/>
      <c r="HA25" s="31"/>
      <c r="HN25" s="31"/>
    </row>
    <row r="26" spans="1:222" ht="15" customHeight="1" thickBot="1" x14ac:dyDescent="0.3">
      <c r="A26" s="242"/>
      <c r="B26" s="46" t="s">
        <v>11</v>
      </c>
      <c r="C26" s="56" t="s">
        <v>12</v>
      </c>
      <c r="D26" s="152">
        <v>110</v>
      </c>
      <c r="E26" s="153">
        <v>0</v>
      </c>
      <c r="F26" s="154">
        <v>0</v>
      </c>
      <c r="G26" s="155">
        <v>0</v>
      </c>
      <c r="H26" s="153">
        <v>30</v>
      </c>
      <c r="I26" s="153">
        <v>0</v>
      </c>
      <c r="J26" s="154">
        <v>0</v>
      </c>
      <c r="K26" s="155">
        <v>0</v>
      </c>
      <c r="L26" s="153">
        <v>0</v>
      </c>
      <c r="M26" s="153">
        <v>0</v>
      </c>
      <c r="N26" s="154">
        <v>0</v>
      </c>
      <c r="O26" s="51">
        <v>0</v>
      </c>
      <c r="P26" s="29"/>
      <c r="Q26" s="242"/>
      <c r="R26" s="46" t="s">
        <v>11</v>
      </c>
      <c r="S26" s="56" t="s">
        <v>12</v>
      </c>
      <c r="T26" s="152">
        <v>110</v>
      </c>
      <c r="U26" s="153">
        <v>0</v>
      </c>
      <c r="V26" s="154">
        <v>0</v>
      </c>
      <c r="W26" s="155">
        <v>40</v>
      </c>
      <c r="X26" s="153">
        <v>30</v>
      </c>
      <c r="Y26" s="153">
        <v>0</v>
      </c>
      <c r="Z26" s="154">
        <v>0</v>
      </c>
      <c r="AA26" s="155">
        <v>14</v>
      </c>
      <c r="AB26" s="153">
        <v>0</v>
      </c>
      <c r="AC26" s="153">
        <v>0</v>
      </c>
      <c r="AD26" s="154">
        <v>0</v>
      </c>
      <c r="AE26" s="155">
        <v>0</v>
      </c>
      <c r="AF26" s="29"/>
      <c r="AG26" s="242"/>
      <c r="AH26" s="46" t="s">
        <v>11</v>
      </c>
      <c r="AI26" s="56" t="s">
        <v>12</v>
      </c>
      <c r="AJ26" s="152">
        <v>16</v>
      </c>
      <c r="AK26" s="153">
        <v>3</v>
      </c>
      <c r="AL26" s="154">
        <v>0</v>
      </c>
      <c r="AM26" s="155">
        <v>0</v>
      </c>
      <c r="AN26" s="153">
        <v>10</v>
      </c>
      <c r="AO26" s="153">
        <v>2</v>
      </c>
      <c r="AP26" s="154">
        <v>0</v>
      </c>
      <c r="AQ26" s="155">
        <v>0</v>
      </c>
      <c r="AR26" s="153">
        <v>0</v>
      </c>
      <c r="AS26" s="153">
        <v>0</v>
      </c>
      <c r="AT26" s="154">
        <v>0</v>
      </c>
      <c r="AU26" s="155">
        <v>0</v>
      </c>
      <c r="AV26" s="29"/>
      <c r="AW26" s="242"/>
      <c r="AX26" s="46" t="s">
        <v>11</v>
      </c>
      <c r="AY26" s="56" t="s">
        <v>12</v>
      </c>
      <c r="AZ26" s="152">
        <v>100</v>
      </c>
      <c r="BA26" s="153">
        <v>0</v>
      </c>
      <c r="BB26" s="154">
        <v>0</v>
      </c>
      <c r="BC26" s="155">
        <v>20</v>
      </c>
      <c r="BD26" s="153">
        <v>35</v>
      </c>
      <c r="BE26" s="153">
        <v>0</v>
      </c>
      <c r="BF26" s="154">
        <v>0</v>
      </c>
      <c r="BG26" s="155">
        <v>19</v>
      </c>
      <c r="BH26" s="153">
        <v>0</v>
      </c>
      <c r="BI26" s="153">
        <v>0</v>
      </c>
      <c r="BJ26" s="154">
        <v>0</v>
      </c>
      <c r="BK26" s="155">
        <v>0</v>
      </c>
      <c r="BL26" s="29"/>
      <c r="BM26" s="242"/>
      <c r="BN26" s="46" t="s">
        <v>11</v>
      </c>
      <c r="BO26" s="56" t="s">
        <v>12</v>
      </c>
      <c r="BP26" s="152">
        <v>110</v>
      </c>
      <c r="BQ26" s="153">
        <v>0</v>
      </c>
      <c r="BR26" s="154">
        <v>0</v>
      </c>
      <c r="BS26" s="155">
        <v>0</v>
      </c>
      <c r="BT26" s="153">
        <v>109</v>
      </c>
      <c r="BU26" s="153">
        <v>0</v>
      </c>
      <c r="BV26" s="154">
        <v>0</v>
      </c>
      <c r="BW26" s="155">
        <v>0</v>
      </c>
      <c r="BX26" s="153">
        <v>6</v>
      </c>
      <c r="BY26" s="153">
        <v>0</v>
      </c>
      <c r="BZ26" s="154">
        <v>0</v>
      </c>
      <c r="CA26" s="155">
        <v>0</v>
      </c>
      <c r="CB26" s="29"/>
      <c r="CC26" s="242"/>
      <c r="CD26" s="46" t="s">
        <v>11</v>
      </c>
      <c r="CE26" s="56" t="s">
        <v>12</v>
      </c>
      <c r="CF26" s="152">
        <v>25</v>
      </c>
      <c r="CG26" s="153">
        <v>0</v>
      </c>
      <c r="CH26" s="154">
        <v>0</v>
      </c>
      <c r="CI26" s="155">
        <v>3</v>
      </c>
      <c r="CJ26" s="153">
        <v>25</v>
      </c>
      <c r="CK26" s="153">
        <v>0</v>
      </c>
      <c r="CL26" s="154">
        <v>0</v>
      </c>
      <c r="CM26" s="155">
        <v>0</v>
      </c>
      <c r="CN26" s="153">
        <v>2</v>
      </c>
      <c r="CO26" s="153">
        <v>0</v>
      </c>
      <c r="CP26" s="154">
        <v>0</v>
      </c>
      <c r="CQ26" s="155">
        <v>0</v>
      </c>
      <c r="CR26" s="29"/>
      <c r="CS26" s="242"/>
      <c r="CT26" s="46" t="s">
        <v>11</v>
      </c>
      <c r="CU26" s="56" t="s">
        <v>12</v>
      </c>
      <c r="CV26" s="152">
        <v>110</v>
      </c>
      <c r="CW26" s="153">
        <v>0</v>
      </c>
      <c r="CX26" s="154">
        <v>0</v>
      </c>
      <c r="CY26" s="155">
        <v>40</v>
      </c>
      <c r="CZ26" s="153">
        <v>30</v>
      </c>
      <c r="DA26" s="153">
        <v>0</v>
      </c>
      <c r="DB26" s="154">
        <v>0</v>
      </c>
      <c r="DC26" s="155">
        <v>14</v>
      </c>
      <c r="DD26" s="153">
        <v>0</v>
      </c>
      <c r="DE26" s="153">
        <v>0</v>
      </c>
      <c r="DF26" s="154">
        <v>0</v>
      </c>
      <c r="DG26" s="155">
        <v>0</v>
      </c>
      <c r="DH26" s="29"/>
      <c r="DI26" s="242"/>
      <c r="DJ26" s="46" t="s">
        <v>11</v>
      </c>
      <c r="DK26" s="56" t="s">
        <v>12</v>
      </c>
      <c r="DL26" s="190">
        <v>7</v>
      </c>
      <c r="DM26" s="191">
        <v>0</v>
      </c>
      <c r="DN26" s="192">
        <v>0</v>
      </c>
      <c r="DO26" s="193">
        <v>27</v>
      </c>
      <c r="DP26" s="191">
        <v>5</v>
      </c>
      <c r="DQ26" s="191">
        <v>0</v>
      </c>
      <c r="DR26" s="192">
        <v>0</v>
      </c>
      <c r="DS26" s="193">
        <v>9</v>
      </c>
      <c r="DT26" s="191">
        <v>0</v>
      </c>
      <c r="DU26" s="191">
        <v>0</v>
      </c>
      <c r="DV26" s="192">
        <v>0</v>
      </c>
      <c r="DW26" s="194">
        <v>0</v>
      </c>
      <c r="DX26" s="29"/>
      <c r="DY26" s="242"/>
      <c r="DZ26" s="46" t="s">
        <v>11</v>
      </c>
      <c r="EA26" s="56" t="s">
        <v>12</v>
      </c>
      <c r="EB26" s="210">
        <v>0</v>
      </c>
      <c r="EC26" s="211">
        <v>0</v>
      </c>
      <c r="ED26" s="212">
        <v>0</v>
      </c>
      <c r="EE26" s="194">
        <v>12</v>
      </c>
      <c r="EF26" s="210">
        <v>90</v>
      </c>
      <c r="EG26" s="211">
        <v>3</v>
      </c>
      <c r="EH26" s="212">
        <v>0</v>
      </c>
      <c r="EI26" s="194">
        <v>2</v>
      </c>
      <c r="EJ26" s="210">
        <v>5</v>
      </c>
      <c r="EK26" s="211">
        <v>1</v>
      </c>
      <c r="EL26" s="212">
        <v>0</v>
      </c>
      <c r="EM26" s="194">
        <v>2</v>
      </c>
      <c r="EN26" s="29"/>
      <c r="EO26" s="242"/>
      <c r="EP26" s="46" t="s">
        <v>11</v>
      </c>
      <c r="EQ26" s="56" t="s">
        <v>12</v>
      </c>
      <c r="ER26" s="210">
        <v>0</v>
      </c>
      <c r="ES26" s="211">
        <v>0</v>
      </c>
      <c r="ET26" s="212">
        <v>0</v>
      </c>
      <c r="EU26" s="194">
        <v>8</v>
      </c>
      <c r="EV26" s="210">
        <v>90</v>
      </c>
      <c r="EW26" s="211">
        <v>3</v>
      </c>
      <c r="EX26" s="212">
        <v>0</v>
      </c>
      <c r="EY26" s="194">
        <v>0</v>
      </c>
      <c r="EZ26" s="210">
        <v>5</v>
      </c>
      <c r="FA26" s="211">
        <v>1</v>
      </c>
      <c r="FB26" s="212">
        <v>0</v>
      </c>
      <c r="FC26" s="194">
        <v>0</v>
      </c>
      <c r="FD26" s="29"/>
      <c r="FE26" s="242"/>
      <c r="FF26" s="46" t="s">
        <v>11</v>
      </c>
      <c r="FG26" s="56" t="s">
        <v>12</v>
      </c>
      <c r="FH26" s="48">
        <v>0</v>
      </c>
      <c r="FI26" s="49">
        <v>0</v>
      </c>
      <c r="FJ26" s="50">
        <v>0</v>
      </c>
      <c r="FK26" s="51">
        <v>0</v>
      </c>
      <c r="FL26" s="48">
        <v>0</v>
      </c>
      <c r="FM26" s="49">
        <v>0</v>
      </c>
      <c r="FN26" s="50">
        <v>0</v>
      </c>
      <c r="FO26" s="51">
        <v>0</v>
      </c>
      <c r="FP26" s="48">
        <v>0</v>
      </c>
      <c r="FQ26" s="49">
        <v>0</v>
      </c>
      <c r="FR26" s="50">
        <v>0</v>
      </c>
      <c r="FS26" s="51">
        <v>0</v>
      </c>
      <c r="FT26" s="29"/>
      <c r="FU26" s="242"/>
      <c r="FV26" s="46" t="s">
        <v>11</v>
      </c>
      <c r="FW26" s="56" t="s">
        <v>12</v>
      </c>
      <c r="FX26" s="48">
        <v>0</v>
      </c>
      <c r="FY26" s="49">
        <v>0</v>
      </c>
      <c r="FZ26" s="50">
        <v>0</v>
      </c>
      <c r="GA26" s="51">
        <v>0</v>
      </c>
      <c r="GB26" s="48">
        <v>0</v>
      </c>
      <c r="GC26" s="49">
        <v>0</v>
      </c>
      <c r="GD26" s="50">
        <v>0</v>
      </c>
      <c r="GE26" s="51">
        <v>0</v>
      </c>
      <c r="GF26" s="48">
        <v>0</v>
      </c>
      <c r="GG26" s="49">
        <v>0</v>
      </c>
      <c r="GH26" s="50">
        <v>0</v>
      </c>
      <c r="GI26" s="51">
        <v>0</v>
      </c>
      <c r="GJ26" s="29"/>
      <c r="GK26" s="242"/>
      <c r="GL26" s="46" t="s">
        <v>11</v>
      </c>
      <c r="GM26" s="56" t="s">
        <v>12</v>
      </c>
      <c r="GN26" s="41">
        <f t="shared" si="88"/>
        <v>0</v>
      </c>
      <c r="GO26" s="41">
        <f t="shared" si="79"/>
        <v>3</v>
      </c>
      <c r="GP26" s="41">
        <f t="shared" si="80"/>
        <v>0</v>
      </c>
      <c r="GQ26" s="41">
        <f t="shared" si="81"/>
        <v>150</v>
      </c>
      <c r="GR26" s="41">
        <f t="shared" si="89"/>
        <v>0</v>
      </c>
      <c r="GS26" s="41">
        <f t="shared" si="82"/>
        <v>8</v>
      </c>
      <c r="GT26" s="41">
        <f t="shared" si="83"/>
        <v>0</v>
      </c>
      <c r="GU26" s="41">
        <f t="shared" si="84"/>
        <v>58</v>
      </c>
      <c r="GV26" s="41">
        <f t="shared" si="90"/>
        <v>0</v>
      </c>
      <c r="GW26" s="41">
        <f t="shared" si="85"/>
        <v>2</v>
      </c>
      <c r="GX26" s="41">
        <f t="shared" si="86"/>
        <v>0</v>
      </c>
      <c r="GY26" s="41">
        <f t="shared" si="87"/>
        <v>2</v>
      </c>
      <c r="GZ26" s="29"/>
      <c r="HA26" s="31"/>
      <c r="HN26" s="31"/>
    </row>
    <row r="27" spans="1:222" ht="15" customHeight="1" thickBot="1" x14ac:dyDescent="0.3">
      <c r="A27" s="242"/>
      <c r="B27" s="233" t="s">
        <v>14</v>
      </c>
      <c r="C27" s="234"/>
      <c r="D27" s="58">
        <f t="shared" ref="D27:O27" si="91">SUM(D23:D26)</f>
        <v>907</v>
      </c>
      <c r="E27" s="59">
        <f t="shared" si="91"/>
        <v>25</v>
      </c>
      <c r="F27" s="60">
        <f t="shared" si="91"/>
        <v>24</v>
      </c>
      <c r="G27" s="61">
        <f t="shared" si="91"/>
        <v>0</v>
      </c>
      <c r="H27" s="58">
        <f t="shared" si="91"/>
        <v>512</v>
      </c>
      <c r="I27" s="59">
        <f t="shared" si="91"/>
        <v>1</v>
      </c>
      <c r="J27" s="60">
        <f t="shared" si="91"/>
        <v>7</v>
      </c>
      <c r="K27" s="61">
        <f t="shared" si="91"/>
        <v>0</v>
      </c>
      <c r="L27" s="58">
        <f t="shared" si="91"/>
        <v>8</v>
      </c>
      <c r="M27" s="59">
        <f t="shared" si="91"/>
        <v>0</v>
      </c>
      <c r="N27" s="60">
        <f t="shared" si="91"/>
        <v>0</v>
      </c>
      <c r="O27" s="61">
        <f t="shared" si="91"/>
        <v>0</v>
      </c>
      <c r="P27" s="29"/>
      <c r="Q27" s="242"/>
      <c r="R27" s="233" t="s">
        <v>14</v>
      </c>
      <c r="S27" s="234"/>
      <c r="T27" s="58">
        <f t="shared" ref="T27:AE27" si="92">SUM(T23:T26)</f>
        <v>907</v>
      </c>
      <c r="U27" s="59">
        <f t="shared" si="92"/>
        <v>31</v>
      </c>
      <c r="V27" s="60">
        <f t="shared" si="92"/>
        <v>25</v>
      </c>
      <c r="W27" s="61">
        <f t="shared" si="92"/>
        <v>314</v>
      </c>
      <c r="X27" s="58">
        <f t="shared" si="92"/>
        <v>512</v>
      </c>
      <c r="Y27" s="59">
        <f t="shared" si="92"/>
        <v>1</v>
      </c>
      <c r="Z27" s="60">
        <f t="shared" si="92"/>
        <v>7</v>
      </c>
      <c r="AA27" s="61">
        <f t="shared" si="92"/>
        <v>216</v>
      </c>
      <c r="AB27" s="58">
        <f t="shared" si="92"/>
        <v>8</v>
      </c>
      <c r="AC27" s="59">
        <f t="shared" si="92"/>
        <v>0</v>
      </c>
      <c r="AD27" s="60">
        <f t="shared" si="92"/>
        <v>0</v>
      </c>
      <c r="AE27" s="61">
        <f t="shared" si="92"/>
        <v>0</v>
      </c>
      <c r="AF27" s="29"/>
      <c r="AG27" s="242"/>
      <c r="AH27" s="233" t="s">
        <v>14</v>
      </c>
      <c r="AI27" s="234"/>
      <c r="AJ27" s="169">
        <v>0</v>
      </c>
      <c r="AK27" s="170">
        <v>0</v>
      </c>
      <c r="AL27" s="171">
        <v>0</v>
      </c>
      <c r="AM27" s="172">
        <v>0</v>
      </c>
      <c r="AN27" s="170">
        <v>0</v>
      </c>
      <c r="AO27" s="170">
        <v>0</v>
      </c>
      <c r="AP27" s="171">
        <v>0</v>
      </c>
      <c r="AQ27" s="172">
        <v>0</v>
      </c>
      <c r="AR27" s="170">
        <v>0</v>
      </c>
      <c r="AS27" s="170">
        <v>0</v>
      </c>
      <c r="AT27" s="171">
        <v>0</v>
      </c>
      <c r="AU27" s="172">
        <v>0</v>
      </c>
      <c r="AV27" s="29"/>
      <c r="AW27" s="242"/>
      <c r="AX27" s="233" t="s">
        <v>14</v>
      </c>
      <c r="AY27" s="234"/>
      <c r="AZ27" s="58">
        <f t="shared" ref="AZ27:BK27" si="93">SUM(AZ23:AZ26)</f>
        <v>897</v>
      </c>
      <c r="BA27" s="59">
        <f t="shared" si="93"/>
        <v>25</v>
      </c>
      <c r="BB27" s="60">
        <f t="shared" si="93"/>
        <v>25</v>
      </c>
      <c r="BC27" s="61">
        <f t="shared" si="93"/>
        <v>255</v>
      </c>
      <c r="BD27" s="58">
        <f t="shared" si="93"/>
        <v>507</v>
      </c>
      <c r="BE27" s="59">
        <f t="shared" si="93"/>
        <v>1</v>
      </c>
      <c r="BF27" s="60">
        <f t="shared" si="93"/>
        <v>7</v>
      </c>
      <c r="BG27" s="61">
        <f t="shared" si="93"/>
        <v>220</v>
      </c>
      <c r="BH27" s="58">
        <f t="shared" si="93"/>
        <v>8</v>
      </c>
      <c r="BI27" s="59">
        <f t="shared" si="93"/>
        <v>0</v>
      </c>
      <c r="BJ27" s="60">
        <f t="shared" si="93"/>
        <v>0</v>
      </c>
      <c r="BK27" s="61">
        <f t="shared" si="93"/>
        <v>0</v>
      </c>
      <c r="BL27" s="29"/>
      <c r="BM27" s="242"/>
      <c r="BN27" s="233" t="s">
        <v>14</v>
      </c>
      <c r="BO27" s="234"/>
      <c r="BP27" s="58">
        <f t="shared" ref="BP27:CA27" si="94">SUM(BP23:BP26)</f>
        <v>928</v>
      </c>
      <c r="BQ27" s="59">
        <f t="shared" si="94"/>
        <v>0</v>
      </c>
      <c r="BR27" s="60">
        <f t="shared" si="94"/>
        <v>32</v>
      </c>
      <c r="BS27" s="61">
        <f t="shared" si="94"/>
        <v>106</v>
      </c>
      <c r="BT27" s="58">
        <f t="shared" si="94"/>
        <v>773</v>
      </c>
      <c r="BU27" s="59">
        <f t="shared" si="94"/>
        <v>0</v>
      </c>
      <c r="BV27" s="60">
        <f t="shared" si="94"/>
        <v>14</v>
      </c>
      <c r="BW27" s="61">
        <f t="shared" si="94"/>
        <v>134</v>
      </c>
      <c r="BX27" s="58">
        <f t="shared" si="94"/>
        <v>142</v>
      </c>
      <c r="BY27" s="59">
        <f t="shared" si="94"/>
        <v>0</v>
      </c>
      <c r="BZ27" s="60">
        <f t="shared" si="94"/>
        <v>0</v>
      </c>
      <c r="CA27" s="61">
        <f t="shared" si="94"/>
        <v>12</v>
      </c>
      <c r="CB27" s="29"/>
      <c r="CC27" s="242"/>
      <c r="CD27" s="233" t="s">
        <v>14</v>
      </c>
      <c r="CE27" s="234"/>
      <c r="CF27" s="169">
        <v>0</v>
      </c>
      <c r="CG27" s="170">
        <v>0</v>
      </c>
      <c r="CH27" s="171">
        <v>0</v>
      </c>
      <c r="CI27" s="172">
        <v>45</v>
      </c>
      <c r="CJ27" s="170">
        <v>0</v>
      </c>
      <c r="CK27" s="170">
        <v>0</v>
      </c>
      <c r="CL27" s="171">
        <v>0</v>
      </c>
      <c r="CM27" s="172">
        <v>31</v>
      </c>
      <c r="CN27" s="170">
        <v>0</v>
      </c>
      <c r="CO27" s="170">
        <v>0</v>
      </c>
      <c r="CP27" s="171">
        <v>0</v>
      </c>
      <c r="CQ27" s="172">
        <v>0</v>
      </c>
      <c r="CR27" s="29"/>
      <c r="CS27" s="242"/>
      <c r="CT27" s="233" t="s">
        <v>14</v>
      </c>
      <c r="CU27" s="234"/>
      <c r="CV27" s="169">
        <v>907</v>
      </c>
      <c r="CW27" s="170">
        <v>31</v>
      </c>
      <c r="CX27" s="171">
        <v>25</v>
      </c>
      <c r="CY27" s="172">
        <v>314</v>
      </c>
      <c r="CZ27" s="170">
        <v>512</v>
      </c>
      <c r="DA27" s="170">
        <v>1</v>
      </c>
      <c r="DB27" s="171">
        <v>7</v>
      </c>
      <c r="DC27" s="172">
        <v>216</v>
      </c>
      <c r="DD27" s="170">
        <v>8</v>
      </c>
      <c r="DE27" s="170">
        <v>0</v>
      </c>
      <c r="DF27" s="171">
        <v>0</v>
      </c>
      <c r="DG27" s="172">
        <v>1</v>
      </c>
      <c r="DH27" s="29"/>
      <c r="DI27" s="242"/>
      <c r="DJ27" s="233" t="s">
        <v>14</v>
      </c>
      <c r="DK27" s="234"/>
      <c r="DL27" s="199">
        <f t="shared" ref="DL27:DW27" si="95">SUM(DL23:DL26)</f>
        <v>456</v>
      </c>
      <c r="DM27" s="200">
        <f t="shared" si="95"/>
        <v>0</v>
      </c>
      <c r="DN27" s="201">
        <f t="shared" si="95"/>
        <v>4</v>
      </c>
      <c r="DO27" s="202">
        <f t="shared" si="95"/>
        <v>135</v>
      </c>
      <c r="DP27" s="199">
        <f t="shared" si="95"/>
        <v>43</v>
      </c>
      <c r="DQ27" s="200">
        <f t="shared" si="95"/>
        <v>0</v>
      </c>
      <c r="DR27" s="201">
        <f t="shared" si="95"/>
        <v>0</v>
      </c>
      <c r="DS27" s="202">
        <f t="shared" si="95"/>
        <v>148</v>
      </c>
      <c r="DT27" s="199">
        <f t="shared" si="95"/>
        <v>76</v>
      </c>
      <c r="DU27" s="200">
        <f t="shared" si="95"/>
        <v>0</v>
      </c>
      <c r="DV27" s="201">
        <f t="shared" si="95"/>
        <v>0</v>
      </c>
      <c r="DW27" s="202">
        <f t="shared" si="95"/>
        <v>0</v>
      </c>
      <c r="DX27" s="29"/>
      <c r="DY27" s="242"/>
      <c r="DZ27" s="233" t="s">
        <v>14</v>
      </c>
      <c r="EA27" s="234"/>
      <c r="EB27" s="199">
        <f t="shared" ref="EB27:EM27" si="96">SUM(EB23:EB26)</f>
        <v>1343</v>
      </c>
      <c r="EC27" s="200">
        <f t="shared" si="96"/>
        <v>8</v>
      </c>
      <c r="ED27" s="201">
        <f t="shared" si="96"/>
        <v>0</v>
      </c>
      <c r="EE27" s="202">
        <f t="shared" si="96"/>
        <v>106</v>
      </c>
      <c r="EF27" s="199">
        <f t="shared" si="96"/>
        <v>2534</v>
      </c>
      <c r="EG27" s="200">
        <f t="shared" si="96"/>
        <v>28</v>
      </c>
      <c r="EH27" s="201">
        <f t="shared" si="96"/>
        <v>0</v>
      </c>
      <c r="EI27" s="202">
        <f t="shared" si="96"/>
        <v>38</v>
      </c>
      <c r="EJ27" s="199">
        <f t="shared" si="96"/>
        <v>53</v>
      </c>
      <c r="EK27" s="200">
        <f t="shared" si="96"/>
        <v>4</v>
      </c>
      <c r="EL27" s="201">
        <f t="shared" si="96"/>
        <v>0</v>
      </c>
      <c r="EM27" s="202">
        <f t="shared" si="96"/>
        <v>9</v>
      </c>
      <c r="EN27" s="29"/>
      <c r="EO27" s="242"/>
      <c r="EP27" s="233" t="s">
        <v>14</v>
      </c>
      <c r="EQ27" s="234"/>
      <c r="ER27" s="199">
        <f t="shared" ref="ER27:FC27" si="97">SUM(ER23:ER26)</f>
        <v>1343</v>
      </c>
      <c r="ES27" s="200">
        <f t="shared" si="97"/>
        <v>8</v>
      </c>
      <c r="ET27" s="201">
        <f t="shared" si="97"/>
        <v>0</v>
      </c>
      <c r="EU27" s="202">
        <f t="shared" si="97"/>
        <v>68</v>
      </c>
      <c r="EV27" s="199">
        <f t="shared" si="97"/>
        <v>2534</v>
      </c>
      <c r="EW27" s="200">
        <f t="shared" si="97"/>
        <v>28</v>
      </c>
      <c r="EX27" s="201">
        <f t="shared" si="97"/>
        <v>0</v>
      </c>
      <c r="EY27" s="202">
        <f t="shared" si="97"/>
        <v>30</v>
      </c>
      <c r="EZ27" s="199">
        <f t="shared" si="97"/>
        <v>53</v>
      </c>
      <c r="FA27" s="200">
        <f t="shared" si="97"/>
        <v>4</v>
      </c>
      <c r="FB27" s="201">
        <f t="shared" si="97"/>
        <v>0</v>
      </c>
      <c r="FC27" s="202">
        <f t="shared" si="97"/>
        <v>0</v>
      </c>
      <c r="FD27" s="29"/>
      <c r="FE27" s="242"/>
      <c r="FF27" s="233" t="s">
        <v>14</v>
      </c>
      <c r="FG27" s="234"/>
      <c r="FH27" s="58">
        <f t="shared" ref="FH27:FS27" si="98">SUM(FH23:FH26)</f>
        <v>0</v>
      </c>
      <c r="FI27" s="59">
        <f t="shared" si="98"/>
        <v>0</v>
      </c>
      <c r="FJ27" s="60">
        <f t="shared" si="98"/>
        <v>0</v>
      </c>
      <c r="FK27" s="61">
        <f t="shared" si="98"/>
        <v>0</v>
      </c>
      <c r="FL27" s="58">
        <f t="shared" si="98"/>
        <v>0</v>
      </c>
      <c r="FM27" s="59">
        <f t="shared" si="98"/>
        <v>0</v>
      </c>
      <c r="FN27" s="60">
        <f t="shared" si="98"/>
        <v>0</v>
      </c>
      <c r="FO27" s="61">
        <f t="shared" si="98"/>
        <v>0</v>
      </c>
      <c r="FP27" s="58">
        <f t="shared" si="98"/>
        <v>0</v>
      </c>
      <c r="FQ27" s="59">
        <f t="shared" si="98"/>
        <v>0</v>
      </c>
      <c r="FR27" s="60">
        <f t="shared" si="98"/>
        <v>0</v>
      </c>
      <c r="FS27" s="61">
        <f t="shared" si="98"/>
        <v>0</v>
      </c>
      <c r="FT27" s="29"/>
      <c r="FU27" s="242"/>
      <c r="FV27" s="233" t="s">
        <v>14</v>
      </c>
      <c r="FW27" s="234"/>
      <c r="FX27" s="58">
        <f t="shared" ref="FX27:GI27" si="99">SUM(FX23:FX26)</f>
        <v>0</v>
      </c>
      <c r="FY27" s="59">
        <f t="shared" si="99"/>
        <v>0</v>
      </c>
      <c r="FZ27" s="60">
        <f t="shared" si="99"/>
        <v>0</v>
      </c>
      <c r="GA27" s="61">
        <f t="shared" si="99"/>
        <v>0</v>
      </c>
      <c r="GB27" s="58">
        <f t="shared" si="99"/>
        <v>0</v>
      </c>
      <c r="GC27" s="59">
        <f t="shared" si="99"/>
        <v>0</v>
      </c>
      <c r="GD27" s="60">
        <f t="shared" si="99"/>
        <v>0</v>
      </c>
      <c r="GE27" s="61">
        <f t="shared" si="99"/>
        <v>0</v>
      </c>
      <c r="GF27" s="58">
        <f t="shared" si="99"/>
        <v>0</v>
      </c>
      <c r="GG27" s="59">
        <f t="shared" si="99"/>
        <v>0</v>
      </c>
      <c r="GH27" s="60">
        <f t="shared" si="99"/>
        <v>0</v>
      </c>
      <c r="GI27" s="61">
        <f t="shared" si="99"/>
        <v>0</v>
      </c>
      <c r="GJ27" s="29"/>
      <c r="GK27" s="242"/>
      <c r="GL27" s="233" t="s">
        <v>14</v>
      </c>
      <c r="GM27" s="234"/>
      <c r="GN27" s="62">
        <f t="shared" ref="GN27:GY27" si="100">SUM(GN23:GN26)</f>
        <v>0</v>
      </c>
      <c r="GO27" s="63">
        <f t="shared" si="100"/>
        <v>143</v>
      </c>
      <c r="GP27" s="64">
        <f t="shared" si="100"/>
        <v>137</v>
      </c>
      <c r="GQ27" s="64">
        <f t="shared" si="100"/>
        <v>1343</v>
      </c>
      <c r="GR27" s="62">
        <f t="shared" si="100"/>
        <v>0</v>
      </c>
      <c r="GS27" s="63">
        <f t="shared" si="100"/>
        <v>70</v>
      </c>
      <c r="GT27" s="64">
        <f t="shared" si="100"/>
        <v>43</v>
      </c>
      <c r="GU27" s="64">
        <f t="shared" si="100"/>
        <v>1033</v>
      </c>
      <c r="GV27" s="62">
        <f t="shared" si="100"/>
        <v>0</v>
      </c>
      <c r="GW27" s="63">
        <f t="shared" si="100"/>
        <v>10</v>
      </c>
      <c r="GX27" s="64">
        <f t="shared" si="100"/>
        <v>0</v>
      </c>
      <c r="GY27" s="64">
        <f t="shared" si="100"/>
        <v>22</v>
      </c>
      <c r="GZ27" s="29"/>
      <c r="HA27" s="31"/>
      <c r="HN27" s="31"/>
    </row>
    <row r="28" spans="1:222" ht="15" customHeight="1" thickTop="1" thickBot="1" x14ac:dyDescent="0.3">
      <c r="A28" s="243"/>
      <c r="B28" s="65" t="s">
        <v>15</v>
      </c>
      <c r="C28" s="65"/>
      <c r="D28" s="66"/>
      <c r="E28" s="66" t="s">
        <v>2</v>
      </c>
      <c r="F28" s="66"/>
      <c r="G28" s="66">
        <v>0</v>
      </c>
      <c r="H28" s="66"/>
      <c r="I28" s="66" t="s">
        <v>16</v>
      </c>
      <c r="J28" s="66"/>
      <c r="K28" s="66">
        <v>0</v>
      </c>
      <c r="L28" s="66"/>
      <c r="M28" s="66" t="s">
        <v>17</v>
      </c>
      <c r="N28" s="232">
        <v>0</v>
      </c>
      <c r="O28" s="232"/>
      <c r="P28" s="29"/>
      <c r="Q28" s="243"/>
      <c r="R28" s="65" t="s">
        <v>15</v>
      </c>
      <c r="S28" s="65"/>
      <c r="T28" s="66"/>
      <c r="U28" s="66" t="s">
        <v>2</v>
      </c>
      <c r="V28" s="66"/>
      <c r="W28" s="66">
        <v>0</v>
      </c>
      <c r="X28" s="66"/>
      <c r="Y28" s="66" t="s">
        <v>16</v>
      </c>
      <c r="Z28" s="66"/>
      <c r="AA28" s="66">
        <v>0</v>
      </c>
      <c r="AB28" s="66"/>
      <c r="AC28" s="66" t="s">
        <v>17</v>
      </c>
      <c r="AD28" s="232">
        <v>0</v>
      </c>
      <c r="AE28" s="232"/>
      <c r="AF28" s="29"/>
      <c r="AG28" s="243"/>
      <c r="AH28" s="65" t="s">
        <v>15</v>
      </c>
      <c r="AI28" s="65"/>
      <c r="AJ28" s="173"/>
      <c r="AK28" s="174" t="s">
        <v>2</v>
      </c>
      <c r="AL28" s="173"/>
      <c r="AM28" s="175">
        <v>0</v>
      </c>
      <c r="AN28" s="173"/>
      <c r="AO28" s="174" t="s">
        <v>16</v>
      </c>
      <c r="AP28" s="173"/>
      <c r="AQ28" s="175">
        <v>0</v>
      </c>
      <c r="AR28" s="173"/>
      <c r="AS28" s="175" t="s">
        <v>17</v>
      </c>
      <c r="AT28" s="249">
        <v>0</v>
      </c>
      <c r="AU28" s="250"/>
      <c r="AV28" s="29"/>
      <c r="AW28" s="243"/>
      <c r="AX28" s="65" t="s">
        <v>15</v>
      </c>
      <c r="AY28" s="65"/>
      <c r="AZ28" s="66"/>
      <c r="BA28" s="66" t="s">
        <v>2</v>
      </c>
      <c r="BB28" s="66"/>
      <c r="BC28" s="66">
        <v>0</v>
      </c>
      <c r="BD28" s="66"/>
      <c r="BE28" s="66" t="s">
        <v>16</v>
      </c>
      <c r="BF28" s="66"/>
      <c r="BG28" s="66">
        <v>0</v>
      </c>
      <c r="BH28" s="66"/>
      <c r="BI28" s="66" t="s">
        <v>17</v>
      </c>
      <c r="BJ28" s="232">
        <v>0</v>
      </c>
      <c r="BK28" s="232"/>
      <c r="BL28" s="29"/>
      <c r="BM28" s="243"/>
      <c r="BN28" s="65" t="s">
        <v>15</v>
      </c>
      <c r="BO28" s="65"/>
      <c r="BP28" s="66"/>
      <c r="BQ28" s="66" t="s">
        <v>2</v>
      </c>
      <c r="BR28" s="66"/>
      <c r="BS28" s="66">
        <v>0</v>
      </c>
      <c r="BT28" s="66"/>
      <c r="BU28" s="66" t="s">
        <v>16</v>
      </c>
      <c r="BV28" s="66"/>
      <c r="BW28" s="66">
        <v>0</v>
      </c>
      <c r="BX28" s="66"/>
      <c r="BY28" s="66" t="s">
        <v>17</v>
      </c>
      <c r="BZ28" s="232">
        <v>0</v>
      </c>
      <c r="CA28" s="232"/>
      <c r="CB28" s="29"/>
      <c r="CC28" s="243"/>
      <c r="CD28" s="65" t="s">
        <v>15</v>
      </c>
      <c r="CE28" s="65"/>
      <c r="CF28" s="173"/>
      <c r="CG28" s="174" t="s">
        <v>2</v>
      </c>
      <c r="CH28" s="173"/>
      <c r="CI28" s="175">
        <v>0</v>
      </c>
      <c r="CJ28" s="173"/>
      <c r="CK28" s="174" t="s">
        <v>16</v>
      </c>
      <c r="CL28" s="173"/>
      <c r="CM28" s="175">
        <v>0</v>
      </c>
      <c r="CN28" s="173"/>
      <c r="CO28" s="175" t="s">
        <v>17</v>
      </c>
      <c r="CP28" s="249">
        <v>0</v>
      </c>
      <c r="CQ28" s="250"/>
      <c r="CR28" s="29"/>
      <c r="CS28" s="243"/>
      <c r="CT28" s="65" t="s">
        <v>15</v>
      </c>
      <c r="CU28" s="65"/>
      <c r="CV28" s="173"/>
      <c r="CW28" s="174" t="s">
        <v>2</v>
      </c>
      <c r="CX28" s="173"/>
      <c r="CY28" s="175">
        <v>0</v>
      </c>
      <c r="CZ28" s="173"/>
      <c r="DA28" s="174" t="s">
        <v>16</v>
      </c>
      <c r="DB28" s="173"/>
      <c r="DC28" s="175">
        <v>0</v>
      </c>
      <c r="DD28" s="173"/>
      <c r="DE28" s="175" t="s">
        <v>17</v>
      </c>
      <c r="DF28" s="249">
        <v>0</v>
      </c>
      <c r="DG28" s="250"/>
      <c r="DH28" s="29"/>
      <c r="DI28" s="243"/>
      <c r="DJ28" s="65" t="s">
        <v>15</v>
      </c>
      <c r="DK28" s="65"/>
      <c r="DL28" s="203"/>
      <c r="DM28" s="203" t="s">
        <v>2</v>
      </c>
      <c r="DN28" s="203"/>
      <c r="DO28" s="203">
        <v>0</v>
      </c>
      <c r="DP28" s="203"/>
      <c r="DQ28" s="203" t="s">
        <v>16</v>
      </c>
      <c r="DR28" s="203"/>
      <c r="DS28" s="203">
        <v>0</v>
      </c>
      <c r="DT28" s="203"/>
      <c r="DU28" s="203" t="s">
        <v>17</v>
      </c>
      <c r="DV28" s="247">
        <v>0</v>
      </c>
      <c r="DW28" s="248"/>
      <c r="DX28" s="29"/>
      <c r="DY28" s="243"/>
      <c r="DZ28" s="65" t="s">
        <v>15</v>
      </c>
      <c r="EA28" s="65"/>
      <c r="EB28" s="66"/>
      <c r="EC28" s="66" t="s">
        <v>2</v>
      </c>
      <c r="ED28" s="66"/>
      <c r="EE28" s="66">
        <v>0</v>
      </c>
      <c r="EF28" s="66"/>
      <c r="EG28" s="66" t="s">
        <v>16</v>
      </c>
      <c r="EH28" s="66"/>
      <c r="EI28" s="66">
        <v>0</v>
      </c>
      <c r="EJ28" s="66"/>
      <c r="EK28" s="66" t="s">
        <v>17</v>
      </c>
      <c r="EL28" s="232">
        <v>0</v>
      </c>
      <c r="EM28" s="232"/>
      <c r="EN28" s="29"/>
      <c r="EO28" s="243"/>
      <c r="EP28" s="65" t="s">
        <v>15</v>
      </c>
      <c r="EQ28" s="65"/>
      <c r="ER28" s="66"/>
      <c r="ES28" s="66" t="s">
        <v>2</v>
      </c>
      <c r="ET28" s="66"/>
      <c r="EU28" s="66">
        <v>0</v>
      </c>
      <c r="EV28" s="66"/>
      <c r="EW28" s="66" t="s">
        <v>16</v>
      </c>
      <c r="EX28" s="66"/>
      <c r="EY28" s="66">
        <v>0</v>
      </c>
      <c r="EZ28" s="66"/>
      <c r="FA28" s="66" t="s">
        <v>17</v>
      </c>
      <c r="FB28" s="232">
        <v>0</v>
      </c>
      <c r="FC28" s="232"/>
      <c r="FD28" s="29"/>
      <c r="FE28" s="243"/>
      <c r="FF28" s="65" t="s">
        <v>15</v>
      </c>
      <c r="FG28" s="65"/>
      <c r="FH28" s="66"/>
      <c r="FI28" s="66" t="s">
        <v>2</v>
      </c>
      <c r="FJ28" s="66"/>
      <c r="FK28" s="66">
        <v>0</v>
      </c>
      <c r="FL28" s="66"/>
      <c r="FM28" s="66" t="s">
        <v>16</v>
      </c>
      <c r="FN28" s="66"/>
      <c r="FO28" s="66">
        <v>0</v>
      </c>
      <c r="FP28" s="66"/>
      <c r="FQ28" s="66" t="s">
        <v>17</v>
      </c>
      <c r="FR28" s="232">
        <v>0</v>
      </c>
      <c r="FS28" s="232"/>
      <c r="FT28" s="29"/>
      <c r="FU28" s="243"/>
      <c r="FV28" s="65" t="s">
        <v>15</v>
      </c>
      <c r="FW28" s="65"/>
      <c r="FX28" s="66"/>
      <c r="FY28" s="66" t="s">
        <v>2</v>
      </c>
      <c r="FZ28" s="66"/>
      <c r="GA28" s="66">
        <v>0</v>
      </c>
      <c r="GB28" s="66"/>
      <c r="GC28" s="66" t="s">
        <v>16</v>
      </c>
      <c r="GD28" s="66"/>
      <c r="GE28" s="66">
        <v>0</v>
      </c>
      <c r="GF28" s="66"/>
      <c r="GG28" s="66" t="s">
        <v>17</v>
      </c>
      <c r="GH28" s="232">
        <v>0</v>
      </c>
      <c r="GI28" s="232"/>
      <c r="GJ28" s="29"/>
      <c r="GK28" s="243"/>
      <c r="GL28" s="65" t="s">
        <v>15</v>
      </c>
      <c r="GM28" s="65"/>
      <c r="GN28" s="66"/>
      <c r="GO28" s="66" t="s">
        <v>2</v>
      </c>
      <c r="GP28" s="66"/>
      <c r="GQ28" s="66"/>
      <c r="GR28" s="66">
        <f>G28+W28+AM28+BC28+BS28+CI28+CY28+DO28+EE28+EU28+FK28+GA28</f>
        <v>0</v>
      </c>
      <c r="GS28" s="66" t="s">
        <v>16</v>
      </c>
      <c r="GT28" s="66"/>
      <c r="GU28" s="66"/>
      <c r="GV28" s="66">
        <f>K28+AA28+AQ28+BG28+BW28+CM28+DC28+DS28+EI28+EY28+FO28+GE28</f>
        <v>0</v>
      </c>
      <c r="GW28" s="66" t="s">
        <v>17</v>
      </c>
      <c r="GX28" s="66"/>
      <c r="GY28" s="66">
        <f>N28+AD28+AT28+BJ28+BZ28+CP28+DF28+DV28+EL28+FB28+FR28+GH28</f>
        <v>0</v>
      </c>
      <c r="GZ28" s="29"/>
      <c r="HA28" s="31"/>
      <c r="HN28" s="31"/>
    </row>
    <row r="29" spans="1:222" ht="15" customHeight="1" thickBot="1" x14ac:dyDescent="0.3">
      <c r="A29" s="241" t="s">
        <v>28</v>
      </c>
      <c r="B29" s="38"/>
      <c r="C29" s="39" t="s">
        <v>10</v>
      </c>
      <c r="D29" s="40">
        <v>0</v>
      </c>
      <c r="E29" s="41">
        <v>0</v>
      </c>
      <c r="F29" s="42">
        <v>0</v>
      </c>
      <c r="G29" s="43">
        <v>0</v>
      </c>
      <c r="H29" s="40">
        <v>0</v>
      </c>
      <c r="I29" s="41">
        <v>0</v>
      </c>
      <c r="J29" s="42">
        <v>0</v>
      </c>
      <c r="K29" s="43">
        <v>0</v>
      </c>
      <c r="L29" s="40">
        <v>0</v>
      </c>
      <c r="M29" s="41">
        <v>0</v>
      </c>
      <c r="N29" s="42">
        <v>0</v>
      </c>
      <c r="O29" s="43">
        <v>0</v>
      </c>
      <c r="P29" s="29"/>
      <c r="Q29" s="241" t="s">
        <v>28</v>
      </c>
      <c r="R29" s="38"/>
      <c r="S29" s="39" t="s">
        <v>10</v>
      </c>
      <c r="T29" s="40">
        <v>0</v>
      </c>
      <c r="U29" s="41">
        <v>0</v>
      </c>
      <c r="V29" s="42">
        <v>0</v>
      </c>
      <c r="W29" s="43">
        <v>0</v>
      </c>
      <c r="X29" s="40">
        <v>0</v>
      </c>
      <c r="Y29" s="41">
        <v>0</v>
      </c>
      <c r="Z29" s="42">
        <v>0</v>
      </c>
      <c r="AA29" s="43">
        <v>0</v>
      </c>
      <c r="AB29" s="40">
        <v>0</v>
      </c>
      <c r="AC29" s="41">
        <v>0</v>
      </c>
      <c r="AD29" s="42">
        <v>0</v>
      </c>
      <c r="AE29" s="43">
        <v>0</v>
      </c>
      <c r="AF29" s="29"/>
      <c r="AG29" s="241" t="s">
        <v>28</v>
      </c>
      <c r="AH29" s="38"/>
      <c r="AI29" s="39" t="s">
        <v>10</v>
      </c>
      <c r="AJ29" s="156">
        <v>0</v>
      </c>
      <c r="AK29" s="157">
        <v>0</v>
      </c>
      <c r="AL29" s="158">
        <v>0</v>
      </c>
      <c r="AM29" s="159">
        <v>0</v>
      </c>
      <c r="AN29" s="157">
        <v>0</v>
      </c>
      <c r="AO29" s="157">
        <v>0</v>
      </c>
      <c r="AP29" s="158">
        <v>0</v>
      </c>
      <c r="AQ29" s="159">
        <v>0</v>
      </c>
      <c r="AR29" s="157">
        <v>0</v>
      </c>
      <c r="AS29" s="157">
        <v>0</v>
      </c>
      <c r="AT29" s="158">
        <v>0</v>
      </c>
      <c r="AU29" s="159">
        <v>0</v>
      </c>
      <c r="AV29" s="29"/>
      <c r="AW29" s="241" t="s">
        <v>28</v>
      </c>
      <c r="AX29" s="38"/>
      <c r="AY29" s="39" t="s">
        <v>10</v>
      </c>
      <c r="AZ29" s="40">
        <v>0</v>
      </c>
      <c r="BA29" s="41">
        <v>0</v>
      </c>
      <c r="BB29" s="42">
        <v>0</v>
      </c>
      <c r="BC29" s="43">
        <v>0</v>
      </c>
      <c r="BD29" s="40">
        <v>0</v>
      </c>
      <c r="BE29" s="41">
        <v>0</v>
      </c>
      <c r="BF29" s="42">
        <v>0</v>
      </c>
      <c r="BG29" s="43">
        <v>0</v>
      </c>
      <c r="BH29" s="40">
        <v>0</v>
      </c>
      <c r="BI29" s="41">
        <v>0</v>
      </c>
      <c r="BJ29" s="42">
        <v>0</v>
      </c>
      <c r="BK29" s="43">
        <v>0</v>
      </c>
      <c r="BL29" s="29"/>
      <c r="BM29" s="241" t="s">
        <v>28</v>
      </c>
      <c r="BN29" s="38"/>
      <c r="BO29" s="39" t="s">
        <v>10</v>
      </c>
      <c r="BP29" s="40">
        <v>0</v>
      </c>
      <c r="BQ29" s="41">
        <v>0</v>
      </c>
      <c r="BR29" s="42">
        <v>0</v>
      </c>
      <c r="BS29" s="43">
        <v>0</v>
      </c>
      <c r="BT29" s="40">
        <v>0</v>
      </c>
      <c r="BU29" s="41">
        <v>0</v>
      </c>
      <c r="BV29" s="42">
        <v>0</v>
      </c>
      <c r="BW29" s="43">
        <v>0</v>
      </c>
      <c r="BX29" s="40">
        <v>0</v>
      </c>
      <c r="BY29" s="41">
        <v>0</v>
      </c>
      <c r="BZ29" s="42">
        <v>0</v>
      </c>
      <c r="CA29" s="43">
        <v>0</v>
      </c>
      <c r="CB29" s="29"/>
      <c r="CC29" s="241" t="s">
        <v>28</v>
      </c>
      <c r="CD29" s="38"/>
      <c r="CE29" s="39" t="s">
        <v>10</v>
      </c>
      <c r="CF29" s="156">
        <v>0</v>
      </c>
      <c r="CG29" s="157">
        <v>0</v>
      </c>
      <c r="CH29" s="158">
        <v>0</v>
      </c>
      <c r="CI29" s="159">
        <v>0</v>
      </c>
      <c r="CJ29" s="157">
        <v>0</v>
      </c>
      <c r="CK29" s="157">
        <v>0</v>
      </c>
      <c r="CL29" s="158">
        <v>0</v>
      </c>
      <c r="CM29" s="159">
        <v>0</v>
      </c>
      <c r="CN29" s="157">
        <v>0</v>
      </c>
      <c r="CO29" s="157">
        <v>0</v>
      </c>
      <c r="CP29" s="158">
        <v>0</v>
      </c>
      <c r="CQ29" s="159">
        <v>0</v>
      </c>
      <c r="CR29" s="29"/>
      <c r="CS29" s="241" t="s">
        <v>28</v>
      </c>
      <c r="CT29" s="38"/>
      <c r="CU29" s="39" t="s">
        <v>10</v>
      </c>
      <c r="CV29" s="156">
        <v>0</v>
      </c>
      <c r="CW29" s="157">
        <v>0</v>
      </c>
      <c r="CX29" s="158">
        <v>0</v>
      </c>
      <c r="CY29" s="159">
        <v>0</v>
      </c>
      <c r="CZ29" s="157">
        <v>0</v>
      </c>
      <c r="DA29" s="157">
        <v>0</v>
      </c>
      <c r="DB29" s="158">
        <v>0</v>
      </c>
      <c r="DC29" s="159">
        <v>0</v>
      </c>
      <c r="DD29" s="157">
        <v>0</v>
      </c>
      <c r="DE29" s="157">
        <v>0</v>
      </c>
      <c r="DF29" s="158">
        <v>0</v>
      </c>
      <c r="DG29" s="159">
        <v>0</v>
      </c>
      <c r="DH29" s="29"/>
      <c r="DI29" s="241" t="s">
        <v>28</v>
      </c>
      <c r="DJ29" s="38"/>
      <c r="DK29" s="39" t="s">
        <v>10</v>
      </c>
      <c r="DL29" s="207">
        <v>0</v>
      </c>
      <c r="DM29" s="208">
        <v>0</v>
      </c>
      <c r="DN29" s="209">
        <v>0</v>
      </c>
      <c r="DO29" s="189">
        <v>0</v>
      </c>
      <c r="DP29" s="207">
        <v>0</v>
      </c>
      <c r="DQ29" s="208">
        <v>0</v>
      </c>
      <c r="DR29" s="209">
        <v>0</v>
      </c>
      <c r="DS29" s="189">
        <v>0</v>
      </c>
      <c r="DT29" s="207">
        <v>0</v>
      </c>
      <c r="DU29" s="208">
        <v>0</v>
      </c>
      <c r="DV29" s="209">
        <v>0</v>
      </c>
      <c r="DW29" s="189">
        <v>0</v>
      </c>
      <c r="DX29" s="29"/>
      <c r="DY29" s="241" t="s">
        <v>28</v>
      </c>
      <c r="DZ29" s="38"/>
      <c r="EA29" s="39" t="s">
        <v>10</v>
      </c>
      <c r="EB29" s="40">
        <v>0</v>
      </c>
      <c r="EC29" s="41">
        <v>0</v>
      </c>
      <c r="ED29" s="42">
        <v>0</v>
      </c>
      <c r="EE29" s="43">
        <v>0</v>
      </c>
      <c r="EF29" s="40">
        <v>0</v>
      </c>
      <c r="EG29" s="41">
        <v>0</v>
      </c>
      <c r="EH29" s="42">
        <v>0</v>
      </c>
      <c r="EI29" s="43">
        <v>0</v>
      </c>
      <c r="EJ29" s="40">
        <v>0</v>
      </c>
      <c r="EK29" s="41">
        <v>0</v>
      </c>
      <c r="EL29" s="42">
        <v>0</v>
      </c>
      <c r="EM29" s="43">
        <v>0</v>
      </c>
      <c r="EN29" s="29"/>
      <c r="EO29" s="241" t="s">
        <v>28</v>
      </c>
      <c r="EP29" s="38"/>
      <c r="EQ29" s="39" t="s">
        <v>10</v>
      </c>
      <c r="ER29" s="40">
        <v>0</v>
      </c>
      <c r="ES29" s="41">
        <v>0</v>
      </c>
      <c r="ET29" s="42">
        <v>0</v>
      </c>
      <c r="EU29" s="43">
        <v>0</v>
      </c>
      <c r="EV29" s="40">
        <v>0</v>
      </c>
      <c r="EW29" s="41">
        <v>0</v>
      </c>
      <c r="EX29" s="42">
        <v>0</v>
      </c>
      <c r="EY29" s="43">
        <v>0</v>
      </c>
      <c r="EZ29" s="40">
        <v>0</v>
      </c>
      <c r="FA29" s="41">
        <v>0</v>
      </c>
      <c r="FB29" s="42">
        <v>0</v>
      </c>
      <c r="FC29" s="43">
        <v>0</v>
      </c>
      <c r="FD29" s="29"/>
      <c r="FE29" s="241" t="s">
        <v>28</v>
      </c>
      <c r="FF29" s="38"/>
      <c r="FG29" s="39" t="s">
        <v>10</v>
      </c>
      <c r="FH29" s="40">
        <v>0</v>
      </c>
      <c r="FI29" s="41">
        <v>0</v>
      </c>
      <c r="FJ29" s="42">
        <v>0</v>
      </c>
      <c r="FK29" s="43">
        <v>0</v>
      </c>
      <c r="FL29" s="40">
        <v>0</v>
      </c>
      <c r="FM29" s="41">
        <v>0</v>
      </c>
      <c r="FN29" s="42">
        <v>0</v>
      </c>
      <c r="FO29" s="43">
        <v>0</v>
      </c>
      <c r="FP29" s="40">
        <v>0</v>
      </c>
      <c r="FQ29" s="41">
        <v>0</v>
      </c>
      <c r="FR29" s="42">
        <v>0</v>
      </c>
      <c r="FS29" s="43">
        <v>0</v>
      </c>
      <c r="FT29" s="29"/>
      <c r="FU29" s="241" t="s">
        <v>28</v>
      </c>
      <c r="FV29" s="38"/>
      <c r="FW29" s="39" t="s">
        <v>10</v>
      </c>
      <c r="FX29" s="40">
        <v>0</v>
      </c>
      <c r="FY29" s="41">
        <v>0</v>
      </c>
      <c r="FZ29" s="42">
        <v>0</v>
      </c>
      <c r="GA29" s="43">
        <v>0</v>
      </c>
      <c r="GB29" s="40">
        <v>0</v>
      </c>
      <c r="GC29" s="41">
        <v>0</v>
      </c>
      <c r="GD29" s="42">
        <v>0</v>
      </c>
      <c r="GE29" s="43">
        <v>0</v>
      </c>
      <c r="GF29" s="40">
        <v>0</v>
      </c>
      <c r="GG29" s="41">
        <v>0</v>
      </c>
      <c r="GH29" s="42">
        <v>0</v>
      </c>
      <c r="GI29" s="43">
        <v>0</v>
      </c>
      <c r="GJ29" s="29"/>
      <c r="GK29" s="241" t="str">
        <f t="shared" ref="GK29" si="101">FU29</f>
        <v>الروابي</v>
      </c>
      <c r="GL29" s="38"/>
      <c r="GM29" s="39" t="s">
        <v>10</v>
      </c>
      <c r="GN29" s="41">
        <f>FX29</f>
        <v>0</v>
      </c>
      <c r="GO29" s="41">
        <f t="shared" ref="GO29:GO32" si="102">E29+U29+AK29+BA29+BQ29+CG29++CW29+DM29+EC29+ES29+FI29+FY29</f>
        <v>0</v>
      </c>
      <c r="GP29" s="41">
        <f t="shared" ref="GP29:GP32" si="103">F29+V29+AL29+BB29+BR29+CH29++CX29+DN29+ED29+ET29+FJ29+FZ29</f>
        <v>0</v>
      </c>
      <c r="GQ29" s="41">
        <f t="shared" ref="GQ29:GQ32" si="104">G29+W29+AM29+BC29+BS29+CI29++CY29+DO29+EE29+EU29+FK29+GA29</f>
        <v>0</v>
      </c>
      <c r="GR29" s="41">
        <f>GB29</f>
        <v>0</v>
      </c>
      <c r="GS29" s="41">
        <f t="shared" ref="GS29:GS32" si="105">I29+Y29+AO29+BE29+BU29+CK29++DA29+DQ29+EG29+EW29+FM29+GC29</f>
        <v>0</v>
      </c>
      <c r="GT29" s="41">
        <f t="shared" ref="GT29:GT32" si="106">J29+Z29+AP29+BF29+BV29+CL29++DB29+DR29+EH29+EX29+FN29+GD29</f>
        <v>0</v>
      </c>
      <c r="GU29" s="41">
        <f t="shared" ref="GU29:GU32" si="107">K29+AA29+AQ29+BG29+BW29+CM29++DC29+DS29+EI29+EY29+FO29+GE29</f>
        <v>0</v>
      </c>
      <c r="GV29" s="41">
        <f>GF29</f>
        <v>0</v>
      </c>
      <c r="GW29" s="41">
        <f t="shared" ref="GW29:GW32" si="108">M29+AC29+AS29+BI29+BY29+CO29++DE29+DU29+EK29+FA29+FQ29+GG29</f>
        <v>0</v>
      </c>
      <c r="GX29" s="41">
        <f t="shared" ref="GX29:GX32" si="109">N29+AD29+AT29+BJ29+BZ29+CP29++DF29+DV29+EL29+FB29+FR29+GH29</f>
        <v>0</v>
      </c>
      <c r="GY29" s="41">
        <f t="shared" ref="GY29:GY32" si="110">O29+AE29+AU29+BK29+CA29+CQ29++DG29+DW29+EM29+FC29+FS29+GI29</f>
        <v>0</v>
      </c>
      <c r="GZ29" s="29"/>
      <c r="HA29" s="31"/>
      <c r="HN29" s="31"/>
    </row>
    <row r="30" spans="1:222" ht="15" customHeight="1" thickBot="1" x14ac:dyDescent="0.3">
      <c r="A30" s="242"/>
      <c r="B30" s="46" t="s">
        <v>11</v>
      </c>
      <c r="C30" s="47" t="s">
        <v>12</v>
      </c>
      <c r="D30" s="48">
        <v>0</v>
      </c>
      <c r="E30" s="49">
        <v>0</v>
      </c>
      <c r="F30" s="50">
        <v>0</v>
      </c>
      <c r="G30" s="51">
        <v>0</v>
      </c>
      <c r="H30" s="48">
        <v>0</v>
      </c>
      <c r="I30" s="49">
        <v>0</v>
      </c>
      <c r="J30" s="50">
        <v>0</v>
      </c>
      <c r="K30" s="51">
        <v>0</v>
      </c>
      <c r="L30" s="48">
        <v>0</v>
      </c>
      <c r="M30" s="49">
        <v>0</v>
      </c>
      <c r="N30" s="50">
        <v>0</v>
      </c>
      <c r="O30" s="51">
        <v>0</v>
      </c>
      <c r="P30" s="29"/>
      <c r="Q30" s="242"/>
      <c r="R30" s="46" t="s">
        <v>11</v>
      </c>
      <c r="S30" s="47" t="s">
        <v>12</v>
      </c>
      <c r="T30" s="48">
        <v>0</v>
      </c>
      <c r="U30" s="49">
        <v>0</v>
      </c>
      <c r="V30" s="50">
        <v>0</v>
      </c>
      <c r="W30" s="51">
        <v>0</v>
      </c>
      <c r="X30" s="48">
        <v>0</v>
      </c>
      <c r="Y30" s="49">
        <v>0</v>
      </c>
      <c r="Z30" s="50">
        <v>0</v>
      </c>
      <c r="AA30" s="51">
        <v>0</v>
      </c>
      <c r="AB30" s="48">
        <v>0</v>
      </c>
      <c r="AC30" s="49">
        <v>0</v>
      </c>
      <c r="AD30" s="50">
        <v>0</v>
      </c>
      <c r="AE30" s="51">
        <v>0</v>
      </c>
      <c r="AF30" s="29"/>
      <c r="AG30" s="242"/>
      <c r="AH30" s="46" t="s">
        <v>11</v>
      </c>
      <c r="AI30" s="47" t="s">
        <v>12</v>
      </c>
      <c r="AJ30" s="152">
        <v>0</v>
      </c>
      <c r="AK30" s="153">
        <v>0</v>
      </c>
      <c r="AL30" s="154">
        <v>0</v>
      </c>
      <c r="AM30" s="155">
        <v>0</v>
      </c>
      <c r="AN30" s="153">
        <v>0</v>
      </c>
      <c r="AO30" s="153">
        <v>0</v>
      </c>
      <c r="AP30" s="154">
        <v>0</v>
      </c>
      <c r="AQ30" s="155">
        <v>0</v>
      </c>
      <c r="AR30" s="153">
        <v>0</v>
      </c>
      <c r="AS30" s="153">
        <v>0</v>
      </c>
      <c r="AT30" s="154">
        <v>0</v>
      </c>
      <c r="AU30" s="155">
        <v>0</v>
      </c>
      <c r="AV30" s="29"/>
      <c r="AW30" s="242"/>
      <c r="AX30" s="46" t="s">
        <v>11</v>
      </c>
      <c r="AY30" s="47" t="s">
        <v>12</v>
      </c>
      <c r="AZ30" s="48">
        <v>0</v>
      </c>
      <c r="BA30" s="49">
        <v>0</v>
      </c>
      <c r="BB30" s="50">
        <v>0</v>
      </c>
      <c r="BC30" s="51">
        <v>0</v>
      </c>
      <c r="BD30" s="48">
        <v>0</v>
      </c>
      <c r="BE30" s="49">
        <v>0</v>
      </c>
      <c r="BF30" s="50">
        <v>0</v>
      </c>
      <c r="BG30" s="51">
        <v>0</v>
      </c>
      <c r="BH30" s="48">
        <v>0</v>
      </c>
      <c r="BI30" s="49">
        <v>0</v>
      </c>
      <c r="BJ30" s="50">
        <v>0</v>
      </c>
      <c r="BK30" s="51">
        <v>0</v>
      </c>
      <c r="BL30" s="29"/>
      <c r="BM30" s="242"/>
      <c r="BN30" s="46" t="s">
        <v>11</v>
      </c>
      <c r="BO30" s="47" t="s">
        <v>12</v>
      </c>
      <c r="BP30" s="48">
        <v>0</v>
      </c>
      <c r="BQ30" s="49">
        <v>0</v>
      </c>
      <c r="BR30" s="50">
        <v>0</v>
      </c>
      <c r="BS30" s="51">
        <v>0</v>
      </c>
      <c r="BT30" s="48">
        <v>0</v>
      </c>
      <c r="BU30" s="49">
        <v>0</v>
      </c>
      <c r="BV30" s="50">
        <v>0</v>
      </c>
      <c r="BW30" s="51">
        <v>0</v>
      </c>
      <c r="BX30" s="48">
        <v>0</v>
      </c>
      <c r="BY30" s="49">
        <v>0</v>
      </c>
      <c r="BZ30" s="50">
        <v>0</v>
      </c>
      <c r="CA30" s="51">
        <v>0</v>
      </c>
      <c r="CB30" s="29"/>
      <c r="CC30" s="242"/>
      <c r="CD30" s="46" t="s">
        <v>11</v>
      </c>
      <c r="CE30" s="47" t="s">
        <v>12</v>
      </c>
      <c r="CF30" s="152">
        <v>0</v>
      </c>
      <c r="CG30" s="153">
        <v>0</v>
      </c>
      <c r="CH30" s="154">
        <v>0</v>
      </c>
      <c r="CI30" s="155">
        <v>0</v>
      </c>
      <c r="CJ30" s="153">
        <v>0</v>
      </c>
      <c r="CK30" s="153">
        <v>0</v>
      </c>
      <c r="CL30" s="154">
        <v>0</v>
      </c>
      <c r="CM30" s="155">
        <v>0</v>
      </c>
      <c r="CN30" s="153">
        <v>0</v>
      </c>
      <c r="CO30" s="153">
        <v>0</v>
      </c>
      <c r="CP30" s="154">
        <v>0</v>
      </c>
      <c r="CQ30" s="155">
        <v>0</v>
      </c>
      <c r="CR30" s="29"/>
      <c r="CS30" s="242"/>
      <c r="CT30" s="46" t="s">
        <v>11</v>
      </c>
      <c r="CU30" s="47" t="s">
        <v>12</v>
      </c>
      <c r="CV30" s="152">
        <v>0</v>
      </c>
      <c r="CW30" s="153">
        <v>0</v>
      </c>
      <c r="CX30" s="154">
        <v>0</v>
      </c>
      <c r="CY30" s="155">
        <v>0</v>
      </c>
      <c r="CZ30" s="153">
        <v>0</v>
      </c>
      <c r="DA30" s="153">
        <v>0</v>
      </c>
      <c r="DB30" s="154">
        <v>0</v>
      </c>
      <c r="DC30" s="155">
        <v>0</v>
      </c>
      <c r="DD30" s="153">
        <v>0</v>
      </c>
      <c r="DE30" s="153">
        <v>0</v>
      </c>
      <c r="DF30" s="154">
        <v>0</v>
      </c>
      <c r="DG30" s="155">
        <v>0</v>
      </c>
      <c r="DH30" s="29"/>
      <c r="DI30" s="242"/>
      <c r="DJ30" s="46" t="s">
        <v>11</v>
      </c>
      <c r="DK30" s="47" t="s">
        <v>12</v>
      </c>
      <c r="DL30" s="210">
        <v>0</v>
      </c>
      <c r="DM30" s="211">
        <v>0</v>
      </c>
      <c r="DN30" s="212">
        <v>0</v>
      </c>
      <c r="DO30" s="194">
        <v>0</v>
      </c>
      <c r="DP30" s="210">
        <v>0</v>
      </c>
      <c r="DQ30" s="211">
        <v>0</v>
      </c>
      <c r="DR30" s="212">
        <v>0</v>
      </c>
      <c r="DS30" s="194">
        <v>0</v>
      </c>
      <c r="DT30" s="210">
        <v>0</v>
      </c>
      <c r="DU30" s="211">
        <v>0</v>
      </c>
      <c r="DV30" s="212">
        <v>0</v>
      </c>
      <c r="DW30" s="194">
        <v>0</v>
      </c>
      <c r="DX30" s="29"/>
      <c r="DY30" s="242"/>
      <c r="DZ30" s="46" t="s">
        <v>11</v>
      </c>
      <c r="EA30" s="47" t="s">
        <v>12</v>
      </c>
      <c r="EB30" s="48">
        <v>0</v>
      </c>
      <c r="EC30" s="49">
        <v>0</v>
      </c>
      <c r="ED30" s="50">
        <v>0</v>
      </c>
      <c r="EE30" s="51">
        <v>0</v>
      </c>
      <c r="EF30" s="48">
        <v>0</v>
      </c>
      <c r="EG30" s="49">
        <v>0</v>
      </c>
      <c r="EH30" s="50">
        <v>0</v>
      </c>
      <c r="EI30" s="51">
        <v>0</v>
      </c>
      <c r="EJ30" s="48">
        <v>0</v>
      </c>
      <c r="EK30" s="49">
        <v>0</v>
      </c>
      <c r="EL30" s="50">
        <v>0</v>
      </c>
      <c r="EM30" s="51">
        <v>0</v>
      </c>
      <c r="EN30" s="29"/>
      <c r="EO30" s="242"/>
      <c r="EP30" s="46" t="s">
        <v>11</v>
      </c>
      <c r="EQ30" s="47" t="s">
        <v>12</v>
      </c>
      <c r="ER30" s="48">
        <v>0</v>
      </c>
      <c r="ES30" s="49">
        <v>0</v>
      </c>
      <c r="ET30" s="50">
        <v>0</v>
      </c>
      <c r="EU30" s="51">
        <v>0</v>
      </c>
      <c r="EV30" s="48">
        <v>0</v>
      </c>
      <c r="EW30" s="49">
        <v>0</v>
      </c>
      <c r="EX30" s="50">
        <v>0</v>
      </c>
      <c r="EY30" s="51">
        <v>0</v>
      </c>
      <c r="EZ30" s="48">
        <v>0</v>
      </c>
      <c r="FA30" s="49">
        <v>0</v>
      </c>
      <c r="FB30" s="50">
        <v>0</v>
      </c>
      <c r="FC30" s="51">
        <v>0</v>
      </c>
      <c r="FD30" s="29"/>
      <c r="FE30" s="242"/>
      <c r="FF30" s="46" t="s">
        <v>11</v>
      </c>
      <c r="FG30" s="47" t="s">
        <v>12</v>
      </c>
      <c r="FH30" s="48">
        <v>0</v>
      </c>
      <c r="FI30" s="49">
        <v>0</v>
      </c>
      <c r="FJ30" s="50">
        <v>0</v>
      </c>
      <c r="FK30" s="51">
        <v>0</v>
      </c>
      <c r="FL30" s="48">
        <v>0</v>
      </c>
      <c r="FM30" s="49">
        <v>0</v>
      </c>
      <c r="FN30" s="50">
        <v>0</v>
      </c>
      <c r="FO30" s="51">
        <v>0</v>
      </c>
      <c r="FP30" s="48">
        <v>0</v>
      </c>
      <c r="FQ30" s="49">
        <v>0</v>
      </c>
      <c r="FR30" s="50">
        <v>0</v>
      </c>
      <c r="FS30" s="51">
        <v>0</v>
      </c>
      <c r="FT30" s="29"/>
      <c r="FU30" s="242"/>
      <c r="FV30" s="46" t="s">
        <v>11</v>
      </c>
      <c r="FW30" s="47" t="s">
        <v>12</v>
      </c>
      <c r="FX30" s="48">
        <v>0</v>
      </c>
      <c r="FY30" s="49">
        <v>0</v>
      </c>
      <c r="FZ30" s="50">
        <v>0</v>
      </c>
      <c r="GA30" s="51">
        <v>0</v>
      </c>
      <c r="GB30" s="48">
        <v>0</v>
      </c>
      <c r="GC30" s="49">
        <v>0</v>
      </c>
      <c r="GD30" s="50">
        <v>0</v>
      </c>
      <c r="GE30" s="51">
        <v>0</v>
      </c>
      <c r="GF30" s="48">
        <v>0</v>
      </c>
      <c r="GG30" s="49">
        <v>0</v>
      </c>
      <c r="GH30" s="50">
        <v>0</v>
      </c>
      <c r="GI30" s="51">
        <v>0</v>
      </c>
      <c r="GJ30" s="29"/>
      <c r="GK30" s="242"/>
      <c r="GL30" s="46" t="s">
        <v>11</v>
      </c>
      <c r="GM30" s="47" t="s">
        <v>12</v>
      </c>
      <c r="GN30" s="41">
        <f t="shared" ref="GN30:GN32" si="111">FX30</f>
        <v>0</v>
      </c>
      <c r="GO30" s="41">
        <f t="shared" si="102"/>
        <v>0</v>
      </c>
      <c r="GP30" s="41">
        <f t="shared" si="103"/>
        <v>0</v>
      </c>
      <c r="GQ30" s="41">
        <f t="shared" si="104"/>
        <v>0</v>
      </c>
      <c r="GR30" s="41">
        <f t="shared" ref="GR30:GR32" si="112">GB30</f>
        <v>0</v>
      </c>
      <c r="GS30" s="41">
        <f t="shared" si="105"/>
        <v>0</v>
      </c>
      <c r="GT30" s="41">
        <f t="shared" si="106"/>
        <v>0</v>
      </c>
      <c r="GU30" s="41">
        <f t="shared" si="107"/>
        <v>0</v>
      </c>
      <c r="GV30" s="41">
        <f t="shared" ref="GV30:GV32" si="113">GF30</f>
        <v>0</v>
      </c>
      <c r="GW30" s="41">
        <f t="shared" si="108"/>
        <v>0</v>
      </c>
      <c r="GX30" s="41">
        <f t="shared" si="109"/>
        <v>0</v>
      </c>
      <c r="GY30" s="41">
        <f t="shared" si="110"/>
        <v>0</v>
      </c>
      <c r="GZ30" s="29"/>
      <c r="HA30" s="31"/>
      <c r="HN30" s="31"/>
    </row>
    <row r="31" spans="1:222" ht="15" customHeight="1" thickBot="1" x14ac:dyDescent="0.3">
      <c r="A31" s="242"/>
      <c r="B31" s="38" t="s">
        <v>13</v>
      </c>
      <c r="C31" s="54" t="s">
        <v>10</v>
      </c>
      <c r="D31" s="40">
        <v>0</v>
      </c>
      <c r="E31" s="41">
        <v>0</v>
      </c>
      <c r="F31" s="42">
        <v>0</v>
      </c>
      <c r="G31" s="43">
        <v>0</v>
      </c>
      <c r="H31" s="40">
        <v>0</v>
      </c>
      <c r="I31" s="41">
        <v>0</v>
      </c>
      <c r="J31" s="42">
        <v>0</v>
      </c>
      <c r="K31" s="43">
        <v>0</v>
      </c>
      <c r="L31" s="40">
        <v>0</v>
      </c>
      <c r="M31" s="41">
        <v>0</v>
      </c>
      <c r="N31" s="42">
        <v>0</v>
      </c>
      <c r="O31" s="43">
        <v>0</v>
      </c>
      <c r="P31" s="29"/>
      <c r="Q31" s="242"/>
      <c r="R31" s="38" t="s">
        <v>13</v>
      </c>
      <c r="S31" s="54" t="s">
        <v>10</v>
      </c>
      <c r="T31" s="40">
        <v>0</v>
      </c>
      <c r="U31" s="41">
        <v>0</v>
      </c>
      <c r="V31" s="42">
        <v>0</v>
      </c>
      <c r="W31" s="43">
        <v>0</v>
      </c>
      <c r="X31" s="40">
        <v>0</v>
      </c>
      <c r="Y31" s="41">
        <v>0</v>
      </c>
      <c r="Z31" s="42">
        <v>0</v>
      </c>
      <c r="AA31" s="43">
        <v>0</v>
      </c>
      <c r="AB31" s="40">
        <v>0</v>
      </c>
      <c r="AC31" s="41">
        <v>0</v>
      </c>
      <c r="AD31" s="42">
        <v>0</v>
      </c>
      <c r="AE31" s="43">
        <v>0</v>
      </c>
      <c r="AF31" s="29"/>
      <c r="AG31" s="242"/>
      <c r="AH31" s="38" t="s">
        <v>13</v>
      </c>
      <c r="AI31" s="54" t="s">
        <v>10</v>
      </c>
      <c r="AJ31" s="156">
        <v>0</v>
      </c>
      <c r="AK31" s="157">
        <v>0</v>
      </c>
      <c r="AL31" s="158">
        <v>0</v>
      </c>
      <c r="AM31" s="159">
        <v>0</v>
      </c>
      <c r="AN31" s="157">
        <v>0</v>
      </c>
      <c r="AO31" s="157">
        <v>0</v>
      </c>
      <c r="AP31" s="158">
        <v>0</v>
      </c>
      <c r="AQ31" s="159">
        <v>0</v>
      </c>
      <c r="AR31" s="157">
        <v>0</v>
      </c>
      <c r="AS31" s="157">
        <v>0</v>
      </c>
      <c r="AT31" s="158">
        <v>0</v>
      </c>
      <c r="AU31" s="159">
        <v>0</v>
      </c>
      <c r="AV31" s="29"/>
      <c r="AW31" s="242"/>
      <c r="AX31" s="38" t="s">
        <v>13</v>
      </c>
      <c r="AY31" s="54" t="s">
        <v>10</v>
      </c>
      <c r="AZ31" s="40">
        <v>0</v>
      </c>
      <c r="BA31" s="41">
        <v>0</v>
      </c>
      <c r="BB31" s="42">
        <v>0</v>
      </c>
      <c r="BC31" s="43">
        <v>0</v>
      </c>
      <c r="BD31" s="40">
        <v>0</v>
      </c>
      <c r="BE31" s="41">
        <v>0</v>
      </c>
      <c r="BF31" s="42">
        <v>0</v>
      </c>
      <c r="BG31" s="43">
        <v>0</v>
      </c>
      <c r="BH31" s="40">
        <v>0</v>
      </c>
      <c r="BI31" s="41">
        <v>0</v>
      </c>
      <c r="BJ31" s="42">
        <v>0</v>
      </c>
      <c r="BK31" s="43">
        <v>0</v>
      </c>
      <c r="BL31" s="29"/>
      <c r="BM31" s="242"/>
      <c r="BN31" s="38" t="s">
        <v>13</v>
      </c>
      <c r="BO31" s="54" t="s">
        <v>10</v>
      </c>
      <c r="BP31" s="40">
        <v>0</v>
      </c>
      <c r="BQ31" s="41">
        <v>0</v>
      </c>
      <c r="BR31" s="42">
        <v>0</v>
      </c>
      <c r="BS31" s="43">
        <v>0</v>
      </c>
      <c r="BT31" s="40">
        <v>0</v>
      </c>
      <c r="BU31" s="41">
        <v>0</v>
      </c>
      <c r="BV31" s="42">
        <v>0</v>
      </c>
      <c r="BW31" s="43">
        <v>0</v>
      </c>
      <c r="BX31" s="40">
        <v>0</v>
      </c>
      <c r="BY31" s="41">
        <v>0</v>
      </c>
      <c r="BZ31" s="42">
        <v>0</v>
      </c>
      <c r="CA31" s="43">
        <v>0</v>
      </c>
      <c r="CB31" s="29"/>
      <c r="CC31" s="242"/>
      <c r="CD31" s="38" t="s">
        <v>13</v>
      </c>
      <c r="CE31" s="54" t="s">
        <v>10</v>
      </c>
      <c r="CF31" s="156">
        <v>0</v>
      </c>
      <c r="CG31" s="157">
        <v>0</v>
      </c>
      <c r="CH31" s="158">
        <v>0</v>
      </c>
      <c r="CI31" s="159">
        <v>0</v>
      </c>
      <c r="CJ31" s="157">
        <v>0</v>
      </c>
      <c r="CK31" s="157">
        <v>0</v>
      </c>
      <c r="CL31" s="158">
        <v>0</v>
      </c>
      <c r="CM31" s="159">
        <v>0</v>
      </c>
      <c r="CN31" s="157">
        <v>0</v>
      </c>
      <c r="CO31" s="157">
        <v>0</v>
      </c>
      <c r="CP31" s="158">
        <v>0</v>
      </c>
      <c r="CQ31" s="159">
        <v>0</v>
      </c>
      <c r="CR31" s="29"/>
      <c r="CS31" s="242"/>
      <c r="CT31" s="38" t="s">
        <v>13</v>
      </c>
      <c r="CU31" s="54" t="s">
        <v>10</v>
      </c>
      <c r="CV31" s="156">
        <v>0</v>
      </c>
      <c r="CW31" s="157">
        <v>0</v>
      </c>
      <c r="CX31" s="158">
        <v>0</v>
      </c>
      <c r="CY31" s="159">
        <v>0</v>
      </c>
      <c r="CZ31" s="157">
        <v>0</v>
      </c>
      <c r="DA31" s="157">
        <v>0</v>
      </c>
      <c r="DB31" s="158">
        <v>0</v>
      </c>
      <c r="DC31" s="159">
        <v>0</v>
      </c>
      <c r="DD31" s="157">
        <v>0</v>
      </c>
      <c r="DE31" s="157">
        <v>0</v>
      </c>
      <c r="DF31" s="158">
        <v>0</v>
      </c>
      <c r="DG31" s="159">
        <v>0</v>
      </c>
      <c r="DH31" s="29"/>
      <c r="DI31" s="242"/>
      <c r="DJ31" s="38" t="s">
        <v>13</v>
      </c>
      <c r="DK31" s="54" t="s">
        <v>10</v>
      </c>
      <c r="DL31" s="207">
        <v>0</v>
      </c>
      <c r="DM31" s="208">
        <v>0</v>
      </c>
      <c r="DN31" s="209">
        <v>0</v>
      </c>
      <c r="DO31" s="189">
        <v>0</v>
      </c>
      <c r="DP31" s="207">
        <v>0</v>
      </c>
      <c r="DQ31" s="208">
        <v>0</v>
      </c>
      <c r="DR31" s="209">
        <v>0</v>
      </c>
      <c r="DS31" s="189">
        <v>0</v>
      </c>
      <c r="DT31" s="207">
        <v>0</v>
      </c>
      <c r="DU31" s="208">
        <v>0</v>
      </c>
      <c r="DV31" s="209">
        <v>0</v>
      </c>
      <c r="DW31" s="189">
        <v>0</v>
      </c>
      <c r="DX31" s="29"/>
      <c r="DY31" s="242"/>
      <c r="DZ31" s="38" t="s">
        <v>13</v>
      </c>
      <c r="EA31" s="54" t="s">
        <v>10</v>
      </c>
      <c r="EB31" s="40">
        <v>0</v>
      </c>
      <c r="EC31" s="41">
        <v>0</v>
      </c>
      <c r="ED31" s="42">
        <v>0</v>
      </c>
      <c r="EE31" s="43">
        <v>0</v>
      </c>
      <c r="EF31" s="40">
        <v>0</v>
      </c>
      <c r="EG31" s="41">
        <v>0</v>
      </c>
      <c r="EH31" s="42">
        <v>0</v>
      </c>
      <c r="EI31" s="43">
        <v>0</v>
      </c>
      <c r="EJ31" s="40">
        <v>0</v>
      </c>
      <c r="EK31" s="41">
        <v>0</v>
      </c>
      <c r="EL31" s="42">
        <v>0</v>
      </c>
      <c r="EM31" s="43">
        <v>0</v>
      </c>
      <c r="EN31" s="29"/>
      <c r="EO31" s="242"/>
      <c r="EP31" s="38" t="s">
        <v>13</v>
      </c>
      <c r="EQ31" s="54" t="s">
        <v>10</v>
      </c>
      <c r="ER31" s="40">
        <v>0</v>
      </c>
      <c r="ES31" s="41">
        <v>0</v>
      </c>
      <c r="ET31" s="42">
        <v>0</v>
      </c>
      <c r="EU31" s="43">
        <v>0</v>
      </c>
      <c r="EV31" s="40">
        <v>0</v>
      </c>
      <c r="EW31" s="41">
        <v>0</v>
      </c>
      <c r="EX31" s="42">
        <v>0</v>
      </c>
      <c r="EY31" s="43">
        <v>0</v>
      </c>
      <c r="EZ31" s="40">
        <v>0</v>
      </c>
      <c r="FA31" s="41">
        <v>0</v>
      </c>
      <c r="FB31" s="42">
        <v>0</v>
      </c>
      <c r="FC31" s="43">
        <v>0</v>
      </c>
      <c r="FD31" s="29"/>
      <c r="FE31" s="242"/>
      <c r="FF31" s="38" t="s">
        <v>13</v>
      </c>
      <c r="FG31" s="54" t="s">
        <v>10</v>
      </c>
      <c r="FH31" s="40">
        <v>0</v>
      </c>
      <c r="FI31" s="41">
        <v>0</v>
      </c>
      <c r="FJ31" s="42">
        <v>0</v>
      </c>
      <c r="FK31" s="43">
        <v>0</v>
      </c>
      <c r="FL31" s="40">
        <v>0</v>
      </c>
      <c r="FM31" s="41">
        <v>0</v>
      </c>
      <c r="FN31" s="42">
        <v>0</v>
      </c>
      <c r="FO31" s="43">
        <v>0</v>
      </c>
      <c r="FP31" s="40">
        <v>0</v>
      </c>
      <c r="FQ31" s="41">
        <v>0</v>
      </c>
      <c r="FR31" s="42">
        <v>0</v>
      </c>
      <c r="FS31" s="43">
        <v>0</v>
      </c>
      <c r="FT31" s="29"/>
      <c r="FU31" s="242"/>
      <c r="FV31" s="38" t="s">
        <v>13</v>
      </c>
      <c r="FW31" s="54" t="s">
        <v>10</v>
      </c>
      <c r="FX31" s="40">
        <v>0</v>
      </c>
      <c r="FY31" s="41">
        <v>0</v>
      </c>
      <c r="FZ31" s="42">
        <v>0</v>
      </c>
      <c r="GA31" s="43">
        <v>0</v>
      </c>
      <c r="GB31" s="40">
        <v>0</v>
      </c>
      <c r="GC31" s="41">
        <v>0</v>
      </c>
      <c r="GD31" s="42">
        <v>0</v>
      </c>
      <c r="GE31" s="43">
        <v>0</v>
      </c>
      <c r="GF31" s="40">
        <v>0</v>
      </c>
      <c r="GG31" s="41">
        <v>0</v>
      </c>
      <c r="GH31" s="42">
        <v>0</v>
      </c>
      <c r="GI31" s="43">
        <v>0</v>
      </c>
      <c r="GJ31" s="29"/>
      <c r="GK31" s="242"/>
      <c r="GL31" s="38" t="s">
        <v>13</v>
      </c>
      <c r="GM31" s="54" t="s">
        <v>10</v>
      </c>
      <c r="GN31" s="41">
        <f t="shared" si="111"/>
        <v>0</v>
      </c>
      <c r="GO31" s="41">
        <f t="shared" si="102"/>
        <v>0</v>
      </c>
      <c r="GP31" s="41">
        <f t="shared" si="103"/>
        <v>0</v>
      </c>
      <c r="GQ31" s="41">
        <f t="shared" si="104"/>
        <v>0</v>
      </c>
      <c r="GR31" s="41">
        <f t="shared" si="112"/>
        <v>0</v>
      </c>
      <c r="GS31" s="41">
        <f t="shared" si="105"/>
        <v>0</v>
      </c>
      <c r="GT31" s="41">
        <f t="shared" si="106"/>
        <v>0</v>
      </c>
      <c r="GU31" s="41">
        <f t="shared" si="107"/>
        <v>0</v>
      </c>
      <c r="GV31" s="41">
        <f t="shared" si="113"/>
        <v>0</v>
      </c>
      <c r="GW31" s="41">
        <f t="shared" si="108"/>
        <v>0</v>
      </c>
      <c r="GX31" s="41">
        <f t="shared" si="109"/>
        <v>0</v>
      </c>
      <c r="GY31" s="41">
        <f t="shared" si="110"/>
        <v>0</v>
      </c>
      <c r="GZ31" s="29"/>
      <c r="HA31" s="31"/>
      <c r="HN31" s="31"/>
    </row>
    <row r="32" spans="1:222" ht="15" customHeight="1" thickBot="1" x14ac:dyDescent="0.3">
      <c r="A32" s="242"/>
      <c r="B32" s="46" t="s">
        <v>11</v>
      </c>
      <c r="C32" s="56" t="s">
        <v>12</v>
      </c>
      <c r="D32" s="48">
        <v>0</v>
      </c>
      <c r="E32" s="49">
        <v>0</v>
      </c>
      <c r="F32" s="50">
        <v>0</v>
      </c>
      <c r="G32" s="51">
        <v>0</v>
      </c>
      <c r="H32" s="48">
        <v>0</v>
      </c>
      <c r="I32" s="49">
        <v>0</v>
      </c>
      <c r="J32" s="50">
        <v>0</v>
      </c>
      <c r="K32" s="51">
        <v>0</v>
      </c>
      <c r="L32" s="48">
        <v>0</v>
      </c>
      <c r="M32" s="49">
        <v>0</v>
      </c>
      <c r="N32" s="50">
        <v>0</v>
      </c>
      <c r="O32" s="51">
        <v>0</v>
      </c>
      <c r="P32" s="29"/>
      <c r="Q32" s="242"/>
      <c r="R32" s="46" t="s">
        <v>11</v>
      </c>
      <c r="S32" s="56" t="s">
        <v>12</v>
      </c>
      <c r="T32" s="48">
        <v>0</v>
      </c>
      <c r="U32" s="49">
        <v>0</v>
      </c>
      <c r="V32" s="50">
        <v>0</v>
      </c>
      <c r="W32" s="51">
        <v>0</v>
      </c>
      <c r="X32" s="48">
        <v>0</v>
      </c>
      <c r="Y32" s="49">
        <v>0</v>
      </c>
      <c r="Z32" s="50">
        <v>0</v>
      </c>
      <c r="AA32" s="51">
        <v>0</v>
      </c>
      <c r="AB32" s="48">
        <v>0</v>
      </c>
      <c r="AC32" s="49">
        <v>0</v>
      </c>
      <c r="AD32" s="50">
        <v>0</v>
      </c>
      <c r="AE32" s="51">
        <v>0</v>
      </c>
      <c r="AF32" s="29"/>
      <c r="AG32" s="242"/>
      <c r="AH32" s="46" t="s">
        <v>11</v>
      </c>
      <c r="AI32" s="56" t="s">
        <v>12</v>
      </c>
      <c r="AJ32" s="152">
        <v>0</v>
      </c>
      <c r="AK32" s="153">
        <v>0</v>
      </c>
      <c r="AL32" s="154">
        <v>0</v>
      </c>
      <c r="AM32" s="155">
        <v>0</v>
      </c>
      <c r="AN32" s="153">
        <v>0</v>
      </c>
      <c r="AO32" s="153">
        <v>0</v>
      </c>
      <c r="AP32" s="154">
        <v>0</v>
      </c>
      <c r="AQ32" s="155">
        <v>0</v>
      </c>
      <c r="AR32" s="153">
        <v>0</v>
      </c>
      <c r="AS32" s="153">
        <v>0</v>
      </c>
      <c r="AT32" s="154">
        <v>0</v>
      </c>
      <c r="AU32" s="155">
        <v>0</v>
      </c>
      <c r="AV32" s="29"/>
      <c r="AW32" s="242"/>
      <c r="AX32" s="46" t="s">
        <v>11</v>
      </c>
      <c r="AY32" s="56" t="s">
        <v>12</v>
      </c>
      <c r="AZ32" s="48">
        <v>0</v>
      </c>
      <c r="BA32" s="49">
        <v>0</v>
      </c>
      <c r="BB32" s="50">
        <v>0</v>
      </c>
      <c r="BC32" s="51">
        <v>0</v>
      </c>
      <c r="BD32" s="48">
        <v>0</v>
      </c>
      <c r="BE32" s="49">
        <v>0</v>
      </c>
      <c r="BF32" s="50">
        <v>0</v>
      </c>
      <c r="BG32" s="51">
        <v>0</v>
      </c>
      <c r="BH32" s="48">
        <v>0</v>
      </c>
      <c r="BI32" s="49">
        <v>0</v>
      </c>
      <c r="BJ32" s="50">
        <v>0</v>
      </c>
      <c r="BK32" s="51">
        <v>0</v>
      </c>
      <c r="BL32" s="29"/>
      <c r="BM32" s="242"/>
      <c r="BN32" s="46" t="s">
        <v>11</v>
      </c>
      <c r="BO32" s="56" t="s">
        <v>12</v>
      </c>
      <c r="BP32" s="48">
        <v>0</v>
      </c>
      <c r="BQ32" s="49">
        <v>0</v>
      </c>
      <c r="BR32" s="50">
        <v>0</v>
      </c>
      <c r="BS32" s="51">
        <v>0</v>
      </c>
      <c r="BT32" s="48">
        <v>0</v>
      </c>
      <c r="BU32" s="49">
        <v>0</v>
      </c>
      <c r="BV32" s="50">
        <v>0</v>
      </c>
      <c r="BW32" s="51">
        <v>0</v>
      </c>
      <c r="BX32" s="48">
        <v>0</v>
      </c>
      <c r="BY32" s="49">
        <v>0</v>
      </c>
      <c r="BZ32" s="50">
        <v>0</v>
      </c>
      <c r="CA32" s="51">
        <v>0</v>
      </c>
      <c r="CB32" s="29"/>
      <c r="CC32" s="242"/>
      <c r="CD32" s="46" t="s">
        <v>11</v>
      </c>
      <c r="CE32" s="56" t="s">
        <v>12</v>
      </c>
      <c r="CF32" s="152">
        <v>0</v>
      </c>
      <c r="CG32" s="153">
        <v>0</v>
      </c>
      <c r="CH32" s="154">
        <v>0</v>
      </c>
      <c r="CI32" s="155">
        <v>0</v>
      </c>
      <c r="CJ32" s="153">
        <v>0</v>
      </c>
      <c r="CK32" s="153">
        <v>0</v>
      </c>
      <c r="CL32" s="154">
        <v>0</v>
      </c>
      <c r="CM32" s="155">
        <v>0</v>
      </c>
      <c r="CN32" s="153">
        <v>0</v>
      </c>
      <c r="CO32" s="153">
        <v>0</v>
      </c>
      <c r="CP32" s="154">
        <v>0</v>
      </c>
      <c r="CQ32" s="155">
        <v>0</v>
      </c>
      <c r="CR32" s="29"/>
      <c r="CS32" s="242"/>
      <c r="CT32" s="46" t="s">
        <v>11</v>
      </c>
      <c r="CU32" s="56" t="s">
        <v>12</v>
      </c>
      <c r="CV32" s="152">
        <v>0</v>
      </c>
      <c r="CW32" s="153">
        <v>0</v>
      </c>
      <c r="CX32" s="154">
        <v>0</v>
      </c>
      <c r="CY32" s="155">
        <v>0</v>
      </c>
      <c r="CZ32" s="153">
        <v>0</v>
      </c>
      <c r="DA32" s="153">
        <v>0</v>
      </c>
      <c r="DB32" s="154">
        <v>0</v>
      </c>
      <c r="DC32" s="155">
        <v>0</v>
      </c>
      <c r="DD32" s="153">
        <v>0</v>
      </c>
      <c r="DE32" s="153">
        <v>0</v>
      </c>
      <c r="DF32" s="154">
        <v>0</v>
      </c>
      <c r="DG32" s="155">
        <v>0</v>
      </c>
      <c r="DH32" s="29"/>
      <c r="DI32" s="242"/>
      <c r="DJ32" s="46" t="s">
        <v>11</v>
      </c>
      <c r="DK32" s="56" t="s">
        <v>12</v>
      </c>
      <c r="DL32" s="210">
        <v>0</v>
      </c>
      <c r="DM32" s="211">
        <v>0</v>
      </c>
      <c r="DN32" s="212">
        <v>0</v>
      </c>
      <c r="DO32" s="194">
        <v>0</v>
      </c>
      <c r="DP32" s="210">
        <v>0</v>
      </c>
      <c r="DQ32" s="211">
        <v>0</v>
      </c>
      <c r="DR32" s="212">
        <v>0</v>
      </c>
      <c r="DS32" s="194">
        <v>0</v>
      </c>
      <c r="DT32" s="210">
        <v>0</v>
      </c>
      <c r="DU32" s="211">
        <v>0</v>
      </c>
      <c r="DV32" s="212">
        <v>0</v>
      </c>
      <c r="DW32" s="194">
        <v>0</v>
      </c>
      <c r="DX32" s="29"/>
      <c r="DY32" s="242"/>
      <c r="DZ32" s="46" t="s">
        <v>11</v>
      </c>
      <c r="EA32" s="56" t="s">
        <v>12</v>
      </c>
      <c r="EB32" s="48">
        <v>0</v>
      </c>
      <c r="EC32" s="49">
        <v>0</v>
      </c>
      <c r="ED32" s="50">
        <v>0</v>
      </c>
      <c r="EE32" s="51">
        <v>0</v>
      </c>
      <c r="EF32" s="48">
        <v>0</v>
      </c>
      <c r="EG32" s="49">
        <v>0</v>
      </c>
      <c r="EH32" s="50">
        <v>0</v>
      </c>
      <c r="EI32" s="51">
        <v>0</v>
      </c>
      <c r="EJ32" s="48">
        <v>0</v>
      </c>
      <c r="EK32" s="49">
        <v>0</v>
      </c>
      <c r="EL32" s="50">
        <v>0</v>
      </c>
      <c r="EM32" s="51">
        <v>0</v>
      </c>
      <c r="EN32" s="29"/>
      <c r="EO32" s="242"/>
      <c r="EP32" s="46" t="s">
        <v>11</v>
      </c>
      <c r="EQ32" s="56" t="s">
        <v>12</v>
      </c>
      <c r="ER32" s="48">
        <v>0</v>
      </c>
      <c r="ES32" s="49">
        <v>0</v>
      </c>
      <c r="ET32" s="50">
        <v>0</v>
      </c>
      <c r="EU32" s="51">
        <v>0</v>
      </c>
      <c r="EV32" s="48">
        <v>0</v>
      </c>
      <c r="EW32" s="49">
        <v>0</v>
      </c>
      <c r="EX32" s="50">
        <v>0</v>
      </c>
      <c r="EY32" s="51">
        <v>0</v>
      </c>
      <c r="EZ32" s="48">
        <v>0</v>
      </c>
      <c r="FA32" s="49">
        <v>0</v>
      </c>
      <c r="FB32" s="50">
        <v>0</v>
      </c>
      <c r="FC32" s="51">
        <v>0</v>
      </c>
      <c r="FD32" s="29"/>
      <c r="FE32" s="242"/>
      <c r="FF32" s="46" t="s">
        <v>11</v>
      </c>
      <c r="FG32" s="56" t="s">
        <v>12</v>
      </c>
      <c r="FH32" s="48">
        <v>0</v>
      </c>
      <c r="FI32" s="49">
        <v>0</v>
      </c>
      <c r="FJ32" s="50">
        <v>0</v>
      </c>
      <c r="FK32" s="51">
        <v>0</v>
      </c>
      <c r="FL32" s="48">
        <v>0</v>
      </c>
      <c r="FM32" s="49">
        <v>0</v>
      </c>
      <c r="FN32" s="50">
        <v>0</v>
      </c>
      <c r="FO32" s="51">
        <v>0</v>
      </c>
      <c r="FP32" s="48">
        <v>0</v>
      </c>
      <c r="FQ32" s="49">
        <v>0</v>
      </c>
      <c r="FR32" s="50">
        <v>0</v>
      </c>
      <c r="FS32" s="51">
        <v>0</v>
      </c>
      <c r="FT32" s="29"/>
      <c r="FU32" s="242"/>
      <c r="FV32" s="46" t="s">
        <v>11</v>
      </c>
      <c r="FW32" s="56" t="s">
        <v>12</v>
      </c>
      <c r="FX32" s="48">
        <v>0</v>
      </c>
      <c r="FY32" s="49">
        <v>0</v>
      </c>
      <c r="FZ32" s="50">
        <v>0</v>
      </c>
      <c r="GA32" s="51">
        <v>0</v>
      </c>
      <c r="GB32" s="48">
        <v>0</v>
      </c>
      <c r="GC32" s="49">
        <v>0</v>
      </c>
      <c r="GD32" s="50">
        <v>0</v>
      </c>
      <c r="GE32" s="51">
        <v>0</v>
      </c>
      <c r="GF32" s="48">
        <v>0</v>
      </c>
      <c r="GG32" s="49">
        <v>0</v>
      </c>
      <c r="GH32" s="50">
        <v>0</v>
      </c>
      <c r="GI32" s="51">
        <v>0</v>
      </c>
      <c r="GJ32" s="29"/>
      <c r="GK32" s="242"/>
      <c r="GL32" s="46" t="s">
        <v>11</v>
      </c>
      <c r="GM32" s="56" t="s">
        <v>12</v>
      </c>
      <c r="GN32" s="41">
        <f t="shared" si="111"/>
        <v>0</v>
      </c>
      <c r="GO32" s="41">
        <f t="shared" si="102"/>
        <v>0</v>
      </c>
      <c r="GP32" s="41">
        <f t="shared" si="103"/>
        <v>0</v>
      </c>
      <c r="GQ32" s="41">
        <f t="shared" si="104"/>
        <v>0</v>
      </c>
      <c r="GR32" s="41">
        <f t="shared" si="112"/>
        <v>0</v>
      </c>
      <c r="GS32" s="41">
        <f t="shared" si="105"/>
        <v>0</v>
      </c>
      <c r="GT32" s="41">
        <f t="shared" si="106"/>
        <v>0</v>
      </c>
      <c r="GU32" s="41">
        <f t="shared" si="107"/>
        <v>0</v>
      </c>
      <c r="GV32" s="41">
        <f t="shared" si="113"/>
        <v>0</v>
      </c>
      <c r="GW32" s="41">
        <f t="shared" si="108"/>
        <v>0</v>
      </c>
      <c r="GX32" s="41">
        <f t="shared" si="109"/>
        <v>0</v>
      </c>
      <c r="GY32" s="41">
        <f t="shared" si="110"/>
        <v>0</v>
      </c>
      <c r="GZ32" s="29"/>
      <c r="HA32" s="31"/>
      <c r="HN32" s="31"/>
    </row>
    <row r="33" spans="1:222" ht="15" customHeight="1" thickBot="1" x14ac:dyDescent="0.3">
      <c r="A33" s="242"/>
      <c r="B33" s="233" t="s">
        <v>14</v>
      </c>
      <c r="C33" s="234"/>
      <c r="D33" s="58">
        <f t="shared" ref="D33:O33" si="114">SUM(D29:D32)</f>
        <v>0</v>
      </c>
      <c r="E33" s="59">
        <f t="shared" si="114"/>
        <v>0</v>
      </c>
      <c r="F33" s="60">
        <f t="shared" si="114"/>
        <v>0</v>
      </c>
      <c r="G33" s="61">
        <f t="shared" si="114"/>
        <v>0</v>
      </c>
      <c r="H33" s="58">
        <f t="shared" si="114"/>
        <v>0</v>
      </c>
      <c r="I33" s="59">
        <f t="shared" si="114"/>
        <v>0</v>
      </c>
      <c r="J33" s="60">
        <f t="shared" si="114"/>
        <v>0</v>
      </c>
      <c r="K33" s="61">
        <f t="shared" si="114"/>
        <v>0</v>
      </c>
      <c r="L33" s="58">
        <f t="shared" si="114"/>
        <v>0</v>
      </c>
      <c r="M33" s="59">
        <f t="shared" si="114"/>
        <v>0</v>
      </c>
      <c r="N33" s="60">
        <f t="shared" si="114"/>
        <v>0</v>
      </c>
      <c r="O33" s="61">
        <f t="shared" si="114"/>
        <v>0</v>
      </c>
      <c r="P33" s="29"/>
      <c r="Q33" s="242"/>
      <c r="R33" s="233" t="s">
        <v>14</v>
      </c>
      <c r="S33" s="234"/>
      <c r="T33" s="58">
        <f t="shared" ref="T33:AE33" si="115">SUM(T29:T32)</f>
        <v>0</v>
      </c>
      <c r="U33" s="59">
        <f t="shared" si="115"/>
        <v>0</v>
      </c>
      <c r="V33" s="60">
        <f t="shared" si="115"/>
        <v>0</v>
      </c>
      <c r="W33" s="61">
        <f t="shared" si="115"/>
        <v>0</v>
      </c>
      <c r="X33" s="58">
        <f t="shared" si="115"/>
        <v>0</v>
      </c>
      <c r="Y33" s="59">
        <f t="shared" si="115"/>
        <v>0</v>
      </c>
      <c r="Z33" s="60">
        <f t="shared" si="115"/>
        <v>0</v>
      </c>
      <c r="AA33" s="61">
        <f t="shared" si="115"/>
        <v>0</v>
      </c>
      <c r="AB33" s="58">
        <f t="shared" si="115"/>
        <v>0</v>
      </c>
      <c r="AC33" s="59">
        <f t="shared" si="115"/>
        <v>0</v>
      </c>
      <c r="AD33" s="60">
        <f t="shared" si="115"/>
        <v>0</v>
      </c>
      <c r="AE33" s="61">
        <f t="shared" si="115"/>
        <v>0</v>
      </c>
      <c r="AF33" s="29"/>
      <c r="AG33" s="242"/>
      <c r="AH33" s="233" t="s">
        <v>14</v>
      </c>
      <c r="AI33" s="234"/>
      <c r="AJ33" s="169">
        <v>0</v>
      </c>
      <c r="AK33" s="170">
        <v>0</v>
      </c>
      <c r="AL33" s="171">
        <v>0</v>
      </c>
      <c r="AM33" s="172">
        <v>0</v>
      </c>
      <c r="AN33" s="170">
        <v>0</v>
      </c>
      <c r="AO33" s="170">
        <v>0</v>
      </c>
      <c r="AP33" s="171">
        <v>0</v>
      </c>
      <c r="AQ33" s="172">
        <v>0</v>
      </c>
      <c r="AR33" s="170">
        <v>0</v>
      </c>
      <c r="AS33" s="170">
        <v>0</v>
      </c>
      <c r="AT33" s="171">
        <v>0</v>
      </c>
      <c r="AU33" s="172">
        <v>0</v>
      </c>
      <c r="AV33" s="29"/>
      <c r="AW33" s="242"/>
      <c r="AX33" s="233" t="s">
        <v>14</v>
      </c>
      <c r="AY33" s="234"/>
      <c r="AZ33" s="58">
        <f t="shared" ref="AZ33:BK33" si="116">SUM(AZ29:AZ32)</f>
        <v>0</v>
      </c>
      <c r="BA33" s="59">
        <f t="shared" si="116"/>
        <v>0</v>
      </c>
      <c r="BB33" s="60">
        <f t="shared" si="116"/>
        <v>0</v>
      </c>
      <c r="BC33" s="61">
        <f t="shared" si="116"/>
        <v>0</v>
      </c>
      <c r="BD33" s="58">
        <f t="shared" si="116"/>
        <v>0</v>
      </c>
      <c r="BE33" s="59">
        <f t="shared" si="116"/>
        <v>0</v>
      </c>
      <c r="BF33" s="60">
        <f t="shared" si="116"/>
        <v>0</v>
      </c>
      <c r="BG33" s="61">
        <f t="shared" si="116"/>
        <v>0</v>
      </c>
      <c r="BH33" s="58">
        <f t="shared" si="116"/>
        <v>0</v>
      </c>
      <c r="BI33" s="59">
        <f t="shared" si="116"/>
        <v>0</v>
      </c>
      <c r="BJ33" s="60">
        <f t="shared" si="116"/>
        <v>0</v>
      </c>
      <c r="BK33" s="61">
        <f t="shared" si="116"/>
        <v>0</v>
      </c>
      <c r="BL33" s="29"/>
      <c r="BM33" s="242"/>
      <c r="BN33" s="233" t="s">
        <v>14</v>
      </c>
      <c r="BO33" s="234"/>
      <c r="BP33" s="58">
        <f t="shared" ref="BP33:CA33" si="117">SUM(BP29:BP32)</f>
        <v>0</v>
      </c>
      <c r="BQ33" s="59">
        <f t="shared" si="117"/>
        <v>0</v>
      </c>
      <c r="BR33" s="60">
        <f t="shared" si="117"/>
        <v>0</v>
      </c>
      <c r="BS33" s="61">
        <f t="shared" si="117"/>
        <v>0</v>
      </c>
      <c r="BT33" s="58">
        <f t="shared" si="117"/>
        <v>0</v>
      </c>
      <c r="BU33" s="59">
        <f t="shared" si="117"/>
        <v>0</v>
      </c>
      <c r="BV33" s="60">
        <f t="shared" si="117"/>
        <v>0</v>
      </c>
      <c r="BW33" s="61">
        <f t="shared" si="117"/>
        <v>0</v>
      </c>
      <c r="BX33" s="58">
        <f t="shared" si="117"/>
        <v>0</v>
      </c>
      <c r="BY33" s="59">
        <f t="shared" si="117"/>
        <v>0</v>
      </c>
      <c r="BZ33" s="60">
        <f t="shared" si="117"/>
        <v>0</v>
      </c>
      <c r="CA33" s="61">
        <f t="shared" si="117"/>
        <v>0</v>
      </c>
      <c r="CB33" s="29"/>
      <c r="CC33" s="242"/>
      <c r="CD33" s="233" t="s">
        <v>14</v>
      </c>
      <c r="CE33" s="234"/>
      <c r="CF33" s="169">
        <v>0</v>
      </c>
      <c r="CG33" s="170">
        <v>0</v>
      </c>
      <c r="CH33" s="171">
        <v>0</v>
      </c>
      <c r="CI33" s="172">
        <v>0</v>
      </c>
      <c r="CJ33" s="170">
        <v>0</v>
      </c>
      <c r="CK33" s="170">
        <v>0</v>
      </c>
      <c r="CL33" s="171">
        <v>0</v>
      </c>
      <c r="CM33" s="172">
        <v>0</v>
      </c>
      <c r="CN33" s="170">
        <v>0</v>
      </c>
      <c r="CO33" s="170">
        <v>0</v>
      </c>
      <c r="CP33" s="171">
        <v>0</v>
      </c>
      <c r="CQ33" s="172">
        <v>0</v>
      </c>
      <c r="CR33" s="29"/>
      <c r="CS33" s="242"/>
      <c r="CT33" s="233" t="s">
        <v>14</v>
      </c>
      <c r="CU33" s="234"/>
      <c r="CV33" s="169">
        <v>0</v>
      </c>
      <c r="CW33" s="170">
        <v>0</v>
      </c>
      <c r="CX33" s="171">
        <v>0</v>
      </c>
      <c r="CY33" s="172">
        <v>0</v>
      </c>
      <c r="CZ33" s="170">
        <v>0</v>
      </c>
      <c r="DA33" s="170">
        <v>0</v>
      </c>
      <c r="DB33" s="171">
        <v>0</v>
      </c>
      <c r="DC33" s="172">
        <v>0</v>
      </c>
      <c r="DD33" s="170">
        <v>0</v>
      </c>
      <c r="DE33" s="170">
        <v>0</v>
      </c>
      <c r="DF33" s="171">
        <v>0</v>
      </c>
      <c r="DG33" s="172">
        <v>0</v>
      </c>
      <c r="DH33" s="29"/>
      <c r="DI33" s="242"/>
      <c r="DJ33" s="233" t="s">
        <v>14</v>
      </c>
      <c r="DK33" s="234"/>
      <c r="DL33" s="199">
        <f t="shared" ref="DL33:DW33" si="118">SUM(DL29:DL32)</f>
        <v>0</v>
      </c>
      <c r="DM33" s="200">
        <f t="shared" si="118"/>
        <v>0</v>
      </c>
      <c r="DN33" s="201">
        <f t="shared" si="118"/>
        <v>0</v>
      </c>
      <c r="DO33" s="202">
        <f t="shared" si="118"/>
        <v>0</v>
      </c>
      <c r="DP33" s="199">
        <f t="shared" si="118"/>
        <v>0</v>
      </c>
      <c r="DQ33" s="200">
        <f t="shared" si="118"/>
        <v>0</v>
      </c>
      <c r="DR33" s="201">
        <f t="shared" si="118"/>
        <v>0</v>
      </c>
      <c r="DS33" s="202">
        <f t="shared" si="118"/>
        <v>0</v>
      </c>
      <c r="DT33" s="199">
        <f t="shared" si="118"/>
        <v>0</v>
      </c>
      <c r="DU33" s="200">
        <f t="shared" si="118"/>
        <v>0</v>
      </c>
      <c r="DV33" s="201">
        <f t="shared" si="118"/>
        <v>0</v>
      </c>
      <c r="DW33" s="202">
        <f t="shared" si="118"/>
        <v>0</v>
      </c>
      <c r="DX33" s="29"/>
      <c r="DY33" s="242"/>
      <c r="DZ33" s="233" t="s">
        <v>14</v>
      </c>
      <c r="EA33" s="234"/>
      <c r="EB33" s="58">
        <f t="shared" ref="EB33:EM33" si="119">SUM(EB29:EB32)</f>
        <v>0</v>
      </c>
      <c r="EC33" s="59">
        <f t="shared" si="119"/>
        <v>0</v>
      </c>
      <c r="ED33" s="60">
        <f t="shared" si="119"/>
        <v>0</v>
      </c>
      <c r="EE33" s="61">
        <f t="shared" si="119"/>
        <v>0</v>
      </c>
      <c r="EF33" s="58">
        <f t="shared" si="119"/>
        <v>0</v>
      </c>
      <c r="EG33" s="59">
        <f t="shared" si="119"/>
        <v>0</v>
      </c>
      <c r="EH33" s="60">
        <f t="shared" si="119"/>
        <v>0</v>
      </c>
      <c r="EI33" s="61">
        <f t="shared" si="119"/>
        <v>0</v>
      </c>
      <c r="EJ33" s="58">
        <f t="shared" si="119"/>
        <v>0</v>
      </c>
      <c r="EK33" s="59">
        <f t="shared" si="119"/>
        <v>0</v>
      </c>
      <c r="EL33" s="60">
        <f t="shared" si="119"/>
        <v>0</v>
      </c>
      <c r="EM33" s="61">
        <f t="shared" si="119"/>
        <v>0</v>
      </c>
      <c r="EN33" s="29"/>
      <c r="EO33" s="242"/>
      <c r="EP33" s="233" t="s">
        <v>14</v>
      </c>
      <c r="EQ33" s="234"/>
      <c r="ER33" s="58">
        <f t="shared" ref="ER33:FC33" si="120">SUM(ER29:ER32)</f>
        <v>0</v>
      </c>
      <c r="ES33" s="59">
        <f t="shared" si="120"/>
        <v>0</v>
      </c>
      <c r="ET33" s="60">
        <f t="shared" si="120"/>
        <v>0</v>
      </c>
      <c r="EU33" s="61">
        <f t="shared" si="120"/>
        <v>0</v>
      </c>
      <c r="EV33" s="58">
        <f t="shared" si="120"/>
        <v>0</v>
      </c>
      <c r="EW33" s="59">
        <f t="shared" si="120"/>
        <v>0</v>
      </c>
      <c r="EX33" s="60">
        <f t="shared" si="120"/>
        <v>0</v>
      </c>
      <c r="EY33" s="61">
        <f t="shared" si="120"/>
        <v>0</v>
      </c>
      <c r="EZ33" s="58">
        <f t="shared" si="120"/>
        <v>0</v>
      </c>
      <c r="FA33" s="59">
        <f t="shared" si="120"/>
        <v>0</v>
      </c>
      <c r="FB33" s="60">
        <f t="shared" si="120"/>
        <v>0</v>
      </c>
      <c r="FC33" s="61">
        <f t="shared" si="120"/>
        <v>0</v>
      </c>
      <c r="FD33" s="29"/>
      <c r="FE33" s="242"/>
      <c r="FF33" s="233" t="s">
        <v>14</v>
      </c>
      <c r="FG33" s="234"/>
      <c r="FH33" s="58">
        <f t="shared" ref="FH33:FS33" si="121">SUM(FH29:FH32)</f>
        <v>0</v>
      </c>
      <c r="FI33" s="59">
        <f t="shared" si="121"/>
        <v>0</v>
      </c>
      <c r="FJ33" s="60">
        <f t="shared" si="121"/>
        <v>0</v>
      </c>
      <c r="FK33" s="61">
        <f t="shared" si="121"/>
        <v>0</v>
      </c>
      <c r="FL33" s="58">
        <f t="shared" si="121"/>
        <v>0</v>
      </c>
      <c r="FM33" s="59">
        <f t="shared" si="121"/>
        <v>0</v>
      </c>
      <c r="FN33" s="60">
        <f t="shared" si="121"/>
        <v>0</v>
      </c>
      <c r="FO33" s="61">
        <f t="shared" si="121"/>
        <v>0</v>
      </c>
      <c r="FP33" s="58">
        <f t="shared" si="121"/>
        <v>0</v>
      </c>
      <c r="FQ33" s="59">
        <f t="shared" si="121"/>
        <v>0</v>
      </c>
      <c r="FR33" s="60">
        <f t="shared" si="121"/>
        <v>0</v>
      </c>
      <c r="FS33" s="61">
        <f t="shared" si="121"/>
        <v>0</v>
      </c>
      <c r="FT33" s="29"/>
      <c r="FU33" s="242"/>
      <c r="FV33" s="233" t="s">
        <v>14</v>
      </c>
      <c r="FW33" s="234"/>
      <c r="FX33" s="58">
        <f t="shared" ref="FX33:GI33" si="122">SUM(FX29:FX32)</f>
        <v>0</v>
      </c>
      <c r="FY33" s="59">
        <f t="shared" si="122"/>
        <v>0</v>
      </c>
      <c r="FZ33" s="60">
        <f t="shared" si="122"/>
        <v>0</v>
      </c>
      <c r="GA33" s="61">
        <f t="shared" si="122"/>
        <v>0</v>
      </c>
      <c r="GB33" s="58">
        <f t="shared" si="122"/>
        <v>0</v>
      </c>
      <c r="GC33" s="59">
        <f t="shared" si="122"/>
        <v>0</v>
      </c>
      <c r="GD33" s="60">
        <f t="shared" si="122"/>
        <v>0</v>
      </c>
      <c r="GE33" s="61">
        <f t="shared" si="122"/>
        <v>0</v>
      </c>
      <c r="GF33" s="58">
        <f t="shared" si="122"/>
        <v>0</v>
      </c>
      <c r="GG33" s="59">
        <f t="shared" si="122"/>
        <v>0</v>
      </c>
      <c r="GH33" s="60">
        <f t="shared" si="122"/>
        <v>0</v>
      </c>
      <c r="GI33" s="61">
        <f t="shared" si="122"/>
        <v>0</v>
      </c>
      <c r="GJ33" s="29"/>
      <c r="GK33" s="242"/>
      <c r="GL33" s="233" t="s">
        <v>14</v>
      </c>
      <c r="GM33" s="234"/>
      <c r="GN33" s="62">
        <f t="shared" ref="GN33:GY33" si="123">SUM(GN29:GN32)</f>
        <v>0</v>
      </c>
      <c r="GO33" s="63">
        <f t="shared" si="123"/>
        <v>0</v>
      </c>
      <c r="GP33" s="64">
        <f t="shared" si="123"/>
        <v>0</v>
      </c>
      <c r="GQ33" s="64">
        <f t="shared" si="123"/>
        <v>0</v>
      </c>
      <c r="GR33" s="62">
        <f t="shared" si="123"/>
        <v>0</v>
      </c>
      <c r="GS33" s="63">
        <f t="shared" si="123"/>
        <v>0</v>
      </c>
      <c r="GT33" s="64">
        <f t="shared" si="123"/>
        <v>0</v>
      </c>
      <c r="GU33" s="64">
        <f t="shared" si="123"/>
        <v>0</v>
      </c>
      <c r="GV33" s="62">
        <f t="shared" si="123"/>
        <v>0</v>
      </c>
      <c r="GW33" s="63">
        <f t="shared" si="123"/>
        <v>0</v>
      </c>
      <c r="GX33" s="64">
        <f t="shared" si="123"/>
        <v>0</v>
      </c>
      <c r="GY33" s="64">
        <f t="shared" si="123"/>
        <v>0</v>
      </c>
      <c r="GZ33" s="29"/>
      <c r="HA33" s="31"/>
      <c r="HN33" s="31"/>
    </row>
    <row r="34" spans="1:222" ht="15" customHeight="1" thickTop="1" thickBot="1" x14ac:dyDescent="0.3">
      <c r="A34" s="243"/>
      <c r="B34" s="65" t="s">
        <v>15</v>
      </c>
      <c r="C34" s="65"/>
      <c r="D34" s="66"/>
      <c r="E34" s="66" t="s">
        <v>2</v>
      </c>
      <c r="F34" s="66"/>
      <c r="G34" s="66">
        <v>0</v>
      </c>
      <c r="H34" s="66"/>
      <c r="I34" s="66" t="s">
        <v>16</v>
      </c>
      <c r="J34" s="66"/>
      <c r="K34" s="66">
        <v>0</v>
      </c>
      <c r="L34" s="66"/>
      <c r="M34" s="66" t="s">
        <v>17</v>
      </c>
      <c r="N34" s="232">
        <v>0</v>
      </c>
      <c r="O34" s="232"/>
      <c r="P34" s="29"/>
      <c r="Q34" s="243"/>
      <c r="R34" s="65" t="s">
        <v>15</v>
      </c>
      <c r="S34" s="65"/>
      <c r="T34" s="66"/>
      <c r="U34" s="66" t="s">
        <v>2</v>
      </c>
      <c r="V34" s="66"/>
      <c r="W34" s="66">
        <v>0</v>
      </c>
      <c r="X34" s="66"/>
      <c r="Y34" s="66" t="s">
        <v>16</v>
      </c>
      <c r="Z34" s="66"/>
      <c r="AA34" s="66">
        <v>0</v>
      </c>
      <c r="AB34" s="66"/>
      <c r="AC34" s="66" t="s">
        <v>17</v>
      </c>
      <c r="AD34" s="232">
        <v>0</v>
      </c>
      <c r="AE34" s="232"/>
      <c r="AF34" s="29"/>
      <c r="AG34" s="243"/>
      <c r="AH34" s="65" t="s">
        <v>15</v>
      </c>
      <c r="AI34" s="65"/>
      <c r="AJ34" s="173"/>
      <c r="AK34" s="174" t="s">
        <v>2</v>
      </c>
      <c r="AL34" s="173"/>
      <c r="AM34" s="175">
        <v>0</v>
      </c>
      <c r="AN34" s="173"/>
      <c r="AO34" s="174" t="s">
        <v>16</v>
      </c>
      <c r="AP34" s="173"/>
      <c r="AQ34" s="175">
        <v>0</v>
      </c>
      <c r="AR34" s="173"/>
      <c r="AS34" s="175" t="s">
        <v>17</v>
      </c>
      <c r="AT34" s="249">
        <v>0</v>
      </c>
      <c r="AU34" s="250"/>
      <c r="AV34" s="29"/>
      <c r="AW34" s="243"/>
      <c r="AX34" s="65" t="s">
        <v>15</v>
      </c>
      <c r="AY34" s="65"/>
      <c r="AZ34" s="66"/>
      <c r="BA34" s="66" t="s">
        <v>2</v>
      </c>
      <c r="BB34" s="66"/>
      <c r="BC34" s="66">
        <v>0</v>
      </c>
      <c r="BD34" s="66"/>
      <c r="BE34" s="66" t="s">
        <v>16</v>
      </c>
      <c r="BF34" s="66"/>
      <c r="BG34" s="66">
        <v>0</v>
      </c>
      <c r="BH34" s="66"/>
      <c r="BI34" s="66" t="s">
        <v>17</v>
      </c>
      <c r="BJ34" s="232">
        <v>0</v>
      </c>
      <c r="BK34" s="232"/>
      <c r="BL34" s="29"/>
      <c r="BM34" s="243"/>
      <c r="BN34" s="65" t="s">
        <v>15</v>
      </c>
      <c r="BO34" s="65"/>
      <c r="BP34" s="66"/>
      <c r="BQ34" s="66" t="s">
        <v>2</v>
      </c>
      <c r="BR34" s="66"/>
      <c r="BS34" s="66">
        <v>0</v>
      </c>
      <c r="BT34" s="66"/>
      <c r="BU34" s="66" t="s">
        <v>16</v>
      </c>
      <c r="BV34" s="66"/>
      <c r="BW34" s="66">
        <v>0</v>
      </c>
      <c r="BX34" s="66"/>
      <c r="BY34" s="66" t="s">
        <v>17</v>
      </c>
      <c r="BZ34" s="232">
        <v>0</v>
      </c>
      <c r="CA34" s="232"/>
      <c r="CB34" s="29"/>
      <c r="CC34" s="243"/>
      <c r="CD34" s="65" t="s">
        <v>15</v>
      </c>
      <c r="CE34" s="65"/>
      <c r="CF34" s="173"/>
      <c r="CG34" s="174" t="s">
        <v>2</v>
      </c>
      <c r="CH34" s="173"/>
      <c r="CI34" s="175">
        <v>0</v>
      </c>
      <c r="CJ34" s="173"/>
      <c r="CK34" s="174" t="s">
        <v>16</v>
      </c>
      <c r="CL34" s="173"/>
      <c r="CM34" s="175">
        <v>0</v>
      </c>
      <c r="CN34" s="173"/>
      <c r="CO34" s="175" t="s">
        <v>17</v>
      </c>
      <c r="CP34" s="249">
        <v>0</v>
      </c>
      <c r="CQ34" s="250"/>
      <c r="CR34" s="29"/>
      <c r="CS34" s="243"/>
      <c r="CT34" s="65" t="s">
        <v>15</v>
      </c>
      <c r="CU34" s="65"/>
      <c r="CV34" s="173"/>
      <c r="CW34" s="174" t="s">
        <v>2</v>
      </c>
      <c r="CX34" s="173"/>
      <c r="CY34" s="175">
        <v>0</v>
      </c>
      <c r="CZ34" s="173"/>
      <c r="DA34" s="174" t="s">
        <v>16</v>
      </c>
      <c r="DB34" s="173"/>
      <c r="DC34" s="175">
        <v>0</v>
      </c>
      <c r="DD34" s="173"/>
      <c r="DE34" s="175" t="s">
        <v>17</v>
      </c>
      <c r="DF34" s="249">
        <v>0</v>
      </c>
      <c r="DG34" s="250"/>
      <c r="DH34" s="29"/>
      <c r="DI34" s="243"/>
      <c r="DJ34" s="65" t="s">
        <v>15</v>
      </c>
      <c r="DK34" s="65"/>
      <c r="DL34" s="203"/>
      <c r="DM34" s="203" t="s">
        <v>2</v>
      </c>
      <c r="DN34" s="203"/>
      <c r="DO34" s="203">
        <v>0</v>
      </c>
      <c r="DP34" s="203"/>
      <c r="DQ34" s="203" t="s">
        <v>16</v>
      </c>
      <c r="DR34" s="203"/>
      <c r="DS34" s="203">
        <v>0</v>
      </c>
      <c r="DT34" s="203"/>
      <c r="DU34" s="203" t="s">
        <v>17</v>
      </c>
      <c r="DV34" s="247">
        <v>0</v>
      </c>
      <c r="DW34" s="248"/>
      <c r="DX34" s="29"/>
      <c r="DY34" s="243"/>
      <c r="DZ34" s="65" t="s">
        <v>15</v>
      </c>
      <c r="EA34" s="65"/>
      <c r="EB34" s="66"/>
      <c r="EC34" s="66" t="s">
        <v>2</v>
      </c>
      <c r="ED34" s="66"/>
      <c r="EE34" s="66">
        <v>0</v>
      </c>
      <c r="EF34" s="66"/>
      <c r="EG34" s="66" t="s">
        <v>16</v>
      </c>
      <c r="EH34" s="66"/>
      <c r="EI34" s="66">
        <v>0</v>
      </c>
      <c r="EJ34" s="66"/>
      <c r="EK34" s="66" t="s">
        <v>17</v>
      </c>
      <c r="EL34" s="232">
        <v>0</v>
      </c>
      <c r="EM34" s="232"/>
      <c r="EN34" s="29"/>
      <c r="EO34" s="243"/>
      <c r="EP34" s="65" t="s">
        <v>15</v>
      </c>
      <c r="EQ34" s="65"/>
      <c r="ER34" s="66"/>
      <c r="ES34" s="66" t="s">
        <v>2</v>
      </c>
      <c r="ET34" s="66"/>
      <c r="EU34" s="66">
        <v>0</v>
      </c>
      <c r="EV34" s="66"/>
      <c r="EW34" s="66" t="s">
        <v>16</v>
      </c>
      <c r="EX34" s="66"/>
      <c r="EY34" s="66">
        <v>0</v>
      </c>
      <c r="EZ34" s="66"/>
      <c r="FA34" s="66" t="s">
        <v>17</v>
      </c>
      <c r="FB34" s="232">
        <v>0</v>
      </c>
      <c r="FC34" s="232"/>
      <c r="FD34" s="29"/>
      <c r="FE34" s="243"/>
      <c r="FF34" s="65" t="s">
        <v>15</v>
      </c>
      <c r="FG34" s="65"/>
      <c r="FH34" s="66"/>
      <c r="FI34" s="66" t="s">
        <v>2</v>
      </c>
      <c r="FJ34" s="66"/>
      <c r="FK34" s="66">
        <v>0</v>
      </c>
      <c r="FL34" s="66"/>
      <c r="FM34" s="66" t="s">
        <v>16</v>
      </c>
      <c r="FN34" s="66"/>
      <c r="FO34" s="66">
        <v>0</v>
      </c>
      <c r="FP34" s="66"/>
      <c r="FQ34" s="66" t="s">
        <v>17</v>
      </c>
      <c r="FR34" s="232">
        <v>0</v>
      </c>
      <c r="FS34" s="232"/>
      <c r="FT34" s="29"/>
      <c r="FU34" s="243"/>
      <c r="FV34" s="65" t="s">
        <v>15</v>
      </c>
      <c r="FW34" s="65"/>
      <c r="FX34" s="66"/>
      <c r="FY34" s="66" t="s">
        <v>2</v>
      </c>
      <c r="FZ34" s="66"/>
      <c r="GA34" s="66">
        <v>0</v>
      </c>
      <c r="GB34" s="66"/>
      <c r="GC34" s="66" t="s">
        <v>16</v>
      </c>
      <c r="GD34" s="66"/>
      <c r="GE34" s="66">
        <v>0</v>
      </c>
      <c r="GF34" s="66"/>
      <c r="GG34" s="66" t="s">
        <v>17</v>
      </c>
      <c r="GH34" s="232">
        <v>0</v>
      </c>
      <c r="GI34" s="232"/>
      <c r="GJ34" s="29"/>
      <c r="GK34" s="243"/>
      <c r="GL34" s="65" t="s">
        <v>15</v>
      </c>
      <c r="GM34" s="65"/>
      <c r="GN34" s="66"/>
      <c r="GO34" s="66" t="s">
        <v>2</v>
      </c>
      <c r="GP34" s="66"/>
      <c r="GQ34" s="66"/>
      <c r="GR34" s="66">
        <f>G34+W34+AM34+BC34+BS34+CI34+CY34+DO34+EE34+EU34+FK34+GA34</f>
        <v>0</v>
      </c>
      <c r="GS34" s="66" t="s">
        <v>16</v>
      </c>
      <c r="GT34" s="66"/>
      <c r="GU34" s="66"/>
      <c r="GV34" s="66">
        <f>K34+AA34+AQ34+BG34+BW34+CM34+DC34+DS34+EI34+EY34+FO34+GE34</f>
        <v>0</v>
      </c>
      <c r="GW34" s="66" t="s">
        <v>17</v>
      </c>
      <c r="GX34" s="66"/>
      <c r="GY34" s="66">
        <f>N34+AD34+AT34+BJ34+BZ34+CP34+DF34+DV34+EL34+FB34+FR34+GH34</f>
        <v>0</v>
      </c>
      <c r="GZ34" s="29"/>
      <c r="HA34" s="31"/>
      <c r="HN34" s="31"/>
    </row>
    <row r="35" spans="1:222" ht="15" customHeight="1" thickTop="1" thickBot="1" x14ac:dyDescent="0.3">
      <c r="A35" s="241" t="s">
        <v>29</v>
      </c>
      <c r="B35" s="38"/>
      <c r="C35" s="39" t="s">
        <v>10</v>
      </c>
      <c r="D35" s="148">
        <v>651</v>
      </c>
      <c r="E35" s="149">
        <v>1</v>
      </c>
      <c r="F35" s="150">
        <v>0</v>
      </c>
      <c r="G35" s="151">
        <v>151</v>
      </c>
      <c r="H35" s="149">
        <v>456</v>
      </c>
      <c r="I35" s="149">
        <v>1</v>
      </c>
      <c r="J35" s="150">
        <v>0</v>
      </c>
      <c r="K35" s="151">
        <v>94</v>
      </c>
      <c r="L35" s="149">
        <v>5</v>
      </c>
      <c r="M35" s="149">
        <v>0</v>
      </c>
      <c r="N35" s="150">
        <v>0</v>
      </c>
      <c r="O35" s="43">
        <v>0</v>
      </c>
      <c r="P35" s="29"/>
      <c r="Q35" s="241" t="s">
        <v>29</v>
      </c>
      <c r="R35" s="38"/>
      <c r="S35" s="39" t="s">
        <v>10</v>
      </c>
      <c r="T35" s="148">
        <v>653</v>
      </c>
      <c r="U35" s="149">
        <v>1</v>
      </c>
      <c r="V35" s="150">
        <v>0</v>
      </c>
      <c r="W35" s="151">
        <v>159</v>
      </c>
      <c r="X35" s="149">
        <v>457</v>
      </c>
      <c r="Y35" s="149">
        <v>2</v>
      </c>
      <c r="Z35" s="150">
        <v>0</v>
      </c>
      <c r="AA35" s="151">
        <v>97</v>
      </c>
      <c r="AB35" s="149">
        <v>5</v>
      </c>
      <c r="AC35" s="149">
        <v>0</v>
      </c>
      <c r="AD35" s="150">
        <v>0</v>
      </c>
      <c r="AE35" s="151">
        <v>5</v>
      </c>
      <c r="AF35" s="29"/>
      <c r="AG35" s="241" t="s">
        <v>29</v>
      </c>
      <c r="AH35" s="38"/>
      <c r="AI35" s="39" t="s">
        <v>10</v>
      </c>
      <c r="AJ35" s="156">
        <v>658</v>
      </c>
      <c r="AK35" s="157">
        <v>0</v>
      </c>
      <c r="AL35" s="158">
        <v>0</v>
      </c>
      <c r="AM35" s="159">
        <v>128</v>
      </c>
      <c r="AN35" s="157">
        <v>462</v>
      </c>
      <c r="AO35" s="157">
        <v>0</v>
      </c>
      <c r="AP35" s="158">
        <v>0</v>
      </c>
      <c r="AQ35" s="159">
        <v>109</v>
      </c>
      <c r="AR35" s="157">
        <v>5</v>
      </c>
      <c r="AS35" s="157">
        <v>0</v>
      </c>
      <c r="AT35" s="158">
        <v>0</v>
      </c>
      <c r="AU35" s="159">
        <v>2</v>
      </c>
      <c r="AV35" s="29"/>
      <c r="AW35" s="241" t="s">
        <v>29</v>
      </c>
      <c r="AX35" s="38"/>
      <c r="AY35" s="39" t="s">
        <v>10</v>
      </c>
      <c r="AZ35" s="148">
        <v>658</v>
      </c>
      <c r="BA35" s="149">
        <v>0</v>
      </c>
      <c r="BB35" s="150">
        <v>0</v>
      </c>
      <c r="BC35" s="151">
        <v>133</v>
      </c>
      <c r="BD35" s="149">
        <v>462</v>
      </c>
      <c r="BE35" s="149">
        <v>0</v>
      </c>
      <c r="BF35" s="150">
        <v>0</v>
      </c>
      <c r="BG35" s="151">
        <v>92</v>
      </c>
      <c r="BH35" s="149">
        <v>5</v>
      </c>
      <c r="BI35" s="149">
        <v>0</v>
      </c>
      <c r="BJ35" s="150">
        <v>0</v>
      </c>
      <c r="BK35" s="151">
        <v>2</v>
      </c>
      <c r="BL35" s="29"/>
      <c r="BM35" s="241" t="s">
        <v>29</v>
      </c>
      <c r="BN35" s="38"/>
      <c r="BO35" s="39" t="s">
        <v>10</v>
      </c>
      <c r="BP35" s="148">
        <v>647</v>
      </c>
      <c r="BQ35" s="149">
        <v>0</v>
      </c>
      <c r="BR35" s="150">
        <v>0</v>
      </c>
      <c r="BS35" s="151">
        <v>30</v>
      </c>
      <c r="BT35" s="149">
        <v>453</v>
      </c>
      <c r="BU35" s="149">
        <v>0</v>
      </c>
      <c r="BV35" s="150">
        <v>0</v>
      </c>
      <c r="BW35" s="151">
        <v>22</v>
      </c>
      <c r="BX35" s="149">
        <v>5</v>
      </c>
      <c r="BY35" s="149">
        <v>0</v>
      </c>
      <c r="BZ35" s="150">
        <v>0</v>
      </c>
      <c r="CA35" s="151">
        <v>1</v>
      </c>
      <c r="CB35" s="29"/>
      <c r="CC35" s="241" t="s">
        <v>29</v>
      </c>
      <c r="CD35" s="38"/>
      <c r="CE35" s="39" t="s">
        <v>10</v>
      </c>
      <c r="CF35" s="156">
        <v>658</v>
      </c>
      <c r="CG35" s="157">
        <v>1</v>
      </c>
      <c r="CH35" s="158">
        <v>0</v>
      </c>
      <c r="CI35" s="159">
        <v>98</v>
      </c>
      <c r="CJ35" s="157">
        <v>462</v>
      </c>
      <c r="CK35" s="157">
        <v>1</v>
      </c>
      <c r="CL35" s="158">
        <v>0</v>
      </c>
      <c r="CM35" s="159">
        <v>87</v>
      </c>
      <c r="CN35" s="157">
        <v>5</v>
      </c>
      <c r="CO35" s="157">
        <v>0</v>
      </c>
      <c r="CP35" s="158">
        <v>0</v>
      </c>
      <c r="CQ35" s="159">
        <v>1</v>
      </c>
      <c r="CR35" s="29"/>
      <c r="CS35" s="241" t="s">
        <v>29</v>
      </c>
      <c r="CT35" s="38"/>
      <c r="CU35" s="39" t="s">
        <v>10</v>
      </c>
      <c r="CV35" s="156">
        <v>651</v>
      </c>
      <c r="CW35" s="157">
        <v>2</v>
      </c>
      <c r="CX35" s="158">
        <v>0</v>
      </c>
      <c r="CY35" s="159">
        <v>158</v>
      </c>
      <c r="CZ35" s="157">
        <v>456</v>
      </c>
      <c r="DA35" s="157">
        <v>1</v>
      </c>
      <c r="DB35" s="158">
        <v>0</v>
      </c>
      <c r="DC35" s="159">
        <v>96</v>
      </c>
      <c r="DD35" s="157">
        <v>5</v>
      </c>
      <c r="DE35" s="157">
        <v>0</v>
      </c>
      <c r="DF35" s="158">
        <v>0</v>
      </c>
      <c r="DG35" s="159">
        <v>7</v>
      </c>
      <c r="DH35" s="29"/>
      <c r="DI35" s="241" t="s">
        <v>29</v>
      </c>
      <c r="DJ35" s="38"/>
      <c r="DK35" s="39" t="s">
        <v>10</v>
      </c>
      <c r="DL35" s="185">
        <v>658</v>
      </c>
      <c r="DM35" s="186">
        <v>1</v>
      </c>
      <c r="DN35" s="187">
        <v>0</v>
      </c>
      <c r="DO35" s="188">
        <v>98</v>
      </c>
      <c r="DP35" s="186">
        <v>462</v>
      </c>
      <c r="DQ35" s="186">
        <v>1</v>
      </c>
      <c r="DR35" s="187">
        <v>0</v>
      </c>
      <c r="DS35" s="188">
        <v>87</v>
      </c>
      <c r="DT35" s="186">
        <v>5</v>
      </c>
      <c r="DU35" s="186">
        <v>0</v>
      </c>
      <c r="DV35" s="187">
        <v>0</v>
      </c>
      <c r="DW35" s="189">
        <v>0</v>
      </c>
      <c r="DX35" s="29"/>
      <c r="DY35" s="241" t="s">
        <v>29</v>
      </c>
      <c r="DZ35" s="38"/>
      <c r="EA35" s="39" t="s">
        <v>10</v>
      </c>
      <c r="EB35" s="207">
        <v>643</v>
      </c>
      <c r="EC35" s="208">
        <v>0</v>
      </c>
      <c r="ED35" s="209">
        <v>0</v>
      </c>
      <c r="EE35" s="189">
        <v>127</v>
      </c>
      <c r="EF35" s="207">
        <v>422</v>
      </c>
      <c r="EG35" s="208">
        <v>0</v>
      </c>
      <c r="EH35" s="209">
        <v>0</v>
      </c>
      <c r="EI35" s="189">
        <v>72</v>
      </c>
      <c r="EJ35" s="207">
        <v>5</v>
      </c>
      <c r="EK35" s="208">
        <v>0</v>
      </c>
      <c r="EL35" s="209">
        <v>0</v>
      </c>
      <c r="EM35" s="189">
        <v>0</v>
      </c>
      <c r="EN35" s="29"/>
      <c r="EO35" s="241" t="s">
        <v>29</v>
      </c>
      <c r="EP35" s="38"/>
      <c r="EQ35" s="39" t="s">
        <v>10</v>
      </c>
      <c r="ER35" s="207">
        <v>643</v>
      </c>
      <c r="ES35" s="208">
        <v>0</v>
      </c>
      <c r="ET35" s="209">
        <v>0</v>
      </c>
      <c r="EU35" s="189">
        <v>90</v>
      </c>
      <c r="EV35" s="207">
        <v>422</v>
      </c>
      <c r="EW35" s="208">
        <v>0</v>
      </c>
      <c r="EX35" s="209">
        <v>0</v>
      </c>
      <c r="EY35" s="189">
        <v>50</v>
      </c>
      <c r="EZ35" s="207">
        <v>5</v>
      </c>
      <c r="FA35" s="208">
        <v>0</v>
      </c>
      <c r="FB35" s="209">
        <v>0</v>
      </c>
      <c r="FC35" s="189">
        <v>0</v>
      </c>
      <c r="FD35" s="29"/>
      <c r="FE35" s="241" t="s">
        <v>29</v>
      </c>
      <c r="FF35" s="38"/>
      <c r="FG35" s="39" t="s">
        <v>10</v>
      </c>
      <c r="FH35" s="40">
        <v>0</v>
      </c>
      <c r="FI35" s="41">
        <v>0</v>
      </c>
      <c r="FJ35" s="42">
        <v>0</v>
      </c>
      <c r="FK35" s="43">
        <v>0</v>
      </c>
      <c r="FL35" s="40">
        <v>0</v>
      </c>
      <c r="FM35" s="41">
        <v>0</v>
      </c>
      <c r="FN35" s="42">
        <v>0</v>
      </c>
      <c r="FO35" s="43">
        <v>0</v>
      </c>
      <c r="FP35" s="40">
        <v>0</v>
      </c>
      <c r="FQ35" s="41">
        <v>0</v>
      </c>
      <c r="FR35" s="42">
        <v>0</v>
      </c>
      <c r="FS35" s="43">
        <v>0</v>
      </c>
      <c r="FT35" s="29"/>
      <c r="FU35" s="241" t="s">
        <v>29</v>
      </c>
      <c r="FV35" s="38"/>
      <c r="FW35" s="39" t="s">
        <v>10</v>
      </c>
      <c r="FX35" s="40">
        <v>0</v>
      </c>
      <c r="FY35" s="41">
        <v>0</v>
      </c>
      <c r="FZ35" s="42">
        <v>0</v>
      </c>
      <c r="GA35" s="43">
        <v>0</v>
      </c>
      <c r="GB35" s="40">
        <v>0</v>
      </c>
      <c r="GC35" s="41">
        <v>0</v>
      </c>
      <c r="GD35" s="42">
        <v>0</v>
      </c>
      <c r="GE35" s="43">
        <v>0</v>
      </c>
      <c r="GF35" s="40">
        <v>0</v>
      </c>
      <c r="GG35" s="41">
        <v>0</v>
      </c>
      <c r="GH35" s="42">
        <v>0</v>
      </c>
      <c r="GI35" s="43">
        <v>0</v>
      </c>
      <c r="GJ35" s="29"/>
      <c r="GK35" s="241" t="str">
        <f t="shared" ref="GK35" si="124">FU35</f>
        <v>قويزة</v>
      </c>
      <c r="GL35" s="38"/>
      <c r="GM35" s="39" t="s">
        <v>10</v>
      </c>
      <c r="GN35" s="41">
        <f>FX35</f>
        <v>0</v>
      </c>
      <c r="GO35" s="41">
        <f t="shared" ref="GO35:GO38" si="125">E35+U35+AK35+BA35+BQ35+CG35++CW35+DM35+EC35+ES35+FI35+FY35</f>
        <v>6</v>
      </c>
      <c r="GP35" s="41">
        <f t="shared" ref="GP35:GP38" si="126">F35+V35+AL35+BB35+BR35+CH35++CX35+DN35+ED35+ET35+FJ35+FZ35</f>
        <v>0</v>
      </c>
      <c r="GQ35" s="41">
        <f t="shared" ref="GQ35:GQ38" si="127">G35+W35+AM35+BC35+BS35+CI35++CY35+DO35+EE35+EU35+FK35+GA35</f>
        <v>1172</v>
      </c>
      <c r="GR35" s="41">
        <f>GB35</f>
        <v>0</v>
      </c>
      <c r="GS35" s="41">
        <f t="shared" ref="GS35:GS38" si="128">I35+Y35+AO35+BE35+BU35+CK35++DA35+DQ35+EG35+EW35+FM35+GC35</f>
        <v>6</v>
      </c>
      <c r="GT35" s="41">
        <f t="shared" ref="GT35:GT38" si="129">J35+Z35+AP35+BF35+BV35+CL35++DB35+DR35+EH35+EX35+FN35+GD35</f>
        <v>0</v>
      </c>
      <c r="GU35" s="41">
        <f t="shared" ref="GU35:GU38" si="130">K35+AA35+AQ35+BG35+BW35+CM35++DC35+DS35+EI35+EY35+FO35+GE35</f>
        <v>806</v>
      </c>
      <c r="GV35" s="41">
        <f>GF35</f>
        <v>0</v>
      </c>
      <c r="GW35" s="41">
        <f t="shared" ref="GW35:GW38" si="131">M35+AC35+AS35+BI35+BY35+CO35++DE35+DU35+EK35+FA35+FQ35+GG35</f>
        <v>0</v>
      </c>
      <c r="GX35" s="41">
        <f t="shared" ref="GX35:GX38" si="132">N35+AD35+AT35+BJ35+BZ35+CP35++DF35+DV35+EL35+FB35+FR35+GH35</f>
        <v>0</v>
      </c>
      <c r="GY35" s="41">
        <f t="shared" ref="GY35:GY38" si="133">O35+AE35+AU35+BK35+CA35+CQ35++DG35+DW35+EM35+FC35+FS35+GI35</f>
        <v>18</v>
      </c>
      <c r="GZ35" s="29"/>
      <c r="HA35" s="31"/>
      <c r="HN35" s="31"/>
    </row>
    <row r="36" spans="1:222" ht="15" customHeight="1" thickBot="1" x14ac:dyDescent="0.3">
      <c r="A36" s="242"/>
      <c r="B36" s="46" t="s">
        <v>11</v>
      </c>
      <c r="C36" s="47" t="s">
        <v>12</v>
      </c>
      <c r="D36" s="152">
        <v>227</v>
      </c>
      <c r="E36" s="153">
        <v>2</v>
      </c>
      <c r="F36" s="154">
        <v>0</v>
      </c>
      <c r="G36" s="155">
        <v>123</v>
      </c>
      <c r="H36" s="153">
        <v>343</v>
      </c>
      <c r="I36" s="153">
        <v>1</v>
      </c>
      <c r="J36" s="154">
        <v>0</v>
      </c>
      <c r="K36" s="155">
        <v>91</v>
      </c>
      <c r="L36" s="153">
        <v>35</v>
      </c>
      <c r="M36" s="153">
        <v>0</v>
      </c>
      <c r="N36" s="154">
        <v>0</v>
      </c>
      <c r="O36" s="51">
        <v>0</v>
      </c>
      <c r="P36" s="29"/>
      <c r="Q36" s="242"/>
      <c r="R36" s="46" t="s">
        <v>11</v>
      </c>
      <c r="S36" s="47" t="s">
        <v>12</v>
      </c>
      <c r="T36" s="152">
        <v>228</v>
      </c>
      <c r="U36" s="153">
        <v>1</v>
      </c>
      <c r="V36" s="154">
        <v>0</v>
      </c>
      <c r="W36" s="155">
        <v>141</v>
      </c>
      <c r="X36" s="153">
        <v>345</v>
      </c>
      <c r="Y36" s="153">
        <v>1</v>
      </c>
      <c r="Z36" s="154">
        <v>0</v>
      </c>
      <c r="AA36" s="155">
        <v>95</v>
      </c>
      <c r="AB36" s="153">
        <v>35</v>
      </c>
      <c r="AC36" s="153">
        <v>0</v>
      </c>
      <c r="AD36" s="154">
        <v>0</v>
      </c>
      <c r="AE36" s="155">
        <v>4</v>
      </c>
      <c r="AF36" s="29"/>
      <c r="AG36" s="242"/>
      <c r="AH36" s="46" t="s">
        <v>11</v>
      </c>
      <c r="AI36" s="47" t="s">
        <v>12</v>
      </c>
      <c r="AJ36" s="152">
        <v>234</v>
      </c>
      <c r="AK36" s="153">
        <v>0</v>
      </c>
      <c r="AL36" s="154">
        <v>0</v>
      </c>
      <c r="AM36" s="155">
        <v>125</v>
      </c>
      <c r="AN36" s="153">
        <v>350</v>
      </c>
      <c r="AO36" s="153">
        <v>0</v>
      </c>
      <c r="AP36" s="154">
        <v>0</v>
      </c>
      <c r="AQ36" s="155">
        <v>99</v>
      </c>
      <c r="AR36" s="153">
        <v>35</v>
      </c>
      <c r="AS36" s="153">
        <v>0</v>
      </c>
      <c r="AT36" s="154">
        <v>0</v>
      </c>
      <c r="AU36" s="155">
        <v>1</v>
      </c>
      <c r="AV36" s="29"/>
      <c r="AW36" s="242"/>
      <c r="AX36" s="46" t="s">
        <v>11</v>
      </c>
      <c r="AY36" s="47" t="s">
        <v>12</v>
      </c>
      <c r="AZ36" s="152">
        <v>233</v>
      </c>
      <c r="BA36" s="153">
        <v>1</v>
      </c>
      <c r="BB36" s="154">
        <v>0</v>
      </c>
      <c r="BC36" s="155">
        <v>127</v>
      </c>
      <c r="BD36" s="153">
        <v>350</v>
      </c>
      <c r="BE36" s="153">
        <v>0</v>
      </c>
      <c r="BF36" s="154">
        <v>0</v>
      </c>
      <c r="BG36" s="155">
        <v>91</v>
      </c>
      <c r="BH36" s="153">
        <v>35</v>
      </c>
      <c r="BI36" s="153">
        <v>0</v>
      </c>
      <c r="BJ36" s="154">
        <v>0</v>
      </c>
      <c r="BK36" s="155">
        <v>2</v>
      </c>
      <c r="BL36" s="29"/>
      <c r="BM36" s="242"/>
      <c r="BN36" s="46" t="s">
        <v>11</v>
      </c>
      <c r="BO36" s="47" t="s">
        <v>12</v>
      </c>
      <c r="BP36" s="152">
        <v>223</v>
      </c>
      <c r="BQ36" s="153">
        <v>0</v>
      </c>
      <c r="BR36" s="154">
        <v>0</v>
      </c>
      <c r="BS36" s="155">
        <v>31</v>
      </c>
      <c r="BT36" s="153">
        <v>341</v>
      </c>
      <c r="BU36" s="153">
        <v>0</v>
      </c>
      <c r="BV36" s="154">
        <v>0</v>
      </c>
      <c r="BW36" s="155">
        <v>24</v>
      </c>
      <c r="BX36" s="153">
        <v>35</v>
      </c>
      <c r="BY36" s="153">
        <v>0</v>
      </c>
      <c r="BZ36" s="154">
        <v>0</v>
      </c>
      <c r="CA36" s="155">
        <v>1</v>
      </c>
      <c r="CB36" s="29"/>
      <c r="CC36" s="242"/>
      <c r="CD36" s="46" t="s">
        <v>11</v>
      </c>
      <c r="CE36" s="47" t="s">
        <v>12</v>
      </c>
      <c r="CF36" s="152">
        <v>234</v>
      </c>
      <c r="CG36" s="153">
        <v>1</v>
      </c>
      <c r="CH36" s="154">
        <v>0</v>
      </c>
      <c r="CI36" s="155">
        <v>91</v>
      </c>
      <c r="CJ36" s="153">
        <v>350</v>
      </c>
      <c r="CK36" s="153">
        <v>1</v>
      </c>
      <c r="CL36" s="154">
        <v>0</v>
      </c>
      <c r="CM36" s="155">
        <v>84</v>
      </c>
      <c r="CN36" s="153">
        <v>35</v>
      </c>
      <c r="CO36" s="153">
        <v>0</v>
      </c>
      <c r="CP36" s="154">
        <v>0</v>
      </c>
      <c r="CQ36" s="155">
        <v>1</v>
      </c>
      <c r="CR36" s="29"/>
      <c r="CS36" s="242"/>
      <c r="CT36" s="46" t="s">
        <v>11</v>
      </c>
      <c r="CU36" s="47" t="s">
        <v>12</v>
      </c>
      <c r="CV36" s="152">
        <v>227</v>
      </c>
      <c r="CW36" s="153">
        <v>1</v>
      </c>
      <c r="CX36" s="154">
        <v>0</v>
      </c>
      <c r="CY36" s="155">
        <v>133</v>
      </c>
      <c r="CZ36" s="153">
        <v>343</v>
      </c>
      <c r="DA36" s="153">
        <v>2</v>
      </c>
      <c r="DB36" s="154">
        <v>0</v>
      </c>
      <c r="DC36" s="155">
        <v>94</v>
      </c>
      <c r="DD36" s="153">
        <v>35</v>
      </c>
      <c r="DE36" s="153">
        <v>0</v>
      </c>
      <c r="DF36" s="154">
        <v>0</v>
      </c>
      <c r="DG36" s="155">
        <v>6</v>
      </c>
      <c r="DH36" s="29"/>
      <c r="DI36" s="242"/>
      <c r="DJ36" s="46" t="s">
        <v>11</v>
      </c>
      <c r="DK36" s="47" t="s">
        <v>12</v>
      </c>
      <c r="DL36" s="190">
        <v>234</v>
      </c>
      <c r="DM36" s="191">
        <v>1</v>
      </c>
      <c r="DN36" s="192">
        <v>0</v>
      </c>
      <c r="DO36" s="193">
        <v>91</v>
      </c>
      <c r="DP36" s="191">
        <v>350</v>
      </c>
      <c r="DQ36" s="191">
        <v>1</v>
      </c>
      <c r="DR36" s="192">
        <v>0</v>
      </c>
      <c r="DS36" s="193">
        <v>84</v>
      </c>
      <c r="DT36" s="191">
        <v>35</v>
      </c>
      <c r="DU36" s="191">
        <v>0</v>
      </c>
      <c r="DV36" s="192">
        <v>0</v>
      </c>
      <c r="DW36" s="194">
        <v>0</v>
      </c>
      <c r="DX36" s="29"/>
      <c r="DY36" s="242"/>
      <c r="DZ36" s="46" t="s">
        <v>11</v>
      </c>
      <c r="EA36" s="47" t="s">
        <v>12</v>
      </c>
      <c r="EB36" s="210">
        <v>548</v>
      </c>
      <c r="EC36" s="211">
        <v>0</v>
      </c>
      <c r="ED36" s="212">
        <v>0</v>
      </c>
      <c r="EE36" s="194">
        <v>111</v>
      </c>
      <c r="EF36" s="210">
        <v>336</v>
      </c>
      <c r="EG36" s="211">
        <v>0</v>
      </c>
      <c r="EH36" s="212">
        <v>0</v>
      </c>
      <c r="EI36" s="194">
        <v>68</v>
      </c>
      <c r="EJ36" s="210">
        <v>35</v>
      </c>
      <c r="EK36" s="211">
        <v>0</v>
      </c>
      <c r="EL36" s="212">
        <v>0</v>
      </c>
      <c r="EM36" s="194">
        <v>0</v>
      </c>
      <c r="EN36" s="29"/>
      <c r="EO36" s="242"/>
      <c r="EP36" s="46" t="s">
        <v>11</v>
      </c>
      <c r="EQ36" s="47" t="s">
        <v>12</v>
      </c>
      <c r="ER36" s="210">
        <v>548</v>
      </c>
      <c r="ES36" s="211">
        <v>0</v>
      </c>
      <c r="ET36" s="212">
        <v>0</v>
      </c>
      <c r="EU36" s="194">
        <v>20</v>
      </c>
      <c r="EV36" s="210">
        <v>336</v>
      </c>
      <c r="EW36" s="211">
        <v>0</v>
      </c>
      <c r="EX36" s="212">
        <v>0</v>
      </c>
      <c r="EY36" s="194">
        <v>44</v>
      </c>
      <c r="EZ36" s="210">
        <v>35</v>
      </c>
      <c r="FA36" s="211">
        <v>0</v>
      </c>
      <c r="FB36" s="212">
        <v>0</v>
      </c>
      <c r="FC36" s="194">
        <v>0</v>
      </c>
      <c r="FD36" s="29"/>
      <c r="FE36" s="242"/>
      <c r="FF36" s="46" t="s">
        <v>11</v>
      </c>
      <c r="FG36" s="47" t="s">
        <v>12</v>
      </c>
      <c r="FH36" s="48">
        <v>0</v>
      </c>
      <c r="FI36" s="49">
        <v>0</v>
      </c>
      <c r="FJ36" s="50">
        <v>0</v>
      </c>
      <c r="FK36" s="51">
        <v>0</v>
      </c>
      <c r="FL36" s="48">
        <v>0</v>
      </c>
      <c r="FM36" s="49">
        <v>0</v>
      </c>
      <c r="FN36" s="50">
        <v>0</v>
      </c>
      <c r="FO36" s="51">
        <v>0</v>
      </c>
      <c r="FP36" s="48">
        <v>0</v>
      </c>
      <c r="FQ36" s="49">
        <v>0</v>
      </c>
      <c r="FR36" s="50">
        <v>0</v>
      </c>
      <c r="FS36" s="51">
        <v>0</v>
      </c>
      <c r="FT36" s="29"/>
      <c r="FU36" s="242"/>
      <c r="FV36" s="46" t="s">
        <v>11</v>
      </c>
      <c r="FW36" s="47" t="s">
        <v>12</v>
      </c>
      <c r="FX36" s="48">
        <v>0</v>
      </c>
      <c r="FY36" s="49">
        <v>0</v>
      </c>
      <c r="FZ36" s="50">
        <v>0</v>
      </c>
      <c r="GA36" s="51">
        <v>0</v>
      </c>
      <c r="GB36" s="48">
        <v>0</v>
      </c>
      <c r="GC36" s="49">
        <v>0</v>
      </c>
      <c r="GD36" s="50">
        <v>0</v>
      </c>
      <c r="GE36" s="51">
        <v>0</v>
      </c>
      <c r="GF36" s="48">
        <v>0</v>
      </c>
      <c r="GG36" s="49">
        <v>0</v>
      </c>
      <c r="GH36" s="50">
        <v>0</v>
      </c>
      <c r="GI36" s="51">
        <v>0</v>
      </c>
      <c r="GJ36" s="29"/>
      <c r="GK36" s="242"/>
      <c r="GL36" s="46" t="s">
        <v>11</v>
      </c>
      <c r="GM36" s="47" t="s">
        <v>12</v>
      </c>
      <c r="GN36" s="41">
        <f t="shared" ref="GN36:GN38" si="134">FX36</f>
        <v>0</v>
      </c>
      <c r="GO36" s="41">
        <f t="shared" si="125"/>
        <v>7</v>
      </c>
      <c r="GP36" s="41">
        <f t="shared" si="126"/>
        <v>0</v>
      </c>
      <c r="GQ36" s="41">
        <f t="shared" si="127"/>
        <v>993</v>
      </c>
      <c r="GR36" s="41">
        <f t="shared" ref="GR36:GR38" si="135">GB36</f>
        <v>0</v>
      </c>
      <c r="GS36" s="41">
        <f t="shared" si="128"/>
        <v>6</v>
      </c>
      <c r="GT36" s="41">
        <f t="shared" si="129"/>
        <v>0</v>
      </c>
      <c r="GU36" s="41">
        <f t="shared" si="130"/>
        <v>774</v>
      </c>
      <c r="GV36" s="41">
        <f t="shared" ref="GV36:GV38" si="136">GF36</f>
        <v>0</v>
      </c>
      <c r="GW36" s="41">
        <f t="shared" si="131"/>
        <v>0</v>
      </c>
      <c r="GX36" s="41">
        <f t="shared" si="132"/>
        <v>0</v>
      </c>
      <c r="GY36" s="41">
        <f t="shared" si="133"/>
        <v>15</v>
      </c>
      <c r="GZ36" s="29"/>
      <c r="HA36" s="31"/>
      <c r="HN36" s="31"/>
    </row>
    <row r="37" spans="1:222" ht="15" customHeight="1" thickBot="1" x14ac:dyDescent="0.3">
      <c r="A37" s="242"/>
      <c r="B37" s="38" t="s">
        <v>13</v>
      </c>
      <c r="C37" s="54" t="s">
        <v>10</v>
      </c>
      <c r="D37" s="156">
        <v>11</v>
      </c>
      <c r="E37" s="157">
        <v>0</v>
      </c>
      <c r="F37" s="158">
        <v>0</v>
      </c>
      <c r="G37" s="159">
        <v>0</v>
      </c>
      <c r="H37" s="157">
        <v>0</v>
      </c>
      <c r="I37" s="157">
        <v>0</v>
      </c>
      <c r="J37" s="158">
        <v>0</v>
      </c>
      <c r="K37" s="159">
        <v>0</v>
      </c>
      <c r="L37" s="157">
        <v>0</v>
      </c>
      <c r="M37" s="157">
        <v>0</v>
      </c>
      <c r="N37" s="158">
        <v>0</v>
      </c>
      <c r="O37" s="43">
        <v>0</v>
      </c>
      <c r="P37" s="29"/>
      <c r="Q37" s="242"/>
      <c r="R37" s="38" t="s">
        <v>13</v>
      </c>
      <c r="S37" s="54" t="s">
        <v>10</v>
      </c>
      <c r="T37" s="156">
        <v>0</v>
      </c>
      <c r="U37" s="157">
        <v>0</v>
      </c>
      <c r="V37" s="158">
        <v>0</v>
      </c>
      <c r="W37" s="159">
        <v>0</v>
      </c>
      <c r="X37" s="157">
        <v>0</v>
      </c>
      <c r="Y37" s="157">
        <v>0</v>
      </c>
      <c r="Z37" s="158">
        <v>0</v>
      </c>
      <c r="AA37" s="159">
        <v>0</v>
      </c>
      <c r="AB37" s="157">
        <v>0</v>
      </c>
      <c r="AC37" s="157">
        <v>0</v>
      </c>
      <c r="AD37" s="158">
        <v>0</v>
      </c>
      <c r="AE37" s="159">
        <v>0</v>
      </c>
      <c r="AF37" s="29"/>
      <c r="AG37" s="242"/>
      <c r="AH37" s="38" t="s">
        <v>13</v>
      </c>
      <c r="AI37" s="54" t="s">
        <v>10</v>
      </c>
      <c r="AJ37" s="156">
        <v>0</v>
      </c>
      <c r="AK37" s="157">
        <v>0</v>
      </c>
      <c r="AL37" s="158">
        <v>0</v>
      </c>
      <c r="AM37" s="159">
        <v>0</v>
      </c>
      <c r="AN37" s="157">
        <v>0</v>
      </c>
      <c r="AO37" s="157">
        <v>0</v>
      </c>
      <c r="AP37" s="158">
        <v>0</v>
      </c>
      <c r="AQ37" s="159">
        <v>0</v>
      </c>
      <c r="AR37" s="157">
        <v>0</v>
      </c>
      <c r="AS37" s="157">
        <v>0</v>
      </c>
      <c r="AT37" s="158">
        <v>0</v>
      </c>
      <c r="AU37" s="159">
        <v>0</v>
      </c>
      <c r="AV37" s="29"/>
      <c r="AW37" s="242"/>
      <c r="AX37" s="38" t="s">
        <v>13</v>
      </c>
      <c r="AY37" s="54" t="s">
        <v>10</v>
      </c>
      <c r="AZ37" s="156">
        <v>0</v>
      </c>
      <c r="BA37" s="157">
        <v>0</v>
      </c>
      <c r="BB37" s="158">
        <v>0</v>
      </c>
      <c r="BC37" s="159">
        <v>0</v>
      </c>
      <c r="BD37" s="157">
        <v>0</v>
      </c>
      <c r="BE37" s="157">
        <v>0</v>
      </c>
      <c r="BF37" s="158">
        <v>0</v>
      </c>
      <c r="BG37" s="159">
        <v>0</v>
      </c>
      <c r="BH37" s="157">
        <v>0</v>
      </c>
      <c r="BI37" s="157">
        <v>0</v>
      </c>
      <c r="BJ37" s="158">
        <v>0</v>
      </c>
      <c r="BK37" s="159">
        <v>0</v>
      </c>
      <c r="BL37" s="29"/>
      <c r="BM37" s="242"/>
      <c r="BN37" s="38" t="s">
        <v>13</v>
      </c>
      <c r="BO37" s="54" t="s">
        <v>10</v>
      </c>
      <c r="BP37" s="156">
        <v>11</v>
      </c>
      <c r="BQ37" s="157">
        <v>0</v>
      </c>
      <c r="BR37" s="158">
        <v>0</v>
      </c>
      <c r="BS37" s="159">
        <v>0</v>
      </c>
      <c r="BT37" s="157">
        <v>0</v>
      </c>
      <c r="BU37" s="157">
        <v>0</v>
      </c>
      <c r="BV37" s="158">
        <v>0</v>
      </c>
      <c r="BW37" s="159">
        <v>0</v>
      </c>
      <c r="BX37" s="157">
        <v>0</v>
      </c>
      <c r="BY37" s="157">
        <v>0</v>
      </c>
      <c r="BZ37" s="158">
        <v>0</v>
      </c>
      <c r="CA37" s="159">
        <v>0</v>
      </c>
      <c r="CB37" s="29"/>
      <c r="CC37" s="242"/>
      <c r="CD37" s="38" t="s">
        <v>13</v>
      </c>
      <c r="CE37" s="54" t="s">
        <v>10</v>
      </c>
      <c r="CF37" s="156">
        <v>0</v>
      </c>
      <c r="CG37" s="157">
        <v>0</v>
      </c>
      <c r="CH37" s="158">
        <v>0</v>
      </c>
      <c r="CI37" s="159">
        <v>0</v>
      </c>
      <c r="CJ37" s="157">
        <v>0</v>
      </c>
      <c r="CK37" s="157">
        <v>0</v>
      </c>
      <c r="CL37" s="158">
        <v>0</v>
      </c>
      <c r="CM37" s="159">
        <v>0</v>
      </c>
      <c r="CN37" s="157">
        <v>0</v>
      </c>
      <c r="CO37" s="157">
        <v>0</v>
      </c>
      <c r="CP37" s="158">
        <v>0</v>
      </c>
      <c r="CQ37" s="159">
        <v>0</v>
      </c>
      <c r="CR37" s="29"/>
      <c r="CS37" s="242"/>
      <c r="CT37" s="38" t="s">
        <v>13</v>
      </c>
      <c r="CU37" s="54" t="s">
        <v>10</v>
      </c>
      <c r="CV37" s="156">
        <v>0</v>
      </c>
      <c r="CW37" s="157">
        <v>0</v>
      </c>
      <c r="CX37" s="158">
        <v>0</v>
      </c>
      <c r="CY37" s="159">
        <v>0</v>
      </c>
      <c r="CZ37" s="157">
        <v>0</v>
      </c>
      <c r="DA37" s="157">
        <v>0</v>
      </c>
      <c r="DB37" s="158">
        <v>0</v>
      </c>
      <c r="DC37" s="159">
        <v>0</v>
      </c>
      <c r="DD37" s="157">
        <v>0</v>
      </c>
      <c r="DE37" s="157">
        <v>0</v>
      </c>
      <c r="DF37" s="158">
        <v>0</v>
      </c>
      <c r="DG37" s="159">
        <v>0</v>
      </c>
      <c r="DH37" s="29"/>
      <c r="DI37" s="242"/>
      <c r="DJ37" s="38" t="s">
        <v>13</v>
      </c>
      <c r="DK37" s="54" t="s">
        <v>10</v>
      </c>
      <c r="DL37" s="195">
        <v>0</v>
      </c>
      <c r="DM37" s="196">
        <v>0</v>
      </c>
      <c r="DN37" s="197">
        <v>0</v>
      </c>
      <c r="DO37" s="198">
        <v>0</v>
      </c>
      <c r="DP37" s="196">
        <v>0</v>
      </c>
      <c r="DQ37" s="196">
        <v>0</v>
      </c>
      <c r="DR37" s="197">
        <v>0</v>
      </c>
      <c r="DS37" s="198">
        <v>0</v>
      </c>
      <c r="DT37" s="196">
        <v>0</v>
      </c>
      <c r="DU37" s="196">
        <v>0</v>
      </c>
      <c r="DV37" s="197">
        <v>0</v>
      </c>
      <c r="DW37" s="189">
        <v>0</v>
      </c>
      <c r="DX37" s="29"/>
      <c r="DY37" s="242"/>
      <c r="DZ37" s="38" t="s">
        <v>13</v>
      </c>
      <c r="EA37" s="54" t="s">
        <v>10</v>
      </c>
      <c r="EB37" s="207">
        <v>47</v>
      </c>
      <c r="EC37" s="208">
        <v>0</v>
      </c>
      <c r="ED37" s="209">
        <v>0</v>
      </c>
      <c r="EE37" s="189">
        <v>0</v>
      </c>
      <c r="EF37" s="207">
        <v>35</v>
      </c>
      <c r="EG37" s="208">
        <v>0</v>
      </c>
      <c r="EH37" s="209">
        <v>0</v>
      </c>
      <c r="EI37" s="189">
        <v>0</v>
      </c>
      <c r="EJ37" s="207">
        <v>0</v>
      </c>
      <c r="EK37" s="208">
        <v>0</v>
      </c>
      <c r="EL37" s="209">
        <v>0</v>
      </c>
      <c r="EM37" s="189">
        <v>0</v>
      </c>
      <c r="EN37" s="29"/>
      <c r="EO37" s="242"/>
      <c r="EP37" s="38" t="s">
        <v>13</v>
      </c>
      <c r="EQ37" s="54" t="s">
        <v>10</v>
      </c>
      <c r="ER37" s="207">
        <v>47</v>
      </c>
      <c r="ES37" s="208">
        <v>0</v>
      </c>
      <c r="ET37" s="209">
        <v>0</v>
      </c>
      <c r="EU37" s="189">
        <v>0</v>
      </c>
      <c r="EV37" s="207">
        <v>35</v>
      </c>
      <c r="EW37" s="208">
        <v>0</v>
      </c>
      <c r="EX37" s="209">
        <v>0</v>
      </c>
      <c r="EY37" s="189">
        <v>0</v>
      </c>
      <c r="EZ37" s="207">
        <v>0</v>
      </c>
      <c r="FA37" s="208">
        <v>0</v>
      </c>
      <c r="FB37" s="209">
        <v>0</v>
      </c>
      <c r="FC37" s="189">
        <v>0</v>
      </c>
      <c r="FD37" s="29"/>
      <c r="FE37" s="242"/>
      <c r="FF37" s="38" t="s">
        <v>13</v>
      </c>
      <c r="FG37" s="54" t="s">
        <v>10</v>
      </c>
      <c r="FH37" s="40">
        <v>0</v>
      </c>
      <c r="FI37" s="41">
        <v>0</v>
      </c>
      <c r="FJ37" s="42">
        <v>0</v>
      </c>
      <c r="FK37" s="43">
        <v>0</v>
      </c>
      <c r="FL37" s="40">
        <v>0</v>
      </c>
      <c r="FM37" s="41">
        <v>0</v>
      </c>
      <c r="FN37" s="42">
        <v>0</v>
      </c>
      <c r="FO37" s="43">
        <v>0</v>
      </c>
      <c r="FP37" s="40">
        <v>0</v>
      </c>
      <c r="FQ37" s="41">
        <v>0</v>
      </c>
      <c r="FR37" s="42">
        <v>0</v>
      </c>
      <c r="FS37" s="43">
        <v>0</v>
      </c>
      <c r="FT37" s="29"/>
      <c r="FU37" s="242"/>
      <c r="FV37" s="38" t="s">
        <v>13</v>
      </c>
      <c r="FW37" s="54" t="s">
        <v>10</v>
      </c>
      <c r="FX37" s="40">
        <v>0</v>
      </c>
      <c r="FY37" s="41">
        <v>0</v>
      </c>
      <c r="FZ37" s="42">
        <v>0</v>
      </c>
      <c r="GA37" s="43">
        <v>0</v>
      </c>
      <c r="GB37" s="40">
        <v>0</v>
      </c>
      <c r="GC37" s="41">
        <v>0</v>
      </c>
      <c r="GD37" s="42">
        <v>0</v>
      </c>
      <c r="GE37" s="43">
        <v>0</v>
      </c>
      <c r="GF37" s="40">
        <v>0</v>
      </c>
      <c r="GG37" s="41">
        <v>0</v>
      </c>
      <c r="GH37" s="42">
        <v>0</v>
      </c>
      <c r="GI37" s="43">
        <v>0</v>
      </c>
      <c r="GJ37" s="29"/>
      <c r="GK37" s="242"/>
      <c r="GL37" s="38" t="s">
        <v>13</v>
      </c>
      <c r="GM37" s="54" t="s">
        <v>10</v>
      </c>
      <c r="GN37" s="41">
        <f t="shared" si="134"/>
        <v>0</v>
      </c>
      <c r="GO37" s="41">
        <f t="shared" si="125"/>
        <v>0</v>
      </c>
      <c r="GP37" s="41">
        <f t="shared" si="126"/>
        <v>0</v>
      </c>
      <c r="GQ37" s="41">
        <f t="shared" si="127"/>
        <v>0</v>
      </c>
      <c r="GR37" s="41">
        <f t="shared" si="135"/>
        <v>0</v>
      </c>
      <c r="GS37" s="41">
        <f t="shared" si="128"/>
        <v>0</v>
      </c>
      <c r="GT37" s="41">
        <f t="shared" si="129"/>
        <v>0</v>
      </c>
      <c r="GU37" s="41">
        <f t="shared" si="130"/>
        <v>0</v>
      </c>
      <c r="GV37" s="41">
        <f t="shared" si="136"/>
        <v>0</v>
      </c>
      <c r="GW37" s="41">
        <f t="shared" si="131"/>
        <v>0</v>
      </c>
      <c r="GX37" s="41">
        <f t="shared" si="132"/>
        <v>0</v>
      </c>
      <c r="GY37" s="41">
        <f t="shared" si="133"/>
        <v>0</v>
      </c>
      <c r="GZ37" s="29"/>
      <c r="HA37" s="31"/>
      <c r="HN37" s="31"/>
    </row>
    <row r="38" spans="1:222" ht="15" customHeight="1" thickBot="1" x14ac:dyDescent="0.3">
      <c r="A38" s="242"/>
      <c r="B38" s="46" t="s">
        <v>11</v>
      </c>
      <c r="C38" s="56" t="s">
        <v>12</v>
      </c>
      <c r="D38" s="152">
        <v>12</v>
      </c>
      <c r="E38" s="153">
        <v>0</v>
      </c>
      <c r="F38" s="154">
        <v>0</v>
      </c>
      <c r="G38" s="155">
        <v>0</v>
      </c>
      <c r="H38" s="153">
        <v>0</v>
      </c>
      <c r="I38" s="153">
        <v>0</v>
      </c>
      <c r="J38" s="154">
        <v>0</v>
      </c>
      <c r="K38" s="155">
        <v>0</v>
      </c>
      <c r="L38" s="153">
        <v>0</v>
      </c>
      <c r="M38" s="153">
        <v>0</v>
      </c>
      <c r="N38" s="154">
        <v>0</v>
      </c>
      <c r="O38" s="51">
        <v>0</v>
      </c>
      <c r="P38" s="29"/>
      <c r="Q38" s="242"/>
      <c r="R38" s="46" t="s">
        <v>11</v>
      </c>
      <c r="S38" s="56" t="s">
        <v>12</v>
      </c>
      <c r="T38" s="152">
        <v>0</v>
      </c>
      <c r="U38" s="153">
        <v>0</v>
      </c>
      <c r="V38" s="154">
        <v>0</v>
      </c>
      <c r="W38" s="155">
        <v>0</v>
      </c>
      <c r="X38" s="153">
        <v>0</v>
      </c>
      <c r="Y38" s="153">
        <v>0</v>
      </c>
      <c r="Z38" s="154">
        <v>0</v>
      </c>
      <c r="AA38" s="155">
        <v>0</v>
      </c>
      <c r="AB38" s="153">
        <v>0</v>
      </c>
      <c r="AC38" s="153">
        <v>0</v>
      </c>
      <c r="AD38" s="154">
        <v>0</v>
      </c>
      <c r="AE38" s="155">
        <v>0</v>
      </c>
      <c r="AF38" s="29"/>
      <c r="AG38" s="242"/>
      <c r="AH38" s="46" t="s">
        <v>11</v>
      </c>
      <c r="AI38" s="56" t="s">
        <v>12</v>
      </c>
      <c r="AJ38" s="152">
        <v>0</v>
      </c>
      <c r="AK38" s="153">
        <v>0</v>
      </c>
      <c r="AL38" s="154">
        <v>0</v>
      </c>
      <c r="AM38" s="155">
        <v>0</v>
      </c>
      <c r="AN38" s="153">
        <v>0</v>
      </c>
      <c r="AO38" s="153">
        <v>0</v>
      </c>
      <c r="AP38" s="154">
        <v>0</v>
      </c>
      <c r="AQ38" s="155">
        <v>0</v>
      </c>
      <c r="AR38" s="153">
        <v>0</v>
      </c>
      <c r="AS38" s="153">
        <v>0</v>
      </c>
      <c r="AT38" s="154">
        <v>0</v>
      </c>
      <c r="AU38" s="155">
        <v>0</v>
      </c>
      <c r="AV38" s="29"/>
      <c r="AW38" s="242"/>
      <c r="AX38" s="46" t="s">
        <v>11</v>
      </c>
      <c r="AY38" s="56" t="s">
        <v>12</v>
      </c>
      <c r="AZ38" s="152">
        <v>0</v>
      </c>
      <c r="BA38" s="153">
        <v>0</v>
      </c>
      <c r="BB38" s="154">
        <v>0</v>
      </c>
      <c r="BC38" s="155">
        <v>0</v>
      </c>
      <c r="BD38" s="153">
        <v>0</v>
      </c>
      <c r="BE38" s="153">
        <v>0</v>
      </c>
      <c r="BF38" s="154">
        <v>0</v>
      </c>
      <c r="BG38" s="155">
        <v>0</v>
      </c>
      <c r="BH38" s="153">
        <v>0</v>
      </c>
      <c r="BI38" s="153">
        <v>0</v>
      </c>
      <c r="BJ38" s="154">
        <v>0</v>
      </c>
      <c r="BK38" s="155">
        <v>0</v>
      </c>
      <c r="BL38" s="29"/>
      <c r="BM38" s="242"/>
      <c r="BN38" s="46" t="s">
        <v>11</v>
      </c>
      <c r="BO38" s="56" t="s">
        <v>12</v>
      </c>
      <c r="BP38" s="152">
        <v>12</v>
      </c>
      <c r="BQ38" s="153">
        <v>0</v>
      </c>
      <c r="BR38" s="154">
        <v>0</v>
      </c>
      <c r="BS38" s="155">
        <v>0</v>
      </c>
      <c r="BT38" s="153">
        <v>0</v>
      </c>
      <c r="BU38" s="153">
        <v>0</v>
      </c>
      <c r="BV38" s="154">
        <v>0</v>
      </c>
      <c r="BW38" s="155">
        <v>0</v>
      </c>
      <c r="BX38" s="153">
        <v>0</v>
      </c>
      <c r="BY38" s="153">
        <v>0</v>
      </c>
      <c r="BZ38" s="154">
        <v>0</v>
      </c>
      <c r="CA38" s="155">
        <v>0</v>
      </c>
      <c r="CB38" s="29"/>
      <c r="CC38" s="242"/>
      <c r="CD38" s="46" t="s">
        <v>11</v>
      </c>
      <c r="CE38" s="56" t="s">
        <v>12</v>
      </c>
      <c r="CF38" s="152">
        <v>0</v>
      </c>
      <c r="CG38" s="153">
        <v>0</v>
      </c>
      <c r="CH38" s="154">
        <v>0</v>
      </c>
      <c r="CI38" s="155">
        <v>0</v>
      </c>
      <c r="CJ38" s="153">
        <v>0</v>
      </c>
      <c r="CK38" s="153">
        <v>0</v>
      </c>
      <c r="CL38" s="154">
        <v>0</v>
      </c>
      <c r="CM38" s="155">
        <v>0</v>
      </c>
      <c r="CN38" s="153">
        <v>0</v>
      </c>
      <c r="CO38" s="153">
        <v>0</v>
      </c>
      <c r="CP38" s="154">
        <v>0</v>
      </c>
      <c r="CQ38" s="155">
        <v>0</v>
      </c>
      <c r="CR38" s="29"/>
      <c r="CS38" s="242"/>
      <c r="CT38" s="46" t="s">
        <v>11</v>
      </c>
      <c r="CU38" s="56" t="s">
        <v>12</v>
      </c>
      <c r="CV38" s="152">
        <v>0</v>
      </c>
      <c r="CW38" s="153">
        <v>0</v>
      </c>
      <c r="CX38" s="154">
        <v>0</v>
      </c>
      <c r="CY38" s="155">
        <v>0</v>
      </c>
      <c r="CZ38" s="153">
        <v>0</v>
      </c>
      <c r="DA38" s="153">
        <v>0</v>
      </c>
      <c r="DB38" s="154">
        <v>0</v>
      </c>
      <c r="DC38" s="155">
        <v>0</v>
      </c>
      <c r="DD38" s="153">
        <v>0</v>
      </c>
      <c r="DE38" s="153">
        <v>0</v>
      </c>
      <c r="DF38" s="154">
        <v>0</v>
      </c>
      <c r="DG38" s="155">
        <v>0</v>
      </c>
      <c r="DH38" s="29"/>
      <c r="DI38" s="242"/>
      <c r="DJ38" s="46" t="s">
        <v>11</v>
      </c>
      <c r="DK38" s="56" t="s">
        <v>12</v>
      </c>
      <c r="DL38" s="190">
        <v>0</v>
      </c>
      <c r="DM38" s="191">
        <v>0</v>
      </c>
      <c r="DN38" s="192">
        <v>0</v>
      </c>
      <c r="DO38" s="193">
        <v>0</v>
      </c>
      <c r="DP38" s="191">
        <v>0</v>
      </c>
      <c r="DQ38" s="191">
        <v>0</v>
      </c>
      <c r="DR38" s="192">
        <v>0</v>
      </c>
      <c r="DS38" s="193">
        <v>0</v>
      </c>
      <c r="DT38" s="191">
        <v>0</v>
      </c>
      <c r="DU38" s="191">
        <v>0</v>
      </c>
      <c r="DV38" s="192">
        <v>0</v>
      </c>
      <c r="DW38" s="194">
        <v>0</v>
      </c>
      <c r="DX38" s="29"/>
      <c r="DY38" s="242"/>
      <c r="DZ38" s="46" t="s">
        <v>11</v>
      </c>
      <c r="EA38" s="56" t="s">
        <v>12</v>
      </c>
      <c r="EB38" s="210">
        <v>24</v>
      </c>
      <c r="EC38" s="211">
        <v>0</v>
      </c>
      <c r="ED38" s="212">
        <v>0</v>
      </c>
      <c r="EE38" s="194">
        <v>0</v>
      </c>
      <c r="EF38" s="210">
        <v>17</v>
      </c>
      <c r="EG38" s="211">
        <v>0</v>
      </c>
      <c r="EH38" s="212">
        <v>0</v>
      </c>
      <c r="EI38" s="194">
        <v>0</v>
      </c>
      <c r="EJ38" s="210">
        <v>0</v>
      </c>
      <c r="EK38" s="211">
        <v>0</v>
      </c>
      <c r="EL38" s="212">
        <v>0</v>
      </c>
      <c r="EM38" s="194">
        <v>0</v>
      </c>
      <c r="EN38" s="29"/>
      <c r="EO38" s="242"/>
      <c r="EP38" s="46" t="s">
        <v>11</v>
      </c>
      <c r="EQ38" s="56" t="s">
        <v>12</v>
      </c>
      <c r="ER38" s="210">
        <v>24</v>
      </c>
      <c r="ES38" s="211">
        <v>0</v>
      </c>
      <c r="ET38" s="212">
        <v>0</v>
      </c>
      <c r="EU38" s="194">
        <v>0</v>
      </c>
      <c r="EV38" s="210">
        <v>17</v>
      </c>
      <c r="EW38" s="211">
        <v>0</v>
      </c>
      <c r="EX38" s="212">
        <v>0</v>
      </c>
      <c r="EY38" s="194">
        <v>0</v>
      </c>
      <c r="EZ38" s="210">
        <v>0</v>
      </c>
      <c r="FA38" s="211">
        <v>0</v>
      </c>
      <c r="FB38" s="212">
        <v>0</v>
      </c>
      <c r="FC38" s="194">
        <v>0</v>
      </c>
      <c r="FD38" s="29"/>
      <c r="FE38" s="242"/>
      <c r="FF38" s="46" t="s">
        <v>11</v>
      </c>
      <c r="FG38" s="56" t="s">
        <v>12</v>
      </c>
      <c r="FH38" s="48">
        <v>0</v>
      </c>
      <c r="FI38" s="49">
        <v>0</v>
      </c>
      <c r="FJ38" s="50">
        <v>0</v>
      </c>
      <c r="FK38" s="51">
        <v>0</v>
      </c>
      <c r="FL38" s="48">
        <v>0</v>
      </c>
      <c r="FM38" s="49">
        <v>0</v>
      </c>
      <c r="FN38" s="50">
        <v>0</v>
      </c>
      <c r="FO38" s="51">
        <v>0</v>
      </c>
      <c r="FP38" s="48">
        <v>0</v>
      </c>
      <c r="FQ38" s="49">
        <v>0</v>
      </c>
      <c r="FR38" s="50">
        <v>0</v>
      </c>
      <c r="FS38" s="51">
        <v>0</v>
      </c>
      <c r="FT38" s="29"/>
      <c r="FU38" s="242"/>
      <c r="FV38" s="46" t="s">
        <v>11</v>
      </c>
      <c r="FW38" s="56" t="s">
        <v>12</v>
      </c>
      <c r="FX38" s="48">
        <v>0</v>
      </c>
      <c r="FY38" s="49">
        <v>0</v>
      </c>
      <c r="FZ38" s="50">
        <v>0</v>
      </c>
      <c r="GA38" s="51">
        <v>0</v>
      </c>
      <c r="GB38" s="48">
        <v>0</v>
      </c>
      <c r="GC38" s="49">
        <v>0</v>
      </c>
      <c r="GD38" s="50">
        <v>0</v>
      </c>
      <c r="GE38" s="51">
        <v>0</v>
      </c>
      <c r="GF38" s="48">
        <v>0</v>
      </c>
      <c r="GG38" s="49">
        <v>0</v>
      </c>
      <c r="GH38" s="50">
        <v>0</v>
      </c>
      <c r="GI38" s="51">
        <v>0</v>
      </c>
      <c r="GJ38" s="29"/>
      <c r="GK38" s="242"/>
      <c r="GL38" s="46" t="s">
        <v>11</v>
      </c>
      <c r="GM38" s="56" t="s">
        <v>12</v>
      </c>
      <c r="GN38" s="41">
        <f t="shared" si="134"/>
        <v>0</v>
      </c>
      <c r="GO38" s="41">
        <f t="shared" si="125"/>
        <v>0</v>
      </c>
      <c r="GP38" s="41">
        <f t="shared" si="126"/>
        <v>0</v>
      </c>
      <c r="GQ38" s="41">
        <f t="shared" si="127"/>
        <v>0</v>
      </c>
      <c r="GR38" s="41">
        <f t="shared" si="135"/>
        <v>0</v>
      </c>
      <c r="GS38" s="41">
        <f t="shared" si="128"/>
        <v>0</v>
      </c>
      <c r="GT38" s="41">
        <f t="shared" si="129"/>
        <v>0</v>
      </c>
      <c r="GU38" s="41">
        <f t="shared" si="130"/>
        <v>0</v>
      </c>
      <c r="GV38" s="41">
        <f t="shared" si="136"/>
        <v>0</v>
      </c>
      <c r="GW38" s="41">
        <f t="shared" si="131"/>
        <v>0</v>
      </c>
      <c r="GX38" s="41">
        <f t="shared" si="132"/>
        <v>0</v>
      </c>
      <c r="GY38" s="41">
        <f t="shared" si="133"/>
        <v>0</v>
      </c>
      <c r="GZ38" s="29"/>
      <c r="HA38" s="31"/>
      <c r="HN38" s="31"/>
    </row>
    <row r="39" spans="1:222" ht="15" customHeight="1" thickBot="1" x14ac:dyDescent="0.3">
      <c r="A39" s="242"/>
      <c r="B39" s="233" t="s">
        <v>14</v>
      </c>
      <c r="C39" s="234"/>
      <c r="D39" s="58">
        <f t="shared" ref="D39:O39" si="137">SUM(D35:D38)</f>
        <v>901</v>
      </c>
      <c r="E39" s="59">
        <f t="shared" si="137"/>
        <v>3</v>
      </c>
      <c r="F39" s="60">
        <f t="shared" si="137"/>
        <v>0</v>
      </c>
      <c r="G39" s="61">
        <f t="shared" si="137"/>
        <v>274</v>
      </c>
      <c r="H39" s="58">
        <f t="shared" si="137"/>
        <v>799</v>
      </c>
      <c r="I39" s="59">
        <f t="shared" si="137"/>
        <v>2</v>
      </c>
      <c r="J39" s="60">
        <f t="shared" si="137"/>
        <v>0</v>
      </c>
      <c r="K39" s="61">
        <f t="shared" si="137"/>
        <v>185</v>
      </c>
      <c r="L39" s="58">
        <f t="shared" si="137"/>
        <v>40</v>
      </c>
      <c r="M39" s="59">
        <f t="shared" si="137"/>
        <v>0</v>
      </c>
      <c r="N39" s="60">
        <f t="shared" si="137"/>
        <v>0</v>
      </c>
      <c r="O39" s="61">
        <f t="shared" si="137"/>
        <v>0</v>
      </c>
      <c r="P39" s="29"/>
      <c r="Q39" s="242"/>
      <c r="R39" s="233" t="s">
        <v>14</v>
      </c>
      <c r="S39" s="234"/>
      <c r="T39" s="58">
        <f t="shared" ref="T39:AE39" si="138">SUM(T35:T38)</f>
        <v>881</v>
      </c>
      <c r="U39" s="59">
        <f t="shared" si="138"/>
        <v>2</v>
      </c>
      <c r="V39" s="60">
        <f t="shared" si="138"/>
        <v>0</v>
      </c>
      <c r="W39" s="61">
        <f t="shared" si="138"/>
        <v>300</v>
      </c>
      <c r="X39" s="58">
        <f t="shared" si="138"/>
        <v>802</v>
      </c>
      <c r="Y39" s="59">
        <f t="shared" si="138"/>
        <v>3</v>
      </c>
      <c r="Z39" s="60">
        <f t="shared" si="138"/>
        <v>0</v>
      </c>
      <c r="AA39" s="61">
        <f t="shared" si="138"/>
        <v>192</v>
      </c>
      <c r="AB39" s="58">
        <f t="shared" si="138"/>
        <v>40</v>
      </c>
      <c r="AC39" s="59">
        <f t="shared" si="138"/>
        <v>0</v>
      </c>
      <c r="AD39" s="60">
        <f t="shared" si="138"/>
        <v>0</v>
      </c>
      <c r="AE39" s="61">
        <f t="shared" si="138"/>
        <v>9</v>
      </c>
      <c r="AF39" s="29"/>
      <c r="AG39" s="242"/>
      <c r="AH39" s="233" t="s">
        <v>14</v>
      </c>
      <c r="AI39" s="234"/>
      <c r="AJ39" s="169">
        <v>892</v>
      </c>
      <c r="AK39" s="170">
        <v>0</v>
      </c>
      <c r="AL39" s="171">
        <v>0</v>
      </c>
      <c r="AM39" s="172">
        <v>253</v>
      </c>
      <c r="AN39" s="170">
        <v>812</v>
      </c>
      <c r="AO39" s="170">
        <v>0</v>
      </c>
      <c r="AP39" s="171">
        <v>0</v>
      </c>
      <c r="AQ39" s="172">
        <v>208</v>
      </c>
      <c r="AR39" s="170">
        <v>40</v>
      </c>
      <c r="AS39" s="170">
        <v>0</v>
      </c>
      <c r="AT39" s="171">
        <v>0</v>
      </c>
      <c r="AU39" s="172">
        <v>3</v>
      </c>
      <c r="AV39" s="29"/>
      <c r="AW39" s="242"/>
      <c r="AX39" s="233" t="s">
        <v>14</v>
      </c>
      <c r="AY39" s="234"/>
      <c r="AZ39" s="58">
        <f t="shared" ref="AZ39:BK39" si="139">SUM(AZ35:AZ38)</f>
        <v>891</v>
      </c>
      <c r="BA39" s="59">
        <f t="shared" si="139"/>
        <v>1</v>
      </c>
      <c r="BB39" s="60">
        <f t="shared" si="139"/>
        <v>0</v>
      </c>
      <c r="BC39" s="61">
        <f t="shared" si="139"/>
        <v>260</v>
      </c>
      <c r="BD39" s="58">
        <f t="shared" si="139"/>
        <v>812</v>
      </c>
      <c r="BE39" s="59">
        <f t="shared" si="139"/>
        <v>0</v>
      </c>
      <c r="BF39" s="60">
        <f t="shared" si="139"/>
        <v>0</v>
      </c>
      <c r="BG39" s="61">
        <f t="shared" si="139"/>
        <v>183</v>
      </c>
      <c r="BH39" s="58">
        <f t="shared" si="139"/>
        <v>40</v>
      </c>
      <c r="BI39" s="59">
        <f t="shared" si="139"/>
        <v>0</v>
      </c>
      <c r="BJ39" s="60">
        <f t="shared" si="139"/>
        <v>0</v>
      </c>
      <c r="BK39" s="61">
        <f t="shared" si="139"/>
        <v>4</v>
      </c>
      <c r="BL39" s="29"/>
      <c r="BM39" s="242"/>
      <c r="BN39" s="233" t="s">
        <v>14</v>
      </c>
      <c r="BO39" s="234"/>
      <c r="BP39" s="58">
        <f t="shared" ref="BP39:CA39" si="140">SUM(BP35:BP38)</f>
        <v>893</v>
      </c>
      <c r="BQ39" s="59">
        <f t="shared" si="140"/>
        <v>0</v>
      </c>
      <c r="BR39" s="60">
        <f t="shared" si="140"/>
        <v>0</v>
      </c>
      <c r="BS39" s="61">
        <f t="shared" si="140"/>
        <v>61</v>
      </c>
      <c r="BT39" s="58">
        <f t="shared" si="140"/>
        <v>794</v>
      </c>
      <c r="BU39" s="59">
        <f t="shared" si="140"/>
        <v>0</v>
      </c>
      <c r="BV39" s="60">
        <f t="shared" si="140"/>
        <v>0</v>
      </c>
      <c r="BW39" s="61">
        <f t="shared" si="140"/>
        <v>46</v>
      </c>
      <c r="BX39" s="58">
        <f t="shared" si="140"/>
        <v>40</v>
      </c>
      <c r="BY39" s="59">
        <f t="shared" si="140"/>
        <v>0</v>
      </c>
      <c r="BZ39" s="60">
        <f t="shared" si="140"/>
        <v>0</v>
      </c>
      <c r="CA39" s="61">
        <f t="shared" si="140"/>
        <v>2</v>
      </c>
      <c r="CB39" s="29"/>
      <c r="CC39" s="242"/>
      <c r="CD39" s="233" t="s">
        <v>14</v>
      </c>
      <c r="CE39" s="234"/>
      <c r="CF39" s="169">
        <v>892</v>
      </c>
      <c r="CG39" s="170">
        <v>2</v>
      </c>
      <c r="CH39" s="171">
        <v>0</v>
      </c>
      <c r="CI39" s="172">
        <v>189</v>
      </c>
      <c r="CJ39" s="170">
        <v>812</v>
      </c>
      <c r="CK39" s="170">
        <v>2</v>
      </c>
      <c r="CL39" s="171">
        <v>0</v>
      </c>
      <c r="CM39" s="172">
        <v>171</v>
      </c>
      <c r="CN39" s="170">
        <v>40</v>
      </c>
      <c r="CO39" s="170">
        <v>0</v>
      </c>
      <c r="CP39" s="171">
        <v>0</v>
      </c>
      <c r="CQ39" s="172">
        <v>2</v>
      </c>
      <c r="CR39" s="29"/>
      <c r="CS39" s="242"/>
      <c r="CT39" s="233" t="s">
        <v>14</v>
      </c>
      <c r="CU39" s="234"/>
      <c r="CV39" s="169">
        <v>878</v>
      </c>
      <c r="CW39" s="170">
        <v>3</v>
      </c>
      <c r="CX39" s="171">
        <v>0</v>
      </c>
      <c r="CY39" s="172">
        <v>291</v>
      </c>
      <c r="CZ39" s="170">
        <v>799</v>
      </c>
      <c r="DA39" s="170">
        <v>3</v>
      </c>
      <c r="DB39" s="171">
        <v>0</v>
      </c>
      <c r="DC39" s="172">
        <v>190</v>
      </c>
      <c r="DD39" s="170">
        <v>40</v>
      </c>
      <c r="DE39" s="170">
        <v>0</v>
      </c>
      <c r="DF39" s="171">
        <v>0</v>
      </c>
      <c r="DG39" s="172">
        <v>13</v>
      </c>
      <c r="DH39" s="29"/>
      <c r="DI39" s="242"/>
      <c r="DJ39" s="233" t="s">
        <v>14</v>
      </c>
      <c r="DK39" s="234"/>
      <c r="DL39" s="199">
        <f t="shared" ref="DL39:DW39" si="141">SUM(DL35:DL38)</f>
        <v>892</v>
      </c>
      <c r="DM39" s="200">
        <f t="shared" si="141"/>
        <v>2</v>
      </c>
      <c r="DN39" s="201">
        <f t="shared" si="141"/>
        <v>0</v>
      </c>
      <c r="DO39" s="202">
        <f t="shared" si="141"/>
        <v>189</v>
      </c>
      <c r="DP39" s="199">
        <f t="shared" si="141"/>
        <v>812</v>
      </c>
      <c r="DQ39" s="200">
        <f t="shared" si="141"/>
        <v>2</v>
      </c>
      <c r="DR39" s="201">
        <f t="shared" si="141"/>
        <v>0</v>
      </c>
      <c r="DS39" s="202">
        <f t="shared" si="141"/>
        <v>171</v>
      </c>
      <c r="DT39" s="199">
        <f t="shared" si="141"/>
        <v>40</v>
      </c>
      <c r="DU39" s="200">
        <f t="shared" si="141"/>
        <v>0</v>
      </c>
      <c r="DV39" s="201">
        <f t="shared" si="141"/>
        <v>0</v>
      </c>
      <c r="DW39" s="202">
        <f t="shared" si="141"/>
        <v>0</v>
      </c>
      <c r="DX39" s="29"/>
      <c r="DY39" s="242"/>
      <c r="DZ39" s="233" t="s">
        <v>14</v>
      </c>
      <c r="EA39" s="234"/>
      <c r="EB39" s="199">
        <v>1262</v>
      </c>
      <c r="EC39" s="200">
        <v>0</v>
      </c>
      <c r="ED39" s="201">
        <v>0</v>
      </c>
      <c r="EE39" s="202">
        <v>238</v>
      </c>
      <c r="EF39" s="199">
        <v>810</v>
      </c>
      <c r="EG39" s="200">
        <v>0</v>
      </c>
      <c r="EH39" s="201">
        <v>0</v>
      </c>
      <c r="EI39" s="202">
        <v>140</v>
      </c>
      <c r="EJ39" s="199">
        <v>40</v>
      </c>
      <c r="EK39" s="200">
        <v>0</v>
      </c>
      <c r="EL39" s="201">
        <v>0</v>
      </c>
      <c r="EM39" s="202">
        <v>0</v>
      </c>
      <c r="EN39" s="29"/>
      <c r="EO39" s="242"/>
      <c r="EP39" s="233" t="s">
        <v>14</v>
      </c>
      <c r="EQ39" s="234"/>
      <c r="ER39" s="199">
        <v>1262</v>
      </c>
      <c r="ES39" s="200">
        <v>0</v>
      </c>
      <c r="ET39" s="201">
        <v>0</v>
      </c>
      <c r="EU39" s="202">
        <v>238</v>
      </c>
      <c r="EV39" s="199">
        <v>810</v>
      </c>
      <c r="EW39" s="200">
        <v>0</v>
      </c>
      <c r="EX39" s="201">
        <v>0</v>
      </c>
      <c r="EY39" s="202">
        <v>140</v>
      </c>
      <c r="EZ39" s="199">
        <v>40</v>
      </c>
      <c r="FA39" s="200">
        <v>0</v>
      </c>
      <c r="FB39" s="201">
        <v>0</v>
      </c>
      <c r="FC39" s="202">
        <v>0</v>
      </c>
      <c r="FD39" s="29"/>
      <c r="FE39" s="242"/>
      <c r="FF39" s="233" t="s">
        <v>14</v>
      </c>
      <c r="FG39" s="234"/>
      <c r="FH39" s="58">
        <f t="shared" ref="FH39:FS39" si="142">SUM(FH35:FH38)</f>
        <v>0</v>
      </c>
      <c r="FI39" s="59">
        <f t="shared" si="142"/>
        <v>0</v>
      </c>
      <c r="FJ39" s="60">
        <f t="shared" si="142"/>
        <v>0</v>
      </c>
      <c r="FK39" s="61">
        <f t="shared" si="142"/>
        <v>0</v>
      </c>
      <c r="FL39" s="58">
        <f t="shared" si="142"/>
        <v>0</v>
      </c>
      <c r="FM39" s="59">
        <f t="shared" si="142"/>
        <v>0</v>
      </c>
      <c r="FN39" s="60">
        <f t="shared" si="142"/>
        <v>0</v>
      </c>
      <c r="FO39" s="61">
        <f t="shared" si="142"/>
        <v>0</v>
      </c>
      <c r="FP39" s="58">
        <f t="shared" si="142"/>
        <v>0</v>
      </c>
      <c r="FQ39" s="59">
        <f t="shared" si="142"/>
        <v>0</v>
      </c>
      <c r="FR39" s="60">
        <f t="shared" si="142"/>
        <v>0</v>
      </c>
      <c r="FS39" s="61">
        <f t="shared" si="142"/>
        <v>0</v>
      </c>
      <c r="FT39" s="29"/>
      <c r="FU39" s="242"/>
      <c r="FV39" s="233" t="s">
        <v>14</v>
      </c>
      <c r="FW39" s="234"/>
      <c r="FX39" s="58">
        <f t="shared" ref="FX39:GI39" si="143">SUM(FX35:FX38)</f>
        <v>0</v>
      </c>
      <c r="FY39" s="59">
        <f t="shared" si="143"/>
        <v>0</v>
      </c>
      <c r="FZ39" s="60">
        <f t="shared" si="143"/>
        <v>0</v>
      </c>
      <c r="GA39" s="61">
        <f t="shared" si="143"/>
        <v>0</v>
      </c>
      <c r="GB39" s="58">
        <f t="shared" si="143"/>
        <v>0</v>
      </c>
      <c r="GC39" s="59">
        <f t="shared" si="143"/>
        <v>0</v>
      </c>
      <c r="GD39" s="60">
        <f t="shared" si="143"/>
        <v>0</v>
      </c>
      <c r="GE39" s="61">
        <f t="shared" si="143"/>
        <v>0</v>
      </c>
      <c r="GF39" s="58">
        <f t="shared" si="143"/>
        <v>0</v>
      </c>
      <c r="GG39" s="59">
        <f t="shared" si="143"/>
        <v>0</v>
      </c>
      <c r="GH39" s="60">
        <f t="shared" si="143"/>
        <v>0</v>
      </c>
      <c r="GI39" s="61">
        <f t="shared" si="143"/>
        <v>0</v>
      </c>
      <c r="GJ39" s="29"/>
      <c r="GK39" s="242"/>
      <c r="GL39" s="233" t="s">
        <v>14</v>
      </c>
      <c r="GM39" s="234"/>
      <c r="GN39" s="62">
        <f t="shared" ref="GN39:GY39" si="144">SUM(GN35:GN38)</f>
        <v>0</v>
      </c>
      <c r="GO39" s="63">
        <f t="shared" si="144"/>
        <v>13</v>
      </c>
      <c r="GP39" s="64">
        <f t="shared" si="144"/>
        <v>0</v>
      </c>
      <c r="GQ39" s="64">
        <f t="shared" si="144"/>
        <v>2165</v>
      </c>
      <c r="GR39" s="62">
        <f t="shared" si="144"/>
        <v>0</v>
      </c>
      <c r="GS39" s="63">
        <f t="shared" si="144"/>
        <v>12</v>
      </c>
      <c r="GT39" s="64">
        <f t="shared" si="144"/>
        <v>0</v>
      </c>
      <c r="GU39" s="64">
        <f t="shared" si="144"/>
        <v>1580</v>
      </c>
      <c r="GV39" s="62">
        <f t="shared" si="144"/>
        <v>0</v>
      </c>
      <c r="GW39" s="63">
        <f t="shared" si="144"/>
        <v>0</v>
      </c>
      <c r="GX39" s="64">
        <f t="shared" si="144"/>
        <v>0</v>
      </c>
      <c r="GY39" s="64">
        <f t="shared" si="144"/>
        <v>33</v>
      </c>
      <c r="GZ39" s="29"/>
      <c r="HA39" s="31"/>
      <c r="HN39" s="31"/>
    </row>
    <row r="40" spans="1:222" ht="15" customHeight="1" thickTop="1" thickBot="1" x14ac:dyDescent="0.3">
      <c r="A40" s="243"/>
      <c r="B40" s="65" t="s">
        <v>15</v>
      </c>
      <c r="C40" s="65"/>
      <c r="D40" s="66"/>
      <c r="E40" s="66" t="s">
        <v>2</v>
      </c>
      <c r="F40" s="66"/>
      <c r="G40" s="66">
        <v>0</v>
      </c>
      <c r="H40" s="66"/>
      <c r="I40" s="66" t="s">
        <v>16</v>
      </c>
      <c r="J40" s="66"/>
      <c r="K40" s="66">
        <v>0</v>
      </c>
      <c r="L40" s="66"/>
      <c r="M40" s="66" t="s">
        <v>17</v>
      </c>
      <c r="N40" s="232">
        <v>0</v>
      </c>
      <c r="O40" s="232"/>
      <c r="P40" s="29"/>
      <c r="Q40" s="243"/>
      <c r="R40" s="65" t="s">
        <v>15</v>
      </c>
      <c r="S40" s="65"/>
      <c r="T40" s="66"/>
      <c r="U40" s="66" t="s">
        <v>2</v>
      </c>
      <c r="V40" s="66"/>
      <c r="W40" s="66">
        <v>0</v>
      </c>
      <c r="X40" s="66"/>
      <c r="Y40" s="66" t="s">
        <v>16</v>
      </c>
      <c r="Z40" s="66"/>
      <c r="AA40" s="66">
        <v>0</v>
      </c>
      <c r="AB40" s="66"/>
      <c r="AC40" s="66" t="s">
        <v>17</v>
      </c>
      <c r="AD40" s="232">
        <v>0</v>
      </c>
      <c r="AE40" s="232"/>
      <c r="AF40" s="29"/>
      <c r="AG40" s="243"/>
      <c r="AH40" s="65" t="s">
        <v>15</v>
      </c>
      <c r="AI40" s="65"/>
      <c r="AJ40" s="173"/>
      <c r="AK40" s="174" t="s">
        <v>2</v>
      </c>
      <c r="AL40" s="173"/>
      <c r="AM40" s="175">
        <v>0</v>
      </c>
      <c r="AN40" s="173"/>
      <c r="AO40" s="174" t="s">
        <v>16</v>
      </c>
      <c r="AP40" s="173"/>
      <c r="AQ40" s="175">
        <v>0</v>
      </c>
      <c r="AR40" s="173"/>
      <c r="AS40" s="175" t="s">
        <v>17</v>
      </c>
      <c r="AT40" s="249">
        <v>0</v>
      </c>
      <c r="AU40" s="250"/>
      <c r="AV40" s="29"/>
      <c r="AW40" s="243"/>
      <c r="AX40" s="65" t="s">
        <v>15</v>
      </c>
      <c r="AY40" s="65"/>
      <c r="AZ40" s="66"/>
      <c r="BA40" s="66" t="s">
        <v>2</v>
      </c>
      <c r="BB40" s="66"/>
      <c r="BC40" s="66">
        <v>0</v>
      </c>
      <c r="BD40" s="66"/>
      <c r="BE40" s="66" t="s">
        <v>16</v>
      </c>
      <c r="BF40" s="66"/>
      <c r="BG40" s="66">
        <v>0</v>
      </c>
      <c r="BH40" s="66"/>
      <c r="BI40" s="66" t="s">
        <v>17</v>
      </c>
      <c r="BJ40" s="232">
        <v>0</v>
      </c>
      <c r="BK40" s="232"/>
      <c r="BL40" s="29"/>
      <c r="BM40" s="243"/>
      <c r="BN40" s="65" t="s">
        <v>15</v>
      </c>
      <c r="BO40" s="65"/>
      <c r="BP40" s="66"/>
      <c r="BQ40" s="66" t="s">
        <v>2</v>
      </c>
      <c r="BR40" s="66"/>
      <c r="BS40" s="66">
        <v>0</v>
      </c>
      <c r="BT40" s="66"/>
      <c r="BU40" s="66" t="s">
        <v>16</v>
      </c>
      <c r="BV40" s="66"/>
      <c r="BW40" s="66">
        <v>0</v>
      </c>
      <c r="BX40" s="66"/>
      <c r="BY40" s="66" t="s">
        <v>17</v>
      </c>
      <c r="BZ40" s="232">
        <v>0</v>
      </c>
      <c r="CA40" s="232"/>
      <c r="CB40" s="29"/>
      <c r="CC40" s="243"/>
      <c r="CD40" s="65" t="s">
        <v>15</v>
      </c>
      <c r="CE40" s="65"/>
      <c r="CF40" s="173"/>
      <c r="CG40" s="174" t="s">
        <v>2</v>
      </c>
      <c r="CH40" s="173"/>
      <c r="CI40" s="175">
        <v>0</v>
      </c>
      <c r="CJ40" s="173"/>
      <c r="CK40" s="174" t="s">
        <v>16</v>
      </c>
      <c r="CL40" s="173"/>
      <c r="CM40" s="175">
        <v>0</v>
      </c>
      <c r="CN40" s="173"/>
      <c r="CO40" s="175" t="s">
        <v>17</v>
      </c>
      <c r="CP40" s="249">
        <v>0</v>
      </c>
      <c r="CQ40" s="250"/>
      <c r="CR40" s="29"/>
      <c r="CS40" s="243"/>
      <c r="CT40" s="65" t="s">
        <v>15</v>
      </c>
      <c r="CU40" s="65"/>
      <c r="CV40" s="173"/>
      <c r="CW40" s="174" t="s">
        <v>2</v>
      </c>
      <c r="CX40" s="173"/>
      <c r="CY40" s="175">
        <v>0</v>
      </c>
      <c r="CZ40" s="173"/>
      <c r="DA40" s="174" t="s">
        <v>16</v>
      </c>
      <c r="DB40" s="173"/>
      <c r="DC40" s="175">
        <v>0</v>
      </c>
      <c r="DD40" s="173"/>
      <c r="DE40" s="175" t="s">
        <v>17</v>
      </c>
      <c r="DF40" s="249">
        <v>0</v>
      </c>
      <c r="DG40" s="250"/>
      <c r="DH40" s="29"/>
      <c r="DI40" s="243"/>
      <c r="DJ40" s="65" t="s">
        <v>15</v>
      </c>
      <c r="DK40" s="65"/>
      <c r="DL40" s="203"/>
      <c r="DM40" s="203" t="s">
        <v>2</v>
      </c>
      <c r="DN40" s="203"/>
      <c r="DO40" s="203">
        <v>0</v>
      </c>
      <c r="DP40" s="203"/>
      <c r="DQ40" s="203" t="s">
        <v>16</v>
      </c>
      <c r="DR40" s="203"/>
      <c r="DS40" s="203">
        <v>0</v>
      </c>
      <c r="DT40" s="203"/>
      <c r="DU40" s="203" t="s">
        <v>17</v>
      </c>
      <c r="DV40" s="247">
        <v>0</v>
      </c>
      <c r="DW40" s="248"/>
      <c r="DX40" s="29"/>
      <c r="DY40" s="243"/>
      <c r="DZ40" s="65" t="s">
        <v>15</v>
      </c>
      <c r="EA40" s="65"/>
      <c r="EB40" s="213"/>
      <c r="EC40" s="213" t="s">
        <v>2</v>
      </c>
      <c r="ED40" s="213"/>
      <c r="EE40" s="213">
        <v>0</v>
      </c>
      <c r="EF40" s="213"/>
      <c r="EG40" s="213" t="s">
        <v>16</v>
      </c>
      <c r="EH40" s="213"/>
      <c r="EI40" s="213">
        <v>0</v>
      </c>
      <c r="EJ40" s="213"/>
      <c r="EK40" s="213" t="s">
        <v>17</v>
      </c>
      <c r="EL40" s="247">
        <v>0</v>
      </c>
      <c r="EM40" s="248"/>
      <c r="EN40" s="29"/>
      <c r="EO40" s="243"/>
      <c r="EP40" s="65" t="s">
        <v>15</v>
      </c>
      <c r="EQ40" s="65"/>
      <c r="ER40" s="213"/>
      <c r="ES40" s="213" t="s">
        <v>2</v>
      </c>
      <c r="ET40" s="213"/>
      <c r="EU40" s="213">
        <v>0</v>
      </c>
      <c r="EV40" s="213"/>
      <c r="EW40" s="213" t="s">
        <v>16</v>
      </c>
      <c r="EX40" s="213"/>
      <c r="EY40" s="213">
        <v>0</v>
      </c>
      <c r="EZ40" s="213"/>
      <c r="FA40" s="213" t="s">
        <v>17</v>
      </c>
      <c r="FB40" s="247">
        <v>0</v>
      </c>
      <c r="FC40" s="248"/>
      <c r="FD40" s="29"/>
      <c r="FE40" s="243"/>
      <c r="FF40" s="65" t="s">
        <v>15</v>
      </c>
      <c r="FG40" s="65"/>
      <c r="FH40" s="66"/>
      <c r="FI40" s="66" t="s">
        <v>2</v>
      </c>
      <c r="FJ40" s="66"/>
      <c r="FK40" s="66">
        <v>0</v>
      </c>
      <c r="FL40" s="66"/>
      <c r="FM40" s="66" t="s">
        <v>16</v>
      </c>
      <c r="FN40" s="66"/>
      <c r="FO40" s="66">
        <v>0</v>
      </c>
      <c r="FP40" s="66"/>
      <c r="FQ40" s="66" t="s">
        <v>17</v>
      </c>
      <c r="FR40" s="232">
        <v>0</v>
      </c>
      <c r="FS40" s="232"/>
      <c r="FT40" s="29"/>
      <c r="FU40" s="243"/>
      <c r="FV40" s="65" t="s">
        <v>15</v>
      </c>
      <c r="FW40" s="65"/>
      <c r="FX40" s="66"/>
      <c r="FY40" s="66" t="s">
        <v>2</v>
      </c>
      <c r="FZ40" s="66"/>
      <c r="GA40" s="66">
        <v>0</v>
      </c>
      <c r="GB40" s="66"/>
      <c r="GC40" s="66" t="s">
        <v>16</v>
      </c>
      <c r="GD40" s="66"/>
      <c r="GE40" s="66">
        <v>0</v>
      </c>
      <c r="GF40" s="66"/>
      <c r="GG40" s="66" t="s">
        <v>17</v>
      </c>
      <c r="GH40" s="232">
        <v>0</v>
      </c>
      <c r="GI40" s="232"/>
      <c r="GJ40" s="29"/>
      <c r="GK40" s="243"/>
      <c r="GL40" s="65" t="s">
        <v>15</v>
      </c>
      <c r="GM40" s="65"/>
      <c r="GN40" s="66"/>
      <c r="GO40" s="66" t="s">
        <v>2</v>
      </c>
      <c r="GP40" s="66"/>
      <c r="GQ40" s="66"/>
      <c r="GR40" s="66">
        <f>G40+W40+AM40+BC40+BS40+CI40+CY40+DO40+EE40+EU40+FK40+GA40</f>
        <v>0</v>
      </c>
      <c r="GS40" s="66" t="s">
        <v>16</v>
      </c>
      <c r="GT40" s="66"/>
      <c r="GU40" s="66"/>
      <c r="GV40" s="66">
        <f>K40+AA40+AQ40+BG40+BW40+CM40+DC40+DS40+EI40+EY40+FO40+GE40</f>
        <v>0</v>
      </c>
      <c r="GW40" s="66" t="s">
        <v>17</v>
      </c>
      <c r="GX40" s="66"/>
      <c r="GY40" s="66">
        <f>N40+AD40+AT40+BJ40+BZ40+CP40+DF40+DV40+EL40+FB40+FR40+GH40</f>
        <v>0</v>
      </c>
      <c r="GZ40" s="29"/>
      <c r="HA40" s="31"/>
      <c r="HN40" s="31"/>
    </row>
    <row r="41" spans="1:222" ht="15" customHeight="1" thickTop="1" thickBot="1" x14ac:dyDescent="0.3">
      <c r="A41" s="241" t="s">
        <v>31</v>
      </c>
      <c r="B41" s="38"/>
      <c r="C41" s="39" t="s">
        <v>10</v>
      </c>
      <c r="D41" s="148">
        <v>0</v>
      </c>
      <c r="E41" s="149">
        <v>15</v>
      </c>
      <c r="F41" s="150">
        <v>36</v>
      </c>
      <c r="G41" s="151">
        <v>328</v>
      </c>
      <c r="H41" s="149">
        <v>0</v>
      </c>
      <c r="I41" s="149">
        <v>12</v>
      </c>
      <c r="J41" s="150">
        <v>9</v>
      </c>
      <c r="K41" s="151">
        <v>121</v>
      </c>
      <c r="L41" s="149">
        <v>0</v>
      </c>
      <c r="M41" s="149">
        <v>21</v>
      </c>
      <c r="N41" s="150">
        <v>0</v>
      </c>
      <c r="O41" s="43">
        <v>0</v>
      </c>
      <c r="P41" s="29"/>
      <c r="Q41" s="241" t="s">
        <v>31</v>
      </c>
      <c r="R41" s="38"/>
      <c r="S41" s="39" t="s">
        <v>10</v>
      </c>
      <c r="T41" s="167"/>
      <c r="U41" s="149">
        <v>0</v>
      </c>
      <c r="V41" s="150">
        <v>20</v>
      </c>
      <c r="W41" s="151">
        <v>72</v>
      </c>
      <c r="X41" s="149">
        <v>0</v>
      </c>
      <c r="Y41" s="149">
        <v>0</v>
      </c>
      <c r="Z41" s="150">
        <v>36</v>
      </c>
      <c r="AA41" s="151">
        <v>50</v>
      </c>
      <c r="AB41" s="149">
        <v>0</v>
      </c>
      <c r="AC41" s="149">
        <v>1</v>
      </c>
      <c r="AD41" s="150">
        <v>0</v>
      </c>
      <c r="AE41" s="43">
        <v>0</v>
      </c>
      <c r="AF41" s="29"/>
      <c r="AG41" s="241" t="s">
        <v>31</v>
      </c>
      <c r="AH41" s="38"/>
      <c r="AI41" s="39" t="s">
        <v>10</v>
      </c>
      <c r="AJ41" s="156">
        <v>0</v>
      </c>
      <c r="AK41" s="157">
        <v>3</v>
      </c>
      <c r="AL41" s="158">
        <v>12</v>
      </c>
      <c r="AM41" s="159">
        <v>198</v>
      </c>
      <c r="AN41" s="157">
        <v>0</v>
      </c>
      <c r="AO41" s="157">
        <v>0</v>
      </c>
      <c r="AP41" s="158">
        <v>16</v>
      </c>
      <c r="AQ41" s="159">
        <v>112</v>
      </c>
      <c r="AR41" s="157">
        <v>0</v>
      </c>
      <c r="AS41" s="157">
        <v>0</v>
      </c>
      <c r="AT41" s="158">
        <v>0</v>
      </c>
      <c r="AU41" s="159">
        <v>16</v>
      </c>
      <c r="AV41" s="29"/>
      <c r="AW41" s="241" t="s">
        <v>31</v>
      </c>
      <c r="AX41" s="38"/>
      <c r="AY41" s="39" t="s">
        <v>10</v>
      </c>
      <c r="AZ41" s="148">
        <v>198</v>
      </c>
      <c r="BA41" s="149">
        <v>13</v>
      </c>
      <c r="BB41" s="150">
        <v>47</v>
      </c>
      <c r="BC41" s="151">
        <v>198</v>
      </c>
      <c r="BD41" s="149">
        <v>138</v>
      </c>
      <c r="BE41" s="149">
        <v>5</v>
      </c>
      <c r="BF41" s="150">
        <v>22</v>
      </c>
      <c r="BG41" s="151">
        <v>138</v>
      </c>
      <c r="BH41" s="149">
        <v>4</v>
      </c>
      <c r="BI41" s="149">
        <v>0</v>
      </c>
      <c r="BJ41" s="150">
        <v>0</v>
      </c>
      <c r="BK41" s="151">
        <v>4</v>
      </c>
      <c r="BL41" s="29"/>
      <c r="BM41" s="241" t="s">
        <v>31</v>
      </c>
      <c r="BN41" s="38"/>
      <c r="BO41" s="39" t="s">
        <v>10</v>
      </c>
      <c r="BP41" s="148">
        <v>446</v>
      </c>
      <c r="BQ41" s="149">
        <v>2</v>
      </c>
      <c r="BR41" s="150">
        <v>0</v>
      </c>
      <c r="BS41" s="151">
        <v>98</v>
      </c>
      <c r="BT41" s="149">
        <v>239</v>
      </c>
      <c r="BU41" s="149">
        <v>3</v>
      </c>
      <c r="BV41" s="150">
        <v>0</v>
      </c>
      <c r="BW41" s="151">
        <v>87</v>
      </c>
      <c r="BX41" s="149">
        <v>59</v>
      </c>
      <c r="BY41" s="149">
        <v>0</v>
      </c>
      <c r="BZ41" s="150">
        <v>0</v>
      </c>
      <c r="CA41" s="151">
        <v>17</v>
      </c>
      <c r="CB41" s="29"/>
      <c r="CC41" s="241" t="s">
        <v>31</v>
      </c>
      <c r="CD41" s="38"/>
      <c r="CE41" s="39" t="s">
        <v>10</v>
      </c>
      <c r="CF41" s="156">
        <v>0</v>
      </c>
      <c r="CG41" s="157">
        <v>0</v>
      </c>
      <c r="CH41" s="158">
        <v>23</v>
      </c>
      <c r="CI41" s="159">
        <v>99</v>
      </c>
      <c r="CJ41" s="157">
        <v>0</v>
      </c>
      <c r="CK41" s="157">
        <v>0</v>
      </c>
      <c r="CL41" s="158">
        <v>5</v>
      </c>
      <c r="CM41" s="159">
        <v>57</v>
      </c>
      <c r="CN41" s="157">
        <v>0</v>
      </c>
      <c r="CO41" s="157">
        <v>0</v>
      </c>
      <c r="CP41" s="158">
        <v>0</v>
      </c>
      <c r="CQ41" s="159">
        <v>0</v>
      </c>
      <c r="CR41" s="29"/>
      <c r="CS41" s="241" t="s">
        <v>31</v>
      </c>
      <c r="CT41" s="38"/>
      <c r="CU41" s="39" t="s">
        <v>10</v>
      </c>
      <c r="CV41" s="156">
        <v>0</v>
      </c>
      <c r="CW41" s="157">
        <v>8</v>
      </c>
      <c r="CX41" s="158">
        <v>43</v>
      </c>
      <c r="CY41" s="159">
        <v>197</v>
      </c>
      <c r="CZ41" s="157">
        <v>0</v>
      </c>
      <c r="DA41" s="157">
        <v>21</v>
      </c>
      <c r="DB41" s="158">
        <v>24</v>
      </c>
      <c r="DC41" s="159">
        <v>156</v>
      </c>
      <c r="DD41" s="157">
        <v>0</v>
      </c>
      <c r="DE41" s="157">
        <v>0</v>
      </c>
      <c r="DF41" s="158">
        <v>0</v>
      </c>
      <c r="DG41" s="159">
        <v>6</v>
      </c>
      <c r="DH41" s="29"/>
      <c r="DI41" s="241" t="s">
        <v>31</v>
      </c>
      <c r="DJ41" s="38"/>
      <c r="DK41" s="39" t="s">
        <v>10</v>
      </c>
      <c r="DL41" s="185">
        <v>0</v>
      </c>
      <c r="DM41" s="186">
        <v>0</v>
      </c>
      <c r="DN41" s="187">
        <v>23</v>
      </c>
      <c r="DO41" s="188">
        <v>99</v>
      </c>
      <c r="DP41" s="186">
        <v>0</v>
      </c>
      <c r="DQ41" s="186">
        <v>0</v>
      </c>
      <c r="DR41" s="187">
        <v>5</v>
      </c>
      <c r="DS41" s="188">
        <v>57</v>
      </c>
      <c r="DT41" s="186">
        <v>0</v>
      </c>
      <c r="DU41" s="186">
        <v>0</v>
      </c>
      <c r="DV41" s="187">
        <v>0</v>
      </c>
      <c r="DW41" s="189">
        <v>0</v>
      </c>
      <c r="DX41" s="29"/>
      <c r="DY41" s="241" t="s">
        <v>31</v>
      </c>
      <c r="DZ41" s="38"/>
      <c r="EA41" s="39" t="s">
        <v>10</v>
      </c>
      <c r="EB41" s="214">
        <v>427</v>
      </c>
      <c r="EC41" s="214">
        <v>4</v>
      </c>
      <c r="ED41" s="214">
        <v>0</v>
      </c>
      <c r="EE41" s="215">
        <v>52</v>
      </c>
      <c r="EF41" s="214">
        <v>213</v>
      </c>
      <c r="EG41" s="214">
        <v>7</v>
      </c>
      <c r="EH41" s="214">
        <v>0</v>
      </c>
      <c r="EI41" s="215">
        <v>32</v>
      </c>
      <c r="EJ41" s="214">
        <v>59</v>
      </c>
      <c r="EK41" s="214">
        <v>0</v>
      </c>
      <c r="EL41" s="214">
        <v>0</v>
      </c>
      <c r="EM41" s="215">
        <v>3</v>
      </c>
      <c r="EN41" s="29"/>
      <c r="EO41" s="241" t="s">
        <v>31</v>
      </c>
      <c r="EP41" s="38"/>
      <c r="EQ41" s="39" t="s">
        <v>10</v>
      </c>
      <c r="ER41" s="214">
        <v>427</v>
      </c>
      <c r="ES41" s="214">
        <v>4</v>
      </c>
      <c r="ET41" s="214">
        <v>0</v>
      </c>
      <c r="EU41" s="215">
        <v>55</v>
      </c>
      <c r="EV41" s="214">
        <v>213</v>
      </c>
      <c r="EW41" s="214">
        <v>7</v>
      </c>
      <c r="EX41" s="214">
        <v>0</v>
      </c>
      <c r="EY41" s="215">
        <v>33</v>
      </c>
      <c r="EZ41" s="214">
        <v>59</v>
      </c>
      <c r="FA41" s="214">
        <v>0</v>
      </c>
      <c r="FB41" s="214">
        <v>0</v>
      </c>
      <c r="FC41" s="215">
        <v>0</v>
      </c>
      <c r="FD41" s="29"/>
      <c r="FE41" s="241" t="s">
        <v>31</v>
      </c>
      <c r="FF41" s="38"/>
      <c r="FG41" s="39" t="s">
        <v>10</v>
      </c>
      <c r="FH41" s="40">
        <v>0</v>
      </c>
      <c r="FI41" s="41">
        <v>0</v>
      </c>
      <c r="FJ41" s="42">
        <v>0</v>
      </c>
      <c r="FK41" s="43">
        <v>0</v>
      </c>
      <c r="FL41" s="40">
        <v>0</v>
      </c>
      <c r="FM41" s="41">
        <v>0</v>
      </c>
      <c r="FN41" s="42">
        <v>0</v>
      </c>
      <c r="FO41" s="43">
        <v>0</v>
      </c>
      <c r="FP41" s="40">
        <v>0</v>
      </c>
      <c r="FQ41" s="41">
        <v>0</v>
      </c>
      <c r="FR41" s="42">
        <v>0</v>
      </c>
      <c r="FS41" s="43">
        <v>0</v>
      </c>
      <c r="FT41" s="29"/>
      <c r="FU41" s="241" t="s">
        <v>31</v>
      </c>
      <c r="FV41" s="38"/>
      <c r="FW41" s="39" t="s">
        <v>10</v>
      </c>
      <c r="FX41" s="40">
        <v>0</v>
      </c>
      <c r="FY41" s="41">
        <v>0</v>
      </c>
      <c r="FZ41" s="42">
        <v>0</v>
      </c>
      <c r="GA41" s="43">
        <v>0</v>
      </c>
      <c r="GB41" s="40">
        <v>0</v>
      </c>
      <c r="GC41" s="41">
        <v>0</v>
      </c>
      <c r="GD41" s="42">
        <v>0</v>
      </c>
      <c r="GE41" s="43">
        <v>0</v>
      </c>
      <c r="GF41" s="40">
        <v>0</v>
      </c>
      <c r="GG41" s="41">
        <v>0</v>
      </c>
      <c r="GH41" s="42">
        <v>0</v>
      </c>
      <c r="GI41" s="43">
        <v>0</v>
      </c>
      <c r="GJ41" s="29"/>
      <c r="GK41" s="241" t="str">
        <f t="shared" ref="GK41" si="145">FU41</f>
        <v>الرغامة</v>
      </c>
      <c r="GL41" s="38"/>
      <c r="GM41" s="39" t="s">
        <v>10</v>
      </c>
      <c r="GN41" s="41">
        <f>FX41</f>
        <v>0</v>
      </c>
      <c r="GO41" s="41">
        <f t="shared" ref="GO41:GO44" si="146">E41+U41+AK41+BA41+BQ41+CG41++CW41+DM41+EC41+ES41+FI41+FY41</f>
        <v>49</v>
      </c>
      <c r="GP41" s="41">
        <f t="shared" ref="GP41:GP44" si="147">F41+V41+AL41+BB41+BR41+CH41++CX41+DN41+ED41+ET41+FJ41+FZ41</f>
        <v>204</v>
      </c>
      <c r="GQ41" s="41">
        <f t="shared" ref="GQ41:GQ44" si="148">G41+W41+AM41+BC41+BS41+CI41++CY41+DO41+EE41+EU41+FK41+GA41</f>
        <v>1396</v>
      </c>
      <c r="GR41" s="41">
        <f>GB41</f>
        <v>0</v>
      </c>
      <c r="GS41" s="41">
        <f t="shared" ref="GS41:GS44" si="149">I41+Y41+AO41+BE41+BU41+CK41++DA41+DQ41+EG41+EW41+FM41+GC41</f>
        <v>55</v>
      </c>
      <c r="GT41" s="41">
        <f t="shared" ref="GT41:GT44" si="150">J41+Z41+AP41+BF41+BV41+CL41++DB41+DR41+EH41+EX41+FN41+GD41</f>
        <v>117</v>
      </c>
      <c r="GU41" s="41">
        <f t="shared" ref="GU41:GU44" si="151">K41+AA41+AQ41+BG41+BW41+CM41++DC41+DS41+EI41+EY41+FO41+GE41</f>
        <v>843</v>
      </c>
      <c r="GV41" s="41">
        <f>GF41</f>
        <v>0</v>
      </c>
      <c r="GW41" s="41">
        <f t="shared" ref="GW41:GW44" si="152">M41+AC41+AS41+BI41+BY41+CO41++DE41+DU41+EK41+FA41+FQ41+GG41</f>
        <v>22</v>
      </c>
      <c r="GX41" s="41">
        <f t="shared" ref="GX41:GX44" si="153">N41+AD41+AT41+BJ41+BZ41+CP41++DF41+DV41+EL41+FB41+FR41+GH41</f>
        <v>0</v>
      </c>
      <c r="GY41" s="41">
        <f t="shared" ref="GY41:GY44" si="154">O41+AE41+AU41+BK41+CA41+CQ41++DG41+DW41+EM41+FC41+FS41+GI41</f>
        <v>46</v>
      </c>
      <c r="GZ41" s="29"/>
      <c r="HA41" s="31"/>
      <c r="HN41" s="31"/>
    </row>
    <row r="42" spans="1:222" ht="15" customHeight="1" thickBot="1" x14ac:dyDescent="0.3">
      <c r="A42" s="242"/>
      <c r="B42" s="46" t="s">
        <v>11</v>
      </c>
      <c r="C42" s="47" t="s">
        <v>12</v>
      </c>
      <c r="D42" s="152">
        <v>0</v>
      </c>
      <c r="E42" s="153">
        <v>9</v>
      </c>
      <c r="F42" s="154">
        <v>40</v>
      </c>
      <c r="G42" s="155">
        <v>238</v>
      </c>
      <c r="H42" s="153">
        <v>0</v>
      </c>
      <c r="I42" s="153">
        <v>14</v>
      </c>
      <c r="J42" s="154">
        <v>14</v>
      </c>
      <c r="K42" s="155">
        <v>201</v>
      </c>
      <c r="L42" s="153">
        <v>0</v>
      </c>
      <c r="M42" s="153">
        <v>7</v>
      </c>
      <c r="N42" s="154">
        <v>0</v>
      </c>
      <c r="O42" s="51">
        <v>0</v>
      </c>
      <c r="P42" s="29"/>
      <c r="Q42" s="242"/>
      <c r="R42" s="46" t="s">
        <v>11</v>
      </c>
      <c r="S42" s="47" t="s">
        <v>12</v>
      </c>
      <c r="T42" s="152">
        <v>0</v>
      </c>
      <c r="U42" s="153">
        <v>1</v>
      </c>
      <c r="V42" s="154">
        <v>53</v>
      </c>
      <c r="W42" s="155">
        <v>57</v>
      </c>
      <c r="X42" s="153">
        <v>0</v>
      </c>
      <c r="Y42" s="153">
        <v>0</v>
      </c>
      <c r="Z42" s="154">
        <v>28</v>
      </c>
      <c r="AA42" s="155">
        <v>52</v>
      </c>
      <c r="AB42" s="153">
        <v>0</v>
      </c>
      <c r="AC42" s="153">
        <v>2</v>
      </c>
      <c r="AD42" s="154">
        <v>1</v>
      </c>
      <c r="AE42" s="51">
        <v>0</v>
      </c>
      <c r="AF42" s="29"/>
      <c r="AG42" s="242"/>
      <c r="AH42" s="46" t="s">
        <v>11</v>
      </c>
      <c r="AI42" s="47" t="s">
        <v>12</v>
      </c>
      <c r="AJ42" s="152">
        <v>0</v>
      </c>
      <c r="AK42" s="153">
        <v>4</v>
      </c>
      <c r="AL42" s="154">
        <v>14</v>
      </c>
      <c r="AM42" s="155">
        <v>224</v>
      </c>
      <c r="AN42" s="153">
        <v>0</v>
      </c>
      <c r="AO42" s="153">
        <v>0</v>
      </c>
      <c r="AP42" s="154">
        <v>18</v>
      </c>
      <c r="AQ42" s="155">
        <v>98</v>
      </c>
      <c r="AR42" s="153">
        <v>0</v>
      </c>
      <c r="AS42" s="153">
        <v>0</v>
      </c>
      <c r="AT42" s="154">
        <v>0</v>
      </c>
      <c r="AU42" s="155">
        <v>23</v>
      </c>
      <c r="AV42" s="29"/>
      <c r="AW42" s="242"/>
      <c r="AX42" s="46" t="s">
        <v>11</v>
      </c>
      <c r="AY42" s="47" t="s">
        <v>12</v>
      </c>
      <c r="AZ42" s="152">
        <v>173</v>
      </c>
      <c r="BA42" s="153">
        <v>6</v>
      </c>
      <c r="BB42" s="154">
        <v>18</v>
      </c>
      <c r="BC42" s="155">
        <v>173</v>
      </c>
      <c r="BD42" s="153">
        <v>153</v>
      </c>
      <c r="BE42" s="153">
        <v>3</v>
      </c>
      <c r="BF42" s="154">
        <v>17</v>
      </c>
      <c r="BG42" s="155">
        <v>153</v>
      </c>
      <c r="BH42" s="153">
        <v>1</v>
      </c>
      <c r="BI42" s="153">
        <v>0</v>
      </c>
      <c r="BJ42" s="154">
        <v>0</v>
      </c>
      <c r="BK42" s="155">
        <v>1</v>
      </c>
      <c r="BL42" s="29"/>
      <c r="BM42" s="242"/>
      <c r="BN42" s="46" t="s">
        <v>11</v>
      </c>
      <c r="BO42" s="47" t="s">
        <v>12</v>
      </c>
      <c r="BP42" s="152">
        <v>483</v>
      </c>
      <c r="BQ42" s="153">
        <v>3</v>
      </c>
      <c r="BR42" s="154">
        <v>0</v>
      </c>
      <c r="BS42" s="155">
        <v>102</v>
      </c>
      <c r="BT42" s="153">
        <v>267</v>
      </c>
      <c r="BU42" s="153">
        <v>4</v>
      </c>
      <c r="BV42" s="154">
        <v>0</v>
      </c>
      <c r="BW42" s="155">
        <v>78</v>
      </c>
      <c r="BX42" s="153">
        <v>89</v>
      </c>
      <c r="BY42" s="153">
        <v>0</v>
      </c>
      <c r="BZ42" s="154">
        <v>0</v>
      </c>
      <c r="CA42" s="155">
        <v>19</v>
      </c>
      <c r="CB42" s="29"/>
      <c r="CC42" s="242"/>
      <c r="CD42" s="46" t="s">
        <v>11</v>
      </c>
      <c r="CE42" s="47" t="s">
        <v>12</v>
      </c>
      <c r="CF42" s="152">
        <v>0</v>
      </c>
      <c r="CG42" s="153">
        <v>3</v>
      </c>
      <c r="CH42" s="154">
        <v>20</v>
      </c>
      <c r="CI42" s="155">
        <v>104</v>
      </c>
      <c r="CJ42" s="153">
        <v>0</v>
      </c>
      <c r="CK42" s="153">
        <v>2</v>
      </c>
      <c r="CL42" s="154">
        <v>6</v>
      </c>
      <c r="CM42" s="155">
        <v>78</v>
      </c>
      <c r="CN42" s="153">
        <v>0</v>
      </c>
      <c r="CO42" s="153">
        <v>2</v>
      </c>
      <c r="CP42" s="154">
        <v>0</v>
      </c>
      <c r="CQ42" s="155">
        <v>2</v>
      </c>
      <c r="CR42" s="29"/>
      <c r="CS42" s="242"/>
      <c r="CT42" s="46" t="s">
        <v>11</v>
      </c>
      <c r="CU42" s="47" t="s">
        <v>12</v>
      </c>
      <c r="CV42" s="152">
        <v>0</v>
      </c>
      <c r="CW42" s="153">
        <v>9</v>
      </c>
      <c r="CX42" s="154">
        <v>21</v>
      </c>
      <c r="CY42" s="155">
        <v>235</v>
      </c>
      <c r="CZ42" s="153">
        <v>0</v>
      </c>
      <c r="DA42" s="153">
        <v>18</v>
      </c>
      <c r="DB42" s="154">
        <v>7</v>
      </c>
      <c r="DC42" s="155">
        <v>189</v>
      </c>
      <c r="DD42" s="153">
        <v>0</v>
      </c>
      <c r="DE42" s="153">
        <v>0</v>
      </c>
      <c r="DF42" s="154">
        <v>0</v>
      </c>
      <c r="DG42" s="155">
        <v>12</v>
      </c>
      <c r="DH42" s="29"/>
      <c r="DI42" s="242"/>
      <c r="DJ42" s="46" t="s">
        <v>11</v>
      </c>
      <c r="DK42" s="47" t="s">
        <v>12</v>
      </c>
      <c r="DL42" s="190">
        <v>0</v>
      </c>
      <c r="DM42" s="191">
        <v>3</v>
      </c>
      <c r="DN42" s="192">
        <v>20</v>
      </c>
      <c r="DO42" s="193">
        <v>104</v>
      </c>
      <c r="DP42" s="191">
        <v>0</v>
      </c>
      <c r="DQ42" s="191">
        <v>2</v>
      </c>
      <c r="DR42" s="192">
        <v>6</v>
      </c>
      <c r="DS42" s="193">
        <v>78</v>
      </c>
      <c r="DT42" s="191">
        <v>0</v>
      </c>
      <c r="DU42" s="191">
        <v>2</v>
      </c>
      <c r="DV42" s="192">
        <v>0</v>
      </c>
      <c r="DW42" s="194">
        <v>0</v>
      </c>
      <c r="DX42" s="29"/>
      <c r="DY42" s="242"/>
      <c r="DZ42" s="46" t="s">
        <v>11</v>
      </c>
      <c r="EA42" s="47" t="s">
        <v>12</v>
      </c>
      <c r="EB42" s="214">
        <v>467</v>
      </c>
      <c r="EC42" s="214">
        <v>2</v>
      </c>
      <c r="ED42" s="214">
        <v>0</v>
      </c>
      <c r="EE42" s="215">
        <v>55</v>
      </c>
      <c r="EF42" s="214">
        <v>349</v>
      </c>
      <c r="EG42" s="214">
        <v>5</v>
      </c>
      <c r="EH42" s="214">
        <v>0</v>
      </c>
      <c r="EI42" s="215">
        <v>60</v>
      </c>
      <c r="EJ42" s="214">
        <v>81</v>
      </c>
      <c r="EK42" s="214">
        <v>0</v>
      </c>
      <c r="EL42" s="214">
        <v>0</v>
      </c>
      <c r="EM42" s="215">
        <v>6</v>
      </c>
      <c r="EN42" s="29"/>
      <c r="EO42" s="242"/>
      <c r="EP42" s="46" t="s">
        <v>11</v>
      </c>
      <c r="EQ42" s="47" t="s">
        <v>12</v>
      </c>
      <c r="ER42" s="214">
        <v>467</v>
      </c>
      <c r="ES42" s="214">
        <v>2</v>
      </c>
      <c r="ET42" s="214">
        <v>0</v>
      </c>
      <c r="EU42" s="215">
        <v>49</v>
      </c>
      <c r="EV42" s="214">
        <v>349</v>
      </c>
      <c r="EW42" s="214">
        <v>5</v>
      </c>
      <c r="EX42" s="214">
        <v>0</v>
      </c>
      <c r="EY42" s="215">
        <v>55</v>
      </c>
      <c r="EZ42" s="214">
        <v>81</v>
      </c>
      <c r="FA42" s="214">
        <v>0</v>
      </c>
      <c r="FB42" s="214">
        <v>0</v>
      </c>
      <c r="FC42" s="215">
        <v>0</v>
      </c>
      <c r="FD42" s="29"/>
      <c r="FE42" s="242"/>
      <c r="FF42" s="46" t="s">
        <v>11</v>
      </c>
      <c r="FG42" s="47" t="s">
        <v>12</v>
      </c>
      <c r="FH42" s="48">
        <v>0</v>
      </c>
      <c r="FI42" s="49">
        <v>0</v>
      </c>
      <c r="FJ42" s="50">
        <v>0</v>
      </c>
      <c r="FK42" s="51">
        <v>0</v>
      </c>
      <c r="FL42" s="48">
        <v>0</v>
      </c>
      <c r="FM42" s="49">
        <v>0</v>
      </c>
      <c r="FN42" s="50">
        <v>0</v>
      </c>
      <c r="FO42" s="51">
        <v>0</v>
      </c>
      <c r="FP42" s="48">
        <v>0</v>
      </c>
      <c r="FQ42" s="49">
        <v>0</v>
      </c>
      <c r="FR42" s="50">
        <v>0</v>
      </c>
      <c r="FS42" s="51">
        <v>0</v>
      </c>
      <c r="FT42" s="29"/>
      <c r="FU42" s="242"/>
      <c r="FV42" s="46" t="s">
        <v>11</v>
      </c>
      <c r="FW42" s="47" t="s">
        <v>12</v>
      </c>
      <c r="FX42" s="48">
        <v>0</v>
      </c>
      <c r="FY42" s="49">
        <v>0</v>
      </c>
      <c r="FZ42" s="50">
        <v>0</v>
      </c>
      <c r="GA42" s="51">
        <v>0</v>
      </c>
      <c r="GB42" s="48">
        <v>0</v>
      </c>
      <c r="GC42" s="49">
        <v>0</v>
      </c>
      <c r="GD42" s="50">
        <v>0</v>
      </c>
      <c r="GE42" s="51">
        <v>0</v>
      </c>
      <c r="GF42" s="48">
        <v>0</v>
      </c>
      <c r="GG42" s="49">
        <v>0</v>
      </c>
      <c r="GH42" s="50">
        <v>0</v>
      </c>
      <c r="GI42" s="51">
        <v>0</v>
      </c>
      <c r="GJ42" s="29"/>
      <c r="GK42" s="242"/>
      <c r="GL42" s="46" t="s">
        <v>11</v>
      </c>
      <c r="GM42" s="47" t="s">
        <v>12</v>
      </c>
      <c r="GN42" s="41">
        <f t="shared" ref="GN42:GN44" si="155">FX42</f>
        <v>0</v>
      </c>
      <c r="GO42" s="41">
        <f t="shared" si="146"/>
        <v>42</v>
      </c>
      <c r="GP42" s="41">
        <f t="shared" si="147"/>
        <v>186</v>
      </c>
      <c r="GQ42" s="41">
        <f t="shared" si="148"/>
        <v>1341</v>
      </c>
      <c r="GR42" s="41">
        <f t="shared" ref="GR42:GR44" si="156">GB42</f>
        <v>0</v>
      </c>
      <c r="GS42" s="41">
        <f t="shared" si="149"/>
        <v>53</v>
      </c>
      <c r="GT42" s="41">
        <f t="shared" si="150"/>
        <v>96</v>
      </c>
      <c r="GU42" s="41">
        <f t="shared" si="151"/>
        <v>1042</v>
      </c>
      <c r="GV42" s="41">
        <f t="shared" ref="GV42:GV44" si="157">GF42</f>
        <v>0</v>
      </c>
      <c r="GW42" s="41">
        <f t="shared" si="152"/>
        <v>13</v>
      </c>
      <c r="GX42" s="41">
        <f t="shared" si="153"/>
        <v>1</v>
      </c>
      <c r="GY42" s="41">
        <f t="shared" si="154"/>
        <v>63</v>
      </c>
      <c r="GZ42" s="29"/>
      <c r="HA42" s="31"/>
      <c r="HN42" s="31"/>
    </row>
    <row r="43" spans="1:222" ht="15" customHeight="1" thickBot="1" x14ac:dyDescent="0.3">
      <c r="A43" s="242"/>
      <c r="B43" s="38" t="s">
        <v>13</v>
      </c>
      <c r="C43" s="54" t="s">
        <v>10</v>
      </c>
      <c r="D43" s="156">
        <v>0</v>
      </c>
      <c r="E43" s="157">
        <v>22</v>
      </c>
      <c r="F43" s="158">
        <v>2</v>
      </c>
      <c r="G43" s="159">
        <v>22</v>
      </c>
      <c r="H43" s="157">
        <v>0</v>
      </c>
      <c r="I43" s="157">
        <v>19</v>
      </c>
      <c r="J43" s="158">
        <v>3</v>
      </c>
      <c r="K43" s="159">
        <v>19</v>
      </c>
      <c r="L43" s="157">
        <v>0</v>
      </c>
      <c r="M43" s="157">
        <v>0</v>
      </c>
      <c r="N43" s="158">
        <v>0</v>
      </c>
      <c r="O43" s="43">
        <v>0</v>
      </c>
      <c r="P43" s="29"/>
      <c r="Q43" s="242"/>
      <c r="R43" s="38" t="s">
        <v>13</v>
      </c>
      <c r="S43" s="54" t="s">
        <v>10</v>
      </c>
      <c r="T43" s="156">
        <v>0</v>
      </c>
      <c r="U43" s="157">
        <v>0</v>
      </c>
      <c r="V43" s="158">
        <v>10</v>
      </c>
      <c r="W43" s="159">
        <v>14</v>
      </c>
      <c r="X43" s="157">
        <v>0</v>
      </c>
      <c r="Y43" s="157">
        <v>0</v>
      </c>
      <c r="Z43" s="158">
        <v>5</v>
      </c>
      <c r="AA43" s="159">
        <v>23</v>
      </c>
      <c r="AB43" s="157">
        <v>0</v>
      </c>
      <c r="AC43" s="157">
        <v>0</v>
      </c>
      <c r="AD43" s="158">
        <v>0</v>
      </c>
      <c r="AE43" s="43">
        <v>0</v>
      </c>
      <c r="AF43" s="29"/>
      <c r="AG43" s="242"/>
      <c r="AH43" s="38" t="s">
        <v>13</v>
      </c>
      <c r="AI43" s="54" t="s">
        <v>10</v>
      </c>
      <c r="AJ43" s="156">
        <v>0</v>
      </c>
      <c r="AK43" s="157">
        <v>0</v>
      </c>
      <c r="AL43" s="158">
        <v>3</v>
      </c>
      <c r="AM43" s="159">
        <v>22</v>
      </c>
      <c r="AN43" s="157">
        <v>0</v>
      </c>
      <c r="AO43" s="157">
        <v>0</v>
      </c>
      <c r="AP43" s="158">
        <v>5</v>
      </c>
      <c r="AQ43" s="159">
        <v>11</v>
      </c>
      <c r="AR43" s="157">
        <v>0</v>
      </c>
      <c r="AS43" s="157">
        <v>0</v>
      </c>
      <c r="AT43" s="158">
        <v>0</v>
      </c>
      <c r="AU43" s="159">
        <v>0</v>
      </c>
      <c r="AV43" s="29"/>
      <c r="AW43" s="242"/>
      <c r="AX43" s="38" t="s">
        <v>13</v>
      </c>
      <c r="AY43" s="54" t="s">
        <v>10</v>
      </c>
      <c r="AZ43" s="156">
        <v>27</v>
      </c>
      <c r="BA43" s="157">
        <v>2</v>
      </c>
      <c r="BB43" s="158">
        <v>6</v>
      </c>
      <c r="BC43" s="159">
        <v>27</v>
      </c>
      <c r="BD43" s="157">
        <v>18</v>
      </c>
      <c r="BE43" s="157">
        <v>1</v>
      </c>
      <c r="BF43" s="158">
        <v>9</v>
      </c>
      <c r="BG43" s="159">
        <v>18</v>
      </c>
      <c r="BH43" s="157">
        <v>0</v>
      </c>
      <c r="BI43" s="157">
        <v>0</v>
      </c>
      <c r="BJ43" s="158">
        <v>0</v>
      </c>
      <c r="BK43" s="159">
        <v>0</v>
      </c>
      <c r="BL43" s="29"/>
      <c r="BM43" s="242"/>
      <c r="BN43" s="38" t="s">
        <v>13</v>
      </c>
      <c r="BO43" s="54" t="s">
        <v>10</v>
      </c>
      <c r="BP43" s="156">
        <v>43</v>
      </c>
      <c r="BQ43" s="157">
        <v>0</v>
      </c>
      <c r="BR43" s="158">
        <v>0</v>
      </c>
      <c r="BS43" s="159">
        <v>2</v>
      </c>
      <c r="BT43" s="157">
        <v>20</v>
      </c>
      <c r="BU43" s="157">
        <v>0</v>
      </c>
      <c r="BV43" s="158">
        <v>0</v>
      </c>
      <c r="BW43" s="159">
        <v>2</v>
      </c>
      <c r="BX43" s="157">
        <v>4</v>
      </c>
      <c r="BY43" s="157">
        <v>0</v>
      </c>
      <c r="BZ43" s="158">
        <v>0</v>
      </c>
      <c r="CA43" s="159">
        <v>0</v>
      </c>
      <c r="CB43" s="29"/>
      <c r="CC43" s="242"/>
      <c r="CD43" s="38" t="s">
        <v>13</v>
      </c>
      <c r="CE43" s="54" t="s">
        <v>10</v>
      </c>
      <c r="CF43" s="156">
        <v>0</v>
      </c>
      <c r="CG43" s="157">
        <v>2</v>
      </c>
      <c r="CH43" s="158">
        <v>18</v>
      </c>
      <c r="CI43" s="159">
        <v>15</v>
      </c>
      <c r="CJ43" s="157">
        <v>0</v>
      </c>
      <c r="CK43" s="157">
        <v>0</v>
      </c>
      <c r="CL43" s="158">
        <v>3</v>
      </c>
      <c r="CM43" s="159">
        <v>18</v>
      </c>
      <c r="CN43" s="157">
        <v>0</v>
      </c>
      <c r="CO43" s="157">
        <v>0</v>
      </c>
      <c r="CP43" s="158">
        <v>0</v>
      </c>
      <c r="CQ43" s="159">
        <v>0</v>
      </c>
      <c r="CR43" s="29"/>
      <c r="CS43" s="242"/>
      <c r="CT43" s="38" t="s">
        <v>13</v>
      </c>
      <c r="CU43" s="54" t="s">
        <v>10</v>
      </c>
      <c r="CV43" s="156">
        <v>0</v>
      </c>
      <c r="CW43" s="157">
        <v>0</v>
      </c>
      <c r="CX43" s="158">
        <v>0</v>
      </c>
      <c r="CY43" s="159">
        <v>21</v>
      </c>
      <c r="CZ43" s="157">
        <v>0</v>
      </c>
      <c r="DA43" s="157">
        <v>0</v>
      </c>
      <c r="DB43" s="158">
        <v>0</v>
      </c>
      <c r="DC43" s="159">
        <v>12</v>
      </c>
      <c r="DD43" s="157">
        <v>0</v>
      </c>
      <c r="DE43" s="157">
        <v>0</v>
      </c>
      <c r="DF43" s="158">
        <v>0</v>
      </c>
      <c r="DG43" s="159">
        <v>0</v>
      </c>
      <c r="DH43" s="29"/>
      <c r="DI43" s="242"/>
      <c r="DJ43" s="38" t="s">
        <v>13</v>
      </c>
      <c r="DK43" s="54" t="s">
        <v>10</v>
      </c>
      <c r="DL43" s="195">
        <v>0</v>
      </c>
      <c r="DM43" s="196">
        <v>2</v>
      </c>
      <c r="DN43" s="197">
        <v>18</v>
      </c>
      <c r="DO43" s="198">
        <v>15</v>
      </c>
      <c r="DP43" s="196">
        <v>0</v>
      </c>
      <c r="DQ43" s="196">
        <v>0</v>
      </c>
      <c r="DR43" s="197">
        <v>3</v>
      </c>
      <c r="DS43" s="198">
        <v>18</v>
      </c>
      <c r="DT43" s="196">
        <v>0</v>
      </c>
      <c r="DU43" s="196">
        <v>0</v>
      </c>
      <c r="DV43" s="197">
        <v>0</v>
      </c>
      <c r="DW43" s="189">
        <v>0</v>
      </c>
      <c r="DX43" s="29"/>
      <c r="DY43" s="242"/>
      <c r="DZ43" s="38" t="s">
        <v>13</v>
      </c>
      <c r="EA43" s="54" t="s">
        <v>10</v>
      </c>
      <c r="EB43" s="214">
        <v>43</v>
      </c>
      <c r="EC43" s="214">
        <v>0</v>
      </c>
      <c r="ED43" s="214">
        <v>0</v>
      </c>
      <c r="EE43" s="215">
        <v>9</v>
      </c>
      <c r="EF43" s="214">
        <v>18</v>
      </c>
      <c r="EG43" s="214">
        <v>2</v>
      </c>
      <c r="EH43" s="214">
        <v>0</v>
      </c>
      <c r="EI43" s="215">
        <v>2</v>
      </c>
      <c r="EJ43" s="214">
        <v>4</v>
      </c>
      <c r="EK43" s="214">
        <v>0</v>
      </c>
      <c r="EL43" s="214">
        <v>0</v>
      </c>
      <c r="EM43" s="215">
        <v>0</v>
      </c>
      <c r="EN43" s="29"/>
      <c r="EO43" s="242"/>
      <c r="EP43" s="38" t="s">
        <v>13</v>
      </c>
      <c r="EQ43" s="54" t="s">
        <v>10</v>
      </c>
      <c r="ER43" s="214">
        <v>43</v>
      </c>
      <c r="ES43" s="214">
        <v>0</v>
      </c>
      <c r="ET43" s="214">
        <v>0</v>
      </c>
      <c r="EU43" s="215">
        <v>10</v>
      </c>
      <c r="EV43" s="214">
        <v>18</v>
      </c>
      <c r="EW43" s="214">
        <v>2</v>
      </c>
      <c r="EX43" s="214">
        <v>0</v>
      </c>
      <c r="EY43" s="215">
        <v>1</v>
      </c>
      <c r="EZ43" s="214">
        <v>4</v>
      </c>
      <c r="FA43" s="214">
        <v>0</v>
      </c>
      <c r="FB43" s="214">
        <v>0</v>
      </c>
      <c r="FC43" s="215">
        <v>0</v>
      </c>
      <c r="FD43" s="29"/>
      <c r="FE43" s="242"/>
      <c r="FF43" s="38" t="s">
        <v>13</v>
      </c>
      <c r="FG43" s="54" t="s">
        <v>10</v>
      </c>
      <c r="FH43" s="40">
        <v>0</v>
      </c>
      <c r="FI43" s="41">
        <v>0</v>
      </c>
      <c r="FJ43" s="42">
        <v>0</v>
      </c>
      <c r="FK43" s="43">
        <v>0</v>
      </c>
      <c r="FL43" s="40">
        <v>0</v>
      </c>
      <c r="FM43" s="41">
        <v>0</v>
      </c>
      <c r="FN43" s="42">
        <v>0</v>
      </c>
      <c r="FO43" s="43">
        <v>0</v>
      </c>
      <c r="FP43" s="40">
        <v>0</v>
      </c>
      <c r="FQ43" s="41">
        <v>0</v>
      </c>
      <c r="FR43" s="42">
        <v>0</v>
      </c>
      <c r="FS43" s="43">
        <v>0</v>
      </c>
      <c r="FT43" s="29"/>
      <c r="FU43" s="242"/>
      <c r="FV43" s="38" t="s">
        <v>13</v>
      </c>
      <c r="FW43" s="54" t="s">
        <v>10</v>
      </c>
      <c r="FX43" s="40">
        <v>0</v>
      </c>
      <c r="FY43" s="41">
        <v>0</v>
      </c>
      <c r="FZ43" s="42">
        <v>0</v>
      </c>
      <c r="GA43" s="43">
        <v>0</v>
      </c>
      <c r="GB43" s="40">
        <v>0</v>
      </c>
      <c r="GC43" s="41">
        <v>0</v>
      </c>
      <c r="GD43" s="42">
        <v>0</v>
      </c>
      <c r="GE43" s="43">
        <v>0</v>
      </c>
      <c r="GF43" s="40">
        <v>0</v>
      </c>
      <c r="GG43" s="41">
        <v>0</v>
      </c>
      <c r="GH43" s="42">
        <v>0</v>
      </c>
      <c r="GI43" s="43">
        <v>0</v>
      </c>
      <c r="GJ43" s="29"/>
      <c r="GK43" s="242"/>
      <c r="GL43" s="38" t="s">
        <v>13</v>
      </c>
      <c r="GM43" s="54" t="s">
        <v>10</v>
      </c>
      <c r="GN43" s="41">
        <f t="shared" si="155"/>
        <v>0</v>
      </c>
      <c r="GO43" s="41">
        <f t="shared" si="146"/>
        <v>28</v>
      </c>
      <c r="GP43" s="41">
        <f t="shared" si="147"/>
        <v>57</v>
      </c>
      <c r="GQ43" s="41">
        <f t="shared" si="148"/>
        <v>157</v>
      </c>
      <c r="GR43" s="41">
        <f t="shared" si="156"/>
        <v>0</v>
      </c>
      <c r="GS43" s="41">
        <f t="shared" si="149"/>
        <v>24</v>
      </c>
      <c r="GT43" s="41">
        <f t="shared" si="150"/>
        <v>28</v>
      </c>
      <c r="GU43" s="41">
        <f t="shared" si="151"/>
        <v>124</v>
      </c>
      <c r="GV43" s="41">
        <f t="shared" si="157"/>
        <v>0</v>
      </c>
      <c r="GW43" s="41">
        <f t="shared" si="152"/>
        <v>0</v>
      </c>
      <c r="GX43" s="41">
        <f t="shared" si="153"/>
        <v>0</v>
      </c>
      <c r="GY43" s="41">
        <f t="shared" si="154"/>
        <v>0</v>
      </c>
      <c r="GZ43" s="29"/>
      <c r="HA43" s="31"/>
      <c r="HN43" s="31"/>
    </row>
    <row r="44" spans="1:222" ht="15" customHeight="1" thickBot="1" x14ac:dyDescent="0.3">
      <c r="A44" s="242"/>
      <c r="B44" s="46" t="s">
        <v>11</v>
      </c>
      <c r="C44" s="56" t="s">
        <v>12</v>
      </c>
      <c r="D44" s="152">
        <v>0</v>
      </c>
      <c r="E44" s="153">
        <v>6</v>
      </c>
      <c r="F44" s="154">
        <v>0</v>
      </c>
      <c r="G44" s="155">
        <v>6</v>
      </c>
      <c r="H44" s="153">
        <v>0</v>
      </c>
      <c r="I44" s="153">
        <v>4</v>
      </c>
      <c r="J44" s="154">
        <v>1</v>
      </c>
      <c r="K44" s="155">
        <v>4</v>
      </c>
      <c r="L44" s="153">
        <v>0</v>
      </c>
      <c r="M44" s="153">
        <v>0</v>
      </c>
      <c r="N44" s="154">
        <v>0</v>
      </c>
      <c r="O44" s="51">
        <v>0</v>
      </c>
      <c r="P44" s="29"/>
      <c r="Q44" s="242"/>
      <c r="R44" s="46" t="s">
        <v>11</v>
      </c>
      <c r="S44" s="56" t="s">
        <v>12</v>
      </c>
      <c r="T44" s="152">
        <v>0</v>
      </c>
      <c r="U44" s="153">
        <v>0</v>
      </c>
      <c r="V44" s="154">
        <v>4</v>
      </c>
      <c r="W44" s="155">
        <v>0</v>
      </c>
      <c r="X44" s="153">
        <v>0</v>
      </c>
      <c r="Y44" s="153">
        <v>0</v>
      </c>
      <c r="Z44" s="154">
        <v>4</v>
      </c>
      <c r="AA44" s="155">
        <v>4</v>
      </c>
      <c r="AB44" s="153">
        <v>0</v>
      </c>
      <c r="AC44" s="153">
        <v>0</v>
      </c>
      <c r="AD44" s="154">
        <v>0</v>
      </c>
      <c r="AE44" s="51">
        <v>0</v>
      </c>
      <c r="AF44" s="29"/>
      <c r="AG44" s="242"/>
      <c r="AH44" s="46" t="s">
        <v>11</v>
      </c>
      <c r="AI44" s="56" t="s">
        <v>12</v>
      </c>
      <c r="AJ44" s="152">
        <v>0</v>
      </c>
      <c r="AK44" s="153">
        <v>0</v>
      </c>
      <c r="AL44" s="154">
        <v>6</v>
      </c>
      <c r="AM44" s="155">
        <v>27</v>
      </c>
      <c r="AN44" s="153">
        <v>0</v>
      </c>
      <c r="AO44" s="153">
        <v>0</v>
      </c>
      <c r="AP44" s="154">
        <v>6</v>
      </c>
      <c r="AQ44" s="155">
        <v>14</v>
      </c>
      <c r="AR44" s="153">
        <v>0</v>
      </c>
      <c r="AS44" s="153">
        <v>0</v>
      </c>
      <c r="AT44" s="154">
        <v>0</v>
      </c>
      <c r="AU44" s="155">
        <v>0</v>
      </c>
      <c r="AV44" s="29"/>
      <c r="AW44" s="242"/>
      <c r="AX44" s="46" t="s">
        <v>11</v>
      </c>
      <c r="AY44" s="56" t="s">
        <v>12</v>
      </c>
      <c r="AZ44" s="152">
        <v>4</v>
      </c>
      <c r="BA44" s="153">
        <v>0</v>
      </c>
      <c r="BB44" s="154">
        <v>0</v>
      </c>
      <c r="BC44" s="155">
        <v>4</v>
      </c>
      <c r="BD44" s="153">
        <v>6</v>
      </c>
      <c r="BE44" s="153">
        <v>0</v>
      </c>
      <c r="BF44" s="154">
        <v>4</v>
      </c>
      <c r="BG44" s="155">
        <v>6</v>
      </c>
      <c r="BH44" s="153">
        <v>0</v>
      </c>
      <c r="BI44" s="153">
        <v>0</v>
      </c>
      <c r="BJ44" s="154">
        <v>0</v>
      </c>
      <c r="BK44" s="155">
        <v>0</v>
      </c>
      <c r="BL44" s="29"/>
      <c r="BM44" s="242"/>
      <c r="BN44" s="46" t="s">
        <v>11</v>
      </c>
      <c r="BO44" s="56" t="s">
        <v>12</v>
      </c>
      <c r="BP44" s="152">
        <v>30</v>
      </c>
      <c r="BQ44" s="153">
        <v>0</v>
      </c>
      <c r="BR44" s="154">
        <v>0</v>
      </c>
      <c r="BS44" s="155">
        <v>0</v>
      </c>
      <c r="BT44" s="153">
        <v>19</v>
      </c>
      <c r="BU44" s="153">
        <v>0</v>
      </c>
      <c r="BV44" s="154">
        <v>0</v>
      </c>
      <c r="BW44" s="155">
        <v>1</v>
      </c>
      <c r="BX44" s="153">
        <v>1</v>
      </c>
      <c r="BY44" s="153">
        <v>0</v>
      </c>
      <c r="BZ44" s="154">
        <v>0</v>
      </c>
      <c r="CA44" s="155">
        <v>0</v>
      </c>
      <c r="CB44" s="29"/>
      <c r="CC44" s="242"/>
      <c r="CD44" s="46" t="s">
        <v>11</v>
      </c>
      <c r="CE44" s="56" t="s">
        <v>12</v>
      </c>
      <c r="CF44" s="152">
        <v>0</v>
      </c>
      <c r="CG44" s="153">
        <v>0</v>
      </c>
      <c r="CH44" s="154">
        <v>3</v>
      </c>
      <c r="CI44" s="155">
        <v>12</v>
      </c>
      <c r="CJ44" s="153">
        <v>0</v>
      </c>
      <c r="CK44" s="153">
        <v>0</v>
      </c>
      <c r="CL44" s="154">
        <v>1</v>
      </c>
      <c r="CM44" s="155">
        <v>6</v>
      </c>
      <c r="CN44" s="153">
        <v>0</v>
      </c>
      <c r="CO44" s="153">
        <v>0</v>
      </c>
      <c r="CP44" s="154">
        <v>0</v>
      </c>
      <c r="CQ44" s="155">
        <v>0</v>
      </c>
      <c r="CR44" s="29"/>
      <c r="CS44" s="242"/>
      <c r="CT44" s="46" t="s">
        <v>11</v>
      </c>
      <c r="CU44" s="56" t="s">
        <v>12</v>
      </c>
      <c r="CV44" s="152">
        <v>0</v>
      </c>
      <c r="CW44" s="153">
        <v>0</v>
      </c>
      <c r="CX44" s="154">
        <v>0</v>
      </c>
      <c r="CY44" s="155">
        <v>2</v>
      </c>
      <c r="CZ44" s="153">
        <v>0</v>
      </c>
      <c r="DA44" s="153">
        <v>0</v>
      </c>
      <c r="DB44" s="154">
        <v>0</v>
      </c>
      <c r="DC44" s="155">
        <v>4</v>
      </c>
      <c r="DD44" s="153">
        <v>0</v>
      </c>
      <c r="DE44" s="153">
        <v>0</v>
      </c>
      <c r="DF44" s="154">
        <v>0</v>
      </c>
      <c r="DG44" s="155">
        <v>0</v>
      </c>
      <c r="DH44" s="29"/>
      <c r="DI44" s="242"/>
      <c r="DJ44" s="46" t="s">
        <v>11</v>
      </c>
      <c r="DK44" s="56" t="s">
        <v>12</v>
      </c>
      <c r="DL44" s="190">
        <v>0</v>
      </c>
      <c r="DM44" s="191">
        <v>0</v>
      </c>
      <c r="DN44" s="192">
        <v>3</v>
      </c>
      <c r="DO44" s="193">
        <v>12</v>
      </c>
      <c r="DP44" s="191">
        <v>0</v>
      </c>
      <c r="DQ44" s="191">
        <v>0</v>
      </c>
      <c r="DR44" s="192">
        <v>1</v>
      </c>
      <c r="DS44" s="193">
        <v>6</v>
      </c>
      <c r="DT44" s="191">
        <v>0</v>
      </c>
      <c r="DU44" s="191">
        <v>0</v>
      </c>
      <c r="DV44" s="192">
        <v>0</v>
      </c>
      <c r="DW44" s="194">
        <v>0</v>
      </c>
      <c r="DX44" s="29"/>
      <c r="DY44" s="242"/>
      <c r="DZ44" s="46" t="s">
        <v>11</v>
      </c>
      <c r="EA44" s="56" t="s">
        <v>12</v>
      </c>
      <c r="EB44" s="214">
        <v>30</v>
      </c>
      <c r="EC44" s="214">
        <v>0</v>
      </c>
      <c r="ED44" s="214">
        <v>0</v>
      </c>
      <c r="EE44" s="215">
        <v>7</v>
      </c>
      <c r="EF44" s="214">
        <v>17</v>
      </c>
      <c r="EG44" s="214">
        <v>0</v>
      </c>
      <c r="EH44" s="214">
        <v>0</v>
      </c>
      <c r="EI44" s="215">
        <v>4</v>
      </c>
      <c r="EJ44" s="214">
        <v>8</v>
      </c>
      <c r="EK44" s="214">
        <v>0</v>
      </c>
      <c r="EL44" s="214">
        <v>0</v>
      </c>
      <c r="EM44" s="215">
        <v>0</v>
      </c>
      <c r="EN44" s="29"/>
      <c r="EO44" s="242"/>
      <c r="EP44" s="46" t="s">
        <v>11</v>
      </c>
      <c r="EQ44" s="56" t="s">
        <v>12</v>
      </c>
      <c r="ER44" s="214">
        <v>30</v>
      </c>
      <c r="ES44" s="214">
        <v>0</v>
      </c>
      <c r="ET44" s="214">
        <v>0</v>
      </c>
      <c r="EU44" s="215">
        <v>8</v>
      </c>
      <c r="EV44" s="214">
        <v>17</v>
      </c>
      <c r="EW44" s="214">
        <v>0</v>
      </c>
      <c r="EX44" s="214">
        <v>0</v>
      </c>
      <c r="EY44" s="215">
        <v>3</v>
      </c>
      <c r="EZ44" s="214">
        <v>8</v>
      </c>
      <c r="FA44" s="214">
        <v>0</v>
      </c>
      <c r="FB44" s="214">
        <v>0</v>
      </c>
      <c r="FC44" s="215">
        <v>0</v>
      </c>
      <c r="FD44" s="29"/>
      <c r="FE44" s="242"/>
      <c r="FF44" s="46" t="s">
        <v>11</v>
      </c>
      <c r="FG44" s="56" t="s">
        <v>12</v>
      </c>
      <c r="FH44" s="48">
        <v>0</v>
      </c>
      <c r="FI44" s="49">
        <v>0</v>
      </c>
      <c r="FJ44" s="50">
        <v>0</v>
      </c>
      <c r="FK44" s="51">
        <v>0</v>
      </c>
      <c r="FL44" s="48">
        <v>0</v>
      </c>
      <c r="FM44" s="49">
        <v>0</v>
      </c>
      <c r="FN44" s="50">
        <v>0</v>
      </c>
      <c r="FO44" s="51">
        <v>0</v>
      </c>
      <c r="FP44" s="48">
        <v>0</v>
      </c>
      <c r="FQ44" s="49">
        <v>0</v>
      </c>
      <c r="FR44" s="50">
        <v>0</v>
      </c>
      <c r="FS44" s="51">
        <v>0</v>
      </c>
      <c r="FT44" s="29"/>
      <c r="FU44" s="242"/>
      <c r="FV44" s="46" t="s">
        <v>11</v>
      </c>
      <c r="FW44" s="56" t="s">
        <v>12</v>
      </c>
      <c r="FX44" s="48">
        <v>0</v>
      </c>
      <c r="FY44" s="49">
        <v>0</v>
      </c>
      <c r="FZ44" s="50">
        <v>0</v>
      </c>
      <c r="GA44" s="51">
        <v>0</v>
      </c>
      <c r="GB44" s="48">
        <v>0</v>
      </c>
      <c r="GC44" s="49">
        <v>0</v>
      </c>
      <c r="GD44" s="50">
        <v>0</v>
      </c>
      <c r="GE44" s="51">
        <v>0</v>
      </c>
      <c r="GF44" s="48">
        <v>0</v>
      </c>
      <c r="GG44" s="49">
        <v>0</v>
      </c>
      <c r="GH44" s="50">
        <v>0</v>
      </c>
      <c r="GI44" s="51">
        <v>0</v>
      </c>
      <c r="GJ44" s="29"/>
      <c r="GK44" s="242"/>
      <c r="GL44" s="46" t="s">
        <v>11</v>
      </c>
      <c r="GM44" s="56" t="s">
        <v>12</v>
      </c>
      <c r="GN44" s="41">
        <f t="shared" si="155"/>
        <v>0</v>
      </c>
      <c r="GO44" s="41">
        <f t="shared" si="146"/>
        <v>6</v>
      </c>
      <c r="GP44" s="41">
        <f t="shared" si="147"/>
        <v>16</v>
      </c>
      <c r="GQ44" s="41">
        <f t="shared" si="148"/>
        <v>78</v>
      </c>
      <c r="GR44" s="41">
        <f t="shared" si="156"/>
        <v>0</v>
      </c>
      <c r="GS44" s="41">
        <f t="shared" si="149"/>
        <v>4</v>
      </c>
      <c r="GT44" s="41">
        <f t="shared" si="150"/>
        <v>17</v>
      </c>
      <c r="GU44" s="41">
        <f t="shared" si="151"/>
        <v>52</v>
      </c>
      <c r="GV44" s="41">
        <f t="shared" si="157"/>
        <v>0</v>
      </c>
      <c r="GW44" s="41">
        <f t="shared" si="152"/>
        <v>0</v>
      </c>
      <c r="GX44" s="41">
        <f t="shared" si="153"/>
        <v>0</v>
      </c>
      <c r="GY44" s="41">
        <f t="shared" si="154"/>
        <v>0</v>
      </c>
      <c r="GZ44" s="29"/>
      <c r="HA44" s="31"/>
      <c r="HN44" s="31"/>
    </row>
    <row r="45" spans="1:222" ht="15" customHeight="1" thickBot="1" x14ac:dyDescent="0.3">
      <c r="A45" s="242"/>
      <c r="B45" s="233" t="s">
        <v>14</v>
      </c>
      <c r="C45" s="234"/>
      <c r="D45" s="58">
        <f t="shared" ref="D45:O45" si="158">SUM(D41:D44)</f>
        <v>0</v>
      </c>
      <c r="E45" s="59">
        <f t="shared" si="158"/>
        <v>52</v>
      </c>
      <c r="F45" s="60">
        <f t="shared" si="158"/>
        <v>78</v>
      </c>
      <c r="G45" s="61">
        <f t="shared" si="158"/>
        <v>594</v>
      </c>
      <c r="H45" s="58">
        <f t="shared" si="158"/>
        <v>0</v>
      </c>
      <c r="I45" s="59">
        <f t="shared" si="158"/>
        <v>49</v>
      </c>
      <c r="J45" s="60">
        <f t="shared" si="158"/>
        <v>27</v>
      </c>
      <c r="K45" s="61">
        <f t="shared" si="158"/>
        <v>345</v>
      </c>
      <c r="L45" s="58">
        <f t="shared" si="158"/>
        <v>0</v>
      </c>
      <c r="M45" s="59">
        <f t="shared" si="158"/>
        <v>28</v>
      </c>
      <c r="N45" s="60">
        <f t="shared" si="158"/>
        <v>0</v>
      </c>
      <c r="O45" s="61">
        <f t="shared" si="158"/>
        <v>0</v>
      </c>
      <c r="P45" s="29"/>
      <c r="Q45" s="242"/>
      <c r="R45" s="233" t="s">
        <v>14</v>
      </c>
      <c r="S45" s="234"/>
      <c r="T45" s="58">
        <f t="shared" ref="T45:AE45" si="159">SUM(T41:T44)</f>
        <v>0</v>
      </c>
      <c r="U45" s="59">
        <f t="shared" si="159"/>
        <v>1</v>
      </c>
      <c r="V45" s="60">
        <f t="shared" si="159"/>
        <v>87</v>
      </c>
      <c r="W45" s="61">
        <f t="shared" si="159"/>
        <v>143</v>
      </c>
      <c r="X45" s="58">
        <f t="shared" si="159"/>
        <v>0</v>
      </c>
      <c r="Y45" s="59">
        <f t="shared" si="159"/>
        <v>0</v>
      </c>
      <c r="Z45" s="60">
        <f t="shared" si="159"/>
        <v>73</v>
      </c>
      <c r="AA45" s="61">
        <f t="shared" si="159"/>
        <v>129</v>
      </c>
      <c r="AB45" s="58">
        <f t="shared" si="159"/>
        <v>0</v>
      </c>
      <c r="AC45" s="59">
        <f t="shared" si="159"/>
        <v>3</v>
      </c>
      <c r="AD45" s="60">
        <f t="shared" si="159"/>
        <v>1</v>
      </c>
      <c r="AE45" s="61">
        <f t="shared" si="159"/>
        <v>0</v>
      </c>
      <c r="AF45" s="29"/>
      <c r="AG45" s="242"/>
      <c r="AH45" s="233" t="s">
        <v>14</v>
      </c>
      <c r="AI45" s="234"/>
      <c r="AJ45" s="169">
        <v>0</v>
      </c>
      <c r="AK45" s="170">
        <v>7</v>
      </c>
      <c r="AL45" s="171">
        <v>35</v>
      </c>
      <c r="AM45" s="172">
        <v>471</v>
      </c>
      <c r="AN45" s="170">
        <v>0</v>
      </c>
      <c r="AO45" s="170">
        <v>0</v>
      </c>
      <c r="AP45" s="171">
        <v>45</v>
      </c>
      <c r="AQ45" s="172">
        <v>235</v>
      </c>
      <c r="AR45" s="170">
        <v>0</v>
      </c>
      <c r="AS45" s="170">
        <v>0</v>
      </c>
      <c r="AT45" s="171">
        <v>0</v>
      </c>
      <c r="AU45" s="172">
        <v>39</v>
      </c>
      <c r="AV45" s="29"/>
      <c r="AW45" s="242"/>
      <c r="AX45" s="233" t="s">
        <v>14</v>
      </c>
      <c r="AY45" s="234"/>
      <c r="AZ45" s="58">
        <f t="shared" ref="AZ45:BK45" si="160">SUM(AZ41:AZ44)</f>
        <v>402</v>
      </c>
      <c r="BA45" s="59">
        <f t="shared" si="160"/>
        <v>21</v>
      </c>
      <c r="BB45" s="60">
        <f t="shared" si="160"/>
        <v>71</v>
      </c>
      <c r="BC45" s="61">
        <f t="shared" si="160"/>
        <v>402</v>
      </c>
      <c r="BD45" s="58">
        <f t="shared" si="160"/>
        <v>315</v>
      </c>
      <c r="BE45" s="59">
        <f t="shared" si="160"/>
        <v>9</v>
      </c>
      <c r="BF45" s="60">
        <f t="shared" si="160"/>
        <v>52</v>
      </c>
      <c r="BG45" s="61">
        <f t="shared" si="160"/>
        <v>315</v>
      </c>
      <c r="BH45" s="58">
        <f t="shared" si="160"/>
        <v>5</v>
      </c>
      <c r="BI45" s="59">
        <f t="shared" si="160"/>
        <v>0</v>
      </c>
      <c r="BJ45" s="60">
        <f t="shared" si="160"/>
        <v>0</v>
      </c>
      <c r="BK45" s="61">
        <f t="shared" si="160"/>
        <v>5</v>
      </c>
      <c r="BL45" s="29"/>
      <c r="BM45" s="242"/>
      <c r="BN45" s="233" t="s">
        <v>14</v>
      </c>
      <c r="BO45" s="234"/>
      <c r="BP45" s="58">
        <f t="shared" ref="BP45:CA45" si="161">SUM(BP41:BP44)</f>
        <v>1002</v>
      </c>
      <c r="BQ45" s="59">
        <f t="shared" si="161"/>
        <v>5</v>
      </c>
      <c r="BR45" s="60">
        <f t="shared" si="161"/>
        <v>0</v>
      </c>
      <c r="BS45" s="61">
        <f t="shared" si="161"/>
        <v>202</v>
      </c>
      <c r="BT45" s="58">
        <f t="shared" si="161"/>
        <v>545</v>
      </c>
      <c r="BU45" s="59">
        <f t="shared" si="161"/>
        <v>7</v>
      </c>
      <c r="BV45" s="60">
        <f t="shared" si="161"/>
        <v>0</v>
      </c>
      <c r="BW45" s="61">
        <f t="shared" si="161"/>
        <v>168</v>
      </c>
      <c r="BX45" s="58">
        <f t="shared" si="161"/>
        <v>153</v>
      </c>
      <c r="BY45" s="59">
        <f t="shared" si="161"/>
        <v>0</v>
      </c>
      <c r="BZ45" s="60">
        <f t="shared" si="161"/>
        <v>0</v>
      </c>
      <c r="CA45" s="61">
        <f t="shared" si="161"/>
        <v>36</v>
      </c>
      <c r="CB45" s="29"/>
      <c r="CC45" s="242"/>
      <c r="CD45" s="233" t="s">
        <v>14</v>
      </c>
      <c r="CE45" s="234"/>
      <c r="CF45" s="169">
        <v>0</v>
      </c>
      <c r="CG45" s="170">
        <v>5</v>
      </c>
      <c r="CH45" s="171">
        <v>64</v>
      </c>
      <c r="CI45" s="172">
        <v>230</v>
      </c>
      <c r="CJ45" s="170">
        <v>0</v>
      </c>
      <c r="CK45" s="170">
        <v>2</v>
      </c>
      <c r="CL45" s="171">
        <v>15</v>
      </c>
      <c r="CM45" s="172">
        <v>159</v>
      </c>
      <c r="CN45" s="170">
        <v>0</v>
      </c>
      <c r="CO45" s="170">
        <v>2</v>
      </c>
      <c r="CP45" s="171">
        <v>0</v>
      </c>
      <c r="CQ45" s="172">
        <v>2</v>
      </c>
      <c r="CR45" s="29"/>
      <c r="CS45" s="242"/>
      <c r="CT45" s="233" t="s">
        <v>14</v>
      </c>
      <c r="CU45" s="234"/>
      <c r="CV45" s="169">
        <v>0</v>
      </c>
      <c r="CW45" s="170">
        <v>17</v>
      </c>
      <c r="CX45" s="171">
        <v>64</v>
      </c>
      <c r="CY45" s="172">
        <v>455</v>
      </c>
      <c r="CZ45" s="170">
        <v>0</v>
      </c>
      <c r="DA45" s="170">
        <v>39</v>
      </c>
      <c r="DB45" s="171">
        <v>31</v>
      </c>
      <c r="DC45" s="172">
        <v>361</v>
      </c>
      <c r="DD45" s="170">
        <v>0</v>
      </c>
      <c r="DE45" s="170">
        <v>0</v>
      </c>
      <c r="DF45" s="171">
        <v>0</v>
      </c>
      <c r="DG45" s="172">
        <v>18</v>
      </c>
      <c r="DH45" s="29"/>
      <c r="DI45" s="242"/>
      <c r="DJ45" s="233" t="s">
        <v>14</v>
      </c>
      <c r="DK45" s="234"/>
      <c r="DL45" s="199">
        <f t="shared" ref="DL45:DW45" si="162">SUM(DL41:DL44)</f>
        <v>0</v>
      </c>
      <c r="DM45" s="200">
        <f t="shared" si="162"/>
        <v>5</v>
      </c>
      <c r="DN45" s="201">
        <f t="shared" si="162"/>
        <v>64</v>
      </c>
      <c r="DO45" s="202">
        <f t="shared" si="162"/>
        <v>230</v>
      </c>
      <c r="DP45" s="199">
        <f t="shared" si="162"/>
        <v>0</v>
      </c>
      <c r="DQ45" s="200">
        <f t="shared" si="162"/>
        <v>2</v>
      </c>
      <c r="DR45" s="201">
        <f t="shared" si="162"/>
        <v>15</v>
      </c>
      <c r="DS45" s="202">
        <f t="shared" si="162"/>
        <v>159</v>
      </c>
      <c r="DT45" s="199">
        <f t="shared" si="162"/>
        <v>0</v>
      </c>
      <c r="DU45" s="200">
        <f t="shared" si="162"/>
        <v>2</v>
      </c>
      <c r="DV45" s="201">
        <f t="shared" si="162"/>
        <v>0</v>
      </c>
      <c r="DW45" s="202">
        <f t="shared" si="162"/>
        <v>0</v>
      </c>
      <c r="DX45" s="29"/>
      <c r="DY45" s="242"/>
      <c r="DZ45" s="233" t="s">
        <v>14</v>
      </c>
      <c r="EA45" s="234"/>
      <c r="EB45" s="216">
        <f t="shared" ref="EB45:EM45" si="163">SUM(EB41:EB44)</f>
        <v>967</v>
      </c>
      <c r="EC45" s="216">
        <f t="shared" si="163"/>
        <v>6</v>
      </c>
      <c r="ED45" s="216">
        <f t="shared" si="163"/>
        <v>0</v>
      </c>
      <c r="EE45" s="217">
        <f t="shared" si="163"/>
        <v>123</v>
      </c>
      <c r="EF45" s="216">
        <f t="shared" si="163"/>
        <v>597</v>
      </c>
      <c r="EG45" s="216">
        <f t="shared" si="163"/>
        <v>14</v>
      </c>
      <c r="EH45" s="216">
        <f t="shared" si="163"/>
        <v>0</v>
      </c>
      <c r="EI45" s="217">
        <f t="shared" si="163"/>
        <v>98</v>
      </c>
      <c r="EJ45" s="216">
        <f t="shared" si="163"/>
        <v>152</v>
      </c>
      <c r="EK45" s="216">
        <f t="shared" si="163"/>
        <v>0</v>
      </c>
      <c r="EL45" s="216">
        <f t="shared" si="163"/>
        <v>0</v>
      </c>
      <c r="EM45" s="217">
        <f t="shared" si="163"/>
        <v>9</v>
      </c>
      <c r="EN45" s="29"/>
      <c r="EO45" s="242"/>
      <c r="EP45" s="233" t="s">
        <v>14</v>
      </c>
      <c r="EQ45" s="234"/>
      <c r="ER45" s="216">
        <f t="shared" ref="ER45:FC45" si="164">SUM(ER41:ER44)</f>
        <v>967</v>
      </c>
      <c r="ES45" s="216">
        <f t="shared" si="164"/>
        <v>6</v>
      </c>
      <c r="ET45" s="216">
        <f t="shared" si="164"/>
        <v>0</v>
      </c>
      <c r="EU45" s="217">
        <f t="shared" si="164"/>
        <v>122</v>
      </c>
      <c r="EV45" s="216">
        <f t="shared" si="164"/>
        <v>597</v>
      </c>
      <c r="EW45" s="216">
        <f t="shared" si="164"/>
        <v>14</v>
      </c>
      <c r="EX45" s="216">
        <f t="shared" si="164"/>
        <v>0</v>
      </c>
      <c r="EY45" s="217">
        <f t="shared" si="164"/>
        <v>92</v>
      </c>
      <c r="EZ45" s="216">
        <f t="shared" si="164"/>
        <v>152</v>
      </c>
      <c r="FA45" s="216">
        <f t="shared" si="164"/>
        <v>0</v>
      </c>
      <c r="FB45" s="216">
        <f t="shared" si="164"/>
        <v>0</v>
      </c>
      <c r="FC45" s="217">
        <f t="shared" si="164"/>
        <v>0</v>
      </c>
      <c r="FD45" s="29"/>
      <c r="FE45" s="242"/>
      <c r="FF45" s="233" t="s">
        <v>14</v>
      </c>
      <c r="FG45" s="234"/>
      <c r="FH45" s="58">
        <f t="shared" ref="FH45:FS45" si="165">SUM(FH41:FH44)</f>
        <v>0</v>
      </c>
      <c r="FI45" s="59">
        <f t="shared" si="165"/>
        <v>0</v>
      </c>
      <c r="FJ45" s="60">
        <f t="shared" si="165"/>
        <v>0</v>
      </c>
      <c r="FK45" s="61">
        <f t="shared" si="165"/>
        <v>0</v>
      </c>
      <c r="FL45" s="58">
        <f t="shared" si="165"/>
        <v>0</v>
      </c>
      <c r="FM45" s="59">
        <f t="shared" si="165"/>
        <v>0</v>
      </c>
      <c r="FN45" s="60">
        <f t="shared" si="165"/>
        <v>0</v>
      </c>
      <c r="FO45" s="61">
        <f t="shared" si="165"/>
        <v>0</v>
      </c>
      <c r="FP45" s="58">
        <f t="shared" si="165"/>
        <v>0</v>
      </c>
      <c r="FQ45" s="59">
        <f t="shared" si="165"/>
        <v>0</v>
      </c>
      <c r="FR45" s="60">
        <f t="shared" si="165"/>
        <v>0</v>
      </c>
      <c r="FS45" s="61">
        <f t="shared" si="165"/>
        <v>0</v>
      </c>
      <c r="FT45" s="29"/>
      <c r="FU45" s="242"/>
      <c r="FV45" s="233" t="s">
        <v>14</v>
      </c>
      <c r="FW45" s="234"/>
      <c r="FX45" s="58">
        <f t="shared" ref="FX45:GI45" si="166">SUM(FX41:FX44)</f>
        <v>0</v>
      </c>
      <c r="FY45" s="59">
        <f t="shared" si="166"/>
        <v>0</v>
      </c>
      <c r="FZ45" s="60">
        <f t="shared" si="166"/>
        <v>0</v>
      </c>
      <c r="GA45" s="61">
        <f t="shared" si="166"/>
        <v>0</v>
      </c>
      <c r="GB45" s="58">
        <f t="shared" si="166"/>
        <v>0</v>
      </c>
      <c r="GC45" s="59">
        <f t="shared" si="166"/>
        <v>0</v>
      </c>
      <c r="GD45" s="60">
        <f t="shared" si="166"/>
        <v>0</v>
      </c>
      <c r="GE45" s="61">
        <f t="shared" si="166"/>
        <v>0</v>
      </c>
      <c r="GF45" s="58">
        <f t="shared" si="166"/>
        <v>0</v>
      </c>
      <c r="GG45" s="59">
        <f t="shared" si="166"/>
        <v>0</v>
      </c>
      <c r="GH45" s="60">
        <f t="shared" si="166"/>
        <v>0</v>
      </c>
      <c r="GI45" s="61">
        <f t="shared" si="166"/>
        <v>0</v>
      </c>
      <c r="GJ45" s="29"/>
      <c r="GK45" s="242"/>
      <c r="GL45" s="233" t="s">
        <v>14</v>
      </c>
      <c r="GM45" s="234"/>
      <c r="GN45" s="62">
        <f t="shared" ref="GN45:GY45" si="167">SUM(GN41:GN44)</f>
        <v>0</v>
      </c>
      <c r="GO45" s="63">
        <f t="shared" si="167"/>
        <v>125</v>
      </c>
      <c r="GP45" s="64">
        <f t="shared" si="167"/>
        <v>463</v>
      </c>
      <c r="GQ45" s="64">
        <f t="shared" si="167"/>
        <v>2972</v>
      </c>
      <c r="GR45" s="62">
        <f t="shared" si="167"/>
        <v>0</v>
      </c>
      <c r="GS45" s="63">
        <f t="shared" si="167"/>
        <v>136</v>
      </c>
      <c r="GT45" s="64">
        <f t="shared" si="167"/>
        <v>258</v>
      </c>
      <c r="GU45" s="64">
        <f t="shared" si="167"/>
        <v>2061</v>
      </c>
      <c r="GV45" s="62">
        <f t="shared" si="167"/>
        <v>0</v>
      </c>
      <c r="GW45" s="63">
        <f t="shared" si="167"/>
        <v>35</v>
      </c>
      <c r="GX45" s="64">
        <f t="shared" si="167"/>
        <v>1</v>
      </c>
      <c r="GY45" s="64">
        <f t="shared" si="167"/>
        <v>109</v>
      </c>
      <c r="GZ45" s="29"/>
      <c r="HA45" s="31"/>
      <c r="HN45" s="31"/>
    </row>
    <row r="46" spans="1:222" ht="15" customHeight="1" thickTop="1" thickBot="1" x14ac:dyDescent="0.3">
      <c r="A46" s="243"/>
      <c r="B46" s="65" t="s">
        <v>15</v>
      </c>
      <c r="C46" s="65"/>
      <c r="D46" s="66"/>
      <c r="E46" s="66" t="s">
        <v>2</v>
      </c>
      <c r="F46" s="66"/>
      <c r="G46" s="66">
        <v>0</v>
      </c>
      <c r="H46" s="66"/>
      <c r="I46" s="66" t="s">
        <v>16</v>
      </c>
      <c r="J46" s="66"/>
      <c r="K46" s="66">
        <v>0</v>
      </c>
      <c r="L46" s="66"/>
      <c r="M46" s="66" t="s">
        <v>17</v>
      </c>
      <c r="N46" s="232">
        <v>0</v>
      </c>
      <c r="O46" s="232"/>
      <c r="P46" s="29"/>
      <c r="Q46" s="243"/>
      <c r="R46" s="65" t="s">
        <v>15</v>
      </c>
      <c r="S46" s="65"/>
      <c r="T46" s="66"/>
      <c r="U46" s="66" t="s">
        <v>2</v>
      </c>
      <c r="V46" s="66"/>
      <c r="W46" s="66">
        <v>0</v>
      </c>
      <c r="X46" s="66"/>
      <c r="Y46" s="66" t="s">
        <v>16</v>
      </c>
      <c r="Z46" s="66"/>
      <c r="AA46" s="66">
        <v>0</v>
      </c>
      <c r="AB46" s="66"/>
      <c r="AC46" s="66" t="s">
        <v>17</v>
      </c>
      <c r="AD46" s="232">
        <v>0</v>
      </c>
      <c r="AE46" s="232"/>
      <c r="AF46" s="29"/>
      <c r="AG46" s="243"/>
      <c r="AH46" s="65" t="s">
        <v>15</v>
      </c>
      <c r="AI46" s="65"/>
      <c r="AJ46" s="173"/>
      <c r="AK46" s="174" t="s">
        <v>2</v>
      </c>
      <c r="AL46" s="173"/>
      <c r="AM46" s="175">
        <v>0</v>
      </c>
      <c r="AN46" s="173"/>
      <c r="AO46" s="174" t="s">
        <v>16</v>
      </c>
      <c r="AP46" s="173"/>
      <c r="AQ46" s="175">
        <v>0</v>
      </c>
      <c r="AR46" s="173"/>
      <c r="AS46" s="175" t="s">
        <v>17</v>
      </c>
      <c r="AT46" s="249">
        <v>0</v>
      </c>
      <c r="AU46" s="250"/>
      <c r="AV46" s="29"/>
      <c r="AW46" s="243"/>
      <c r="AX46" s="65" t="s">
        <v>15</v>
      </c>
      <c r="AY46" s="65"/>
      <c r="AZ46" s="66"/>
      <c r="BA46" s="66" t="s">
        <v>2</v>
      </c>
      <c r="BB46" s="66"/>
      <c r="BC46" s="66">
        <v>0</v>
      </c>
      <c r="BD46" s="66"/>
      <c r="BE46" s="66" t="s">
        <v>16</v>
      </c>
      <c r="BF46" s="66"/>
      <c r="BG46" s="66">
        <v>0</v>
      </c>
      <c r="BH46" s="66"/>
      <c r="BI46" s="66" t="s">
        <v>17</v>
      </c>
      <c r="BJ46" s="232">
        <v>0</v>
      </c>
      <c r="BK46" s="232"/>
      <c r="BL46" s="29"/>
      <c r="BM46" s="243"/>
      <c r="BN46" s="65" t="s">
        <v>15</v>
      </c>
      <c r="BO46" s="65"/>
      <c r="BP46" s="66"/>
      <c r="BQ46" s="66" t="s">
        <v>2</v>
      </c>
      <c r="BR46" s="66"/>
      <c r="BS46" s="66">
        <v>0</v>
      </c>
      <c r="BT46" s="66"/>
      <c r="BU46" s="66" t="s">
        <v>16</v>
      </c>
      <c r="BV46" s="66"/>
      <c r="BW46" s="66">
        <v>0</v>
      </c>
      <c r="BX46" s="66"/>
      <c r="BY46" s="66" t="s">
        <v>17</v>
      </c>
      <c r="BZ46" s="232">
        <v>0</v>
      </c>
      <c r="CA46" s="232"/>
      <c r="CB46" s="29"/>
      <c r="CC46" s="243"/>
      <c r="CD46" s="65" t="s">
        <v>15</v>
      </c>
      <c r="CE46" s="65"/>
      <c r="CF46" s="173"/>
      <c r="CG46" s="174" t="s">
        <v>2</v>
      </c>
      <c r="CH46" s="173"/>
      <c r="CI46" s="175">
        <v>0</v>
      </c>
      <c r="CJ46" s="173"/>
      <c r="CK46" s="174" t="s">
        <v>16</v>
      </c>
      <c r="CL46" s="173"/>
      <c r="CM46" s="175">
        <v>0</v>
      </c>
      <c r="CN46" s="173"/>
      <c r="CO46" s="175" t="s">
        <v>17</v>
      </c>
      <c r="CP46" s="249">
        <v>0</v>
      </c>
      <c r="CQ46" s="250"/>
      <c r="CR46" s="29"/>
      <c r="CS46" s="243"/>
      <c r="CT46" s="65" t="s">
        <v>15</v>
      </c>
      <c r="CU46" s="65"/>
      <c r="CV46" s="173"/>
      <c r="CW46" s="174" t="s">
        <v>2</v>
      </c>
      <c r="CX46" s="173"/>
      <c r="CY46" s="175">
        <v>0</v>
      </c>
      <c r="CZ46" s="173"/>
      <c r="DA46" s="174" t="s">
        <v>16</v>
      </c>
      <c r="DB46" s="173"/>
      <c r="DC46" s="175">
        <v>0</v>
      </c>
      <c r="DD46" s="173"/>
      <c r="DE46" s="175" t="s">
        <v>17</v>
      </c>
      <c r="DF46" s="249">
        <v>0</v>
      </c>
      <c r="DG46" s="250"/>
      <c r="DH46" s="29"/>
      <c r="DI46" s="243"/>
      <c r="DJ46" s="65" t="s">
        <v>15</v>
      </c>
      <c r="DK46" s="65"/>
      <c r="DL46" s="203"/>
      <c r="DM46" s="203" t="s">
        <v>2</v>
      </c>
      <c r="DN46" s="203"/>
      <c r="DO46" s="203">
        <v>0</v>
      </c>
      <c r="DP46" s="203"/>
      <c r="DQ46" s="203" t="s">
        <v>16</v>
      </c>
      <c r="DR46" s="203"/>
      <c r="DS46" s="203">
        <v>0</v>
      </c>
      <c r="DT46" s="203"/>
      <c r="DU46" s="203" t="s">
        <v>17</v>
      </c>
      <c r="DV46" s="247">
        <v>0</v>
      </c>
      <c r="DW46" s="248"/>
      <c r="DX46" s="29"/>
      <c r="DY46" s="243"/>
      <c r="DZ46" s="65" t="s">
        <v>15</v>
      </c>
      <c r="EA46" s="65"/>
      <c r="EB46" s="218"/>
      <c r="EC46" s="219" t="s">
        <v>2</v>
      </c>
      <c r="ED46" s="218"/>
      <c r="EE46" s="218">
        <v>0</v>
      </c>
      <c r="EF46" s="218"/>
      <c r="EG46" s="219" t="s">
        <v>16</v>
      </c>
      <c r="EH46" s="218"/>
      <c r="EI46" s="218">
        <v>0</v>
      </c>
      <c r="EJ46" s="218"/>
      <c r="EK46" s="219" t="s">
        <v>17</v>
      </c>
      <c r="EL46" s="251">
        <v>0</v>
      </c>
      <c r="EM46" s="252"/>
      <c r="EN46" s="29"/>
      <c r="EO46" s="243"/>
      <c r="EP46" s="65" t="s">
        <v>15</v>
      </c>
      <c r="EQ46" s="65"/>
      <c r="ER46" s="218"/>
      <c r="ES46" s="219" t="s">
        <v>2</v>
      </c>
      <c r="ET46" s="218"/>
      <c r="EU46" s="218">
        <v>0</v>
      </c>
      <c r="EV46" s="218"/>
      <c r="EW46" s="219" t="s">
        <v>16</v>
      </c>
      <c r="EX46" s="218"/>
      <c r="EY46" s="218">
        <v>0</v>
      </c>
      <c r="EZ46" s="218"/>
      <c r="FA46" s="219" t="s">
        <v>17</v>
      </c>
      <c r="FB46" s="251">
        <v>0</v>
      </c>
      <c r="FC46" s="252"/>
      <c r="FD46" s="29"/>
      <c r="FE46" s="243"/>
      <c r="FF46" s="65" t="s">
        <v>15</v>
      </c>
      <c r="FG46" s="65"/>
      <c r="FH46" s="66"/>
      <c r="FI46" s="66" t="s">
        <v>2</v>
      </c>
      <c r="FJ46" s="66"/>
      <c r="FK46" s="66">
        <v>0</v>
      </c>
      <c r="FL46" s="66"/>
      <c r="FM46" s="66" t="s">
        <v>16</v>
      </c>
      <c r="FN46" s="66"/>
      <c r="FO46" s="66">
        <v>0</v>
      </c>
      <c r="FP46" s="66"/>
      <c r="FQ46" s="66" t="s">
        <v>17</v>
      </c>
      <c r="FR46" s="232">
        <v>0</v>
      </c>
      <c r="FS46" s="232"/>
      <c r="FT46" s="29"/>
      <c r="FU46" s="243"/>
      <c r="FV46" s="65" t="s">
        <v>15</v>
      </c>
      <c r="FW46" s="65"/>
      <c r="FX46" s="66"/>
      <c r="FY46" s="66" t="s">
        <v>2</v>
      </c>
      <c r="FZ46" s="66"/>
      <c r="GA46" s="66">
        <v>0</v>
      </c>
      <c r="GB46" s="66"/>
      <c r="GC46" s="66" t="s">
        <v>16</v>
      </c>
      <c r="GD46" s="66"/>
      <c r="GE46" s="66">
        <v>0</v>
      </c>
      <c r="GF46" s="66"/>
      <c r="GG46" s="66" t="s">
        <v>17</v>
      </c>
      <c r="GH46" s="232">
        <v>0</v>
      </c>
      <c r="GI46" s="232"/>
      <c r="GJ46" s="29"/>
      <c r="GK46" s="243"/>
      <c r="GL46" s="65" t="s">
        <v>15</v>
      </c>
      <c r="GM46" s="65"/>
      <c r="GN46" s="66"/>
      <c r="GO46" s="66" t="s">
        <v>2</v>
      </c>
      <c r="GP46" s="66"/>
      <c r="GQ46" s="66"/>
      <c r="GR46" s="66">
        <f>G46+W46+AM46+BC46+BS46+CI46+CY46+DO46+EE46+EU46+FK46+GA46</f>
        <v>0</v>
      </c>
      <c r="GS46" s="66" t="s">
        <v>16</v>
      </c>
      <c r="GT46" s="66"/>
      <c r="GU46" s="66"/>
      <c r="GV46" s="66">
        <f>K46+AA46+AQ46+BG46+BW46+CM46+DC46+DS46+EI46+EY46+FO46+GE46</f>
        <v>0</v>
      </c>
      <c r="GW46" s="66" t="s">
        <v>17</v>
      </c>
      <c r="GX46" s="66"/>
      <c r="GY46" s="66">
        <f>N46+AD46+AT46+BJ46+BZ46+CP46+DF46+DV46+EL46+FB46+FR46+GH46</f>
        <v>0</v>
      </c>
      <c r="GZ46" s="29"/>
      <c r="HA46" s="31"/>
      <c r="HN46" s="31"/>
    </row>
    <row r="47" spans="1:222" ht="15" customHeight="1" thickTop="1" thickBot="1" x14ac:dyDescent="0.3">
      <c r="A47" s="241" t="s">
        <v>35</v>
      </c>
      <c r="B47" s="38"/>
      <c r="C47" s="39" t="s">
        <v>10</v>
      </c>
      <c r="D47" s="148">
        <v>298</v>
      </c>
      <c r="E47" s="149">
        <v>0</v>
      </c>
      <c r="F47" s="150">
        <v>6</v>
      </c>
      <c r="G47" s="151">
        <v>44</v>
      </c>
      <c r="H47" s="149">
        <v>623</v>
      </c>
      <c r="I47" s="149">
        <v>1</v>
      </c>
      <c r="J47" s="150">
        <v>4</v>
      </c>
      <c r="K47" s="151">
        <v>31</v>
      </c>
      <c r="L47" s="149">
        <v>0</v>
      </c>
      <c r="M47" s="149">
        <v>0</v>
      </c>
      <c r="N47" s="150">
        <v>0</v>
      </c>
      <c r="O47" s="43">
        <v>0</v>
      </c>
      <c r="P47" s="29"/>
      <c r="Q47" s="241" t="s">
        <v>35</v>
      </c>
      <c r="R47" s="38"/>
      <c r="S47" s="39" t="s">
        <v>10</v>
      </c>
      <c r="T47" s="148">
        <v>298</v>
      </c>
      <c r="U47" s="149">
        <v>2</v>
      </c>
      <c r="V47" s="150">
        <v>6</v>
      </c>
      <c r="W47" s="151">
        <v>44</v>
      </c>
      <c r="X47" s="149">
        <v>624</v>
      </c>
      <c r="Y47" s="149">
        <v>3</v>
      </c>
      <c r="Z47" s="150">
        <v>4</v>
      </c>
      <c r="AA47" s="151">
        <v>31</v>
      </c>
      <c r="AB47" s="149">
        <v>3</v>
      </c>
      <c r="AC47" s="149">
        <v>0</v>
      </c>
      <c r="AD47" s="150">
        <v>0</v>
      </c>
      <c r="AE47" s="151">
        <v>18</v>
      </c>
      <c r="AF47" s="29"/>
      <c r="AG47" s="241" t="s">
        <v>35</v>
      </c>
      <c r="AH47" s="38"/>
      <c r="AI47" s="39" t="s">
        <v>10</v>
      </c>
      <c r="AJ47" s="156">
        <v>331</v>
      </c>
      <c r="AK47" s="157">
        <v>0</v>
      </c>
      <c r="AL47" s="158">
        <v>1</v>
      </c>
      <c r="AM47" s="159">
        <v>67</v>
      </c>
      <c r="AN47" s="157">
        <v>302</v>
      </c>
      <c r="AO47" s="157">
        <v>0</v>
      </c>
      <c r="AP47" s="158">
        <v>2</v>
      </c>
      <c r="AQ47" s="159">
        <v>64</v>
      </c>
      <c r="AR47" s="157">
        <v>0</v>
      </c>
      <c r="AS47" s="157">
        <v>0</v>
      </c>
      <c r="AT47" s="158">
        <v>0</v>
      </c>
      <c r="AU47" s="159">
        <v>0</v>
      </c>
      <c r="AV47" s="29"/>
      <c r="AW47" s="241" t="s">
        <v>35</v>
      </c>
      <c r="AX47" s="38"/>
      <c r="AY47" s="39" t="s">
        <v>10</v>
      </c>
      <c r="AZ47" s="148">
        <v>322</v>
      </c>
      <c r="BA47" s="149">
        <v>2</v>
      </c>
      <c r="BB47" s="150">
        <v>20</v>
      </c>
      <c r="BC47" s="151">
        <v>190</v>
      </c>
      <c r="BD47" s="149">
        <v>292</v>
      </c>
      <c r="BE47" s="149">
        <v>3</v>
      </c>
      <c r="BF47" s="150">
        <v>5</v>
      </c>
      <c r="BG47" s="151">
        <v>170</v>
      </c>
      <c r="BH47" s="149">
        <v>0</v>
      </c>
      <c r="BI47" s="149">
        <v>0</v>
      </c>
      <c r="BJ47" s="150">
        <v>0</v>
      </c>
      <c r="BK47" s="151">
        <v>0</v>
      </c>
      <c r="BL47" s="29"/>
      <c r="BM47" s="241" t="s">
        <v>35</v>
      </c>
      <c r="BN47" s="38"/>
      <c r="BO47" s="39" t="s">
        <v>10</v>
      </c>
      <c r="BP47" s="148">
        <v>291</v>
      </c>
      <c r="BQ47" s="149">
        <v>0</v>
      </c>
      <c r="BR47" s="150">
        <v>12</v>
      </c>
      <c r="BS47" s="151">
        <v>75</v>
      </c>
      <c r="BT47" s="149">
        <v>620</v>
      </c>
      <c r="BU47" s="149">
        <v>0</v>
      </c>
      <c r="BV47" s="150">
        <v>13</v>
      </c>
      <c r="BW47" s="151">
        <v>59</v>
      </c>
      <c r="BX47" s="149">
        <v>0</v>
      </c>
      <c r="BY47" s="149">
        <v>0</v>
      </c>
      <c r="BZ47" s="150">
        <v>0</v>
      </c>
      <c r="CA47" s="151">
        <v>0</v>
      </c>
      <c r="CB47" s="29"/>
      <c r="CC47" s="241" t="s">
        <v>35</v>
      </c>
      <c r="CD47" s="38"/>
      <c r="CE47" s="39" t="s">
        <v>10</v>
      </c>
      <c r="CF47" s="156">
        <v>332</v>
      </c>
      <c r="CG47" s="157">
        <v>2</v>
      </c>
      <c r="CH47" s="158">
        <v>9</v>
      </c>
      <c r="CI47" s="159">
        <v>142</v>
      </c>
      <c r="CJ47" s="157">
        <v>304</v>
      </c>
      <c r="CK47" s="157">
        <v>0</v>
      </c>
      <c r="CL47" s="158">
        <v>7</v>
      </c>
      <c r="CM47" s="159">
        <v>170</v>
      </c>
      <c r="CN47" s="157">
        <v>0</v>
      </c>
      <c r="CO47" s="157">
        <v>0</v>
      </c>
      <c r="CP47" s="158">
        <v>0</v>
      </c>
      <c r="CQ47" s="159">
        <v>0</v>
      </c>
      <c r="CR47" s="29"/>
      <c r="CS47" s="241" t="s">
        <v>35</v>
      </c>
      <c r="CT47" s="38"/>
      <c r="CU47" s="39" t="s">
        <v>10</v>
      </c>
      <c r="CV47" s="156">
        <v>298</v>
      </c>
      <c r="CW47" s="157">
        <v>0</v>
      </c>
      <c r="CX47" s="158">
        <v>6</v>
      </c>
      <c r="CY47" s="159">
        <v>44</v>
      </c>
      <c r="CZ47" s="157">
        <v>624</v>
      </c>
      <c r="DA47" s="157">
        <v>1</v>
      </c>
      <c r="DB47" s="158">
        <v>4</v>
      </c>
      <c r="DC47" s="159">
        <v>31</v>
      </c>
      <c r="DD47" s="157">
        <v>0</v>
      </c>
      <c r="DE47" s="157">
        <v>0</v>
      </c>
      <c r="DF47" s="158">
        <v>0</v>
      </c>
      <c r="DG47" s="159">
        <v>0</v>
      </c>
      <c r="DH47" s="29"/>
      <c r="DI47" s="241" t="s">
        <v>35</v>
      </c>
      <c r="DJ47" s="38"/>
      <c r="DK47" s="39" t="s">
        <v>10</v>
      </c>
      <c r="DL47" s="185">
        <v>332</v>
      </c>
      <c r="DM47" s="186">
        <v>2</v>
      </c>
      <c r="DN47" s="187">
        <v>9</v>
      </c>
      <c r="DO47" s="188">
        <v>142</v>
      </c>
      <c r="DP47" s="186">
        <v>304</v>
      </c>
      <c r="DQ47" s="186">
        <v>0</v>
      </c>
      <c r="DR47" s="187">
        <v>7</v>
      </c>
      <c r="DS47" s="188">
        <v>170</v>
      </c>
      <c r="DT47" s="186">
        <v>0</v>
      </c>
      <c r="DU47" s="186">
        <v>0</v>
      </c>
      <c r="DV47" s="187">
        <v>0</v>
      </c>
      <c r="DW47" s="188">
        <v>0</v>
      </c>
      <c r="DX47" s="29"/>
      <c r="DY47" s="241" t="s">
        <v>35</v>
      </c>
      <c r="DZ47" s="38"/>
      <c r="EA47" s="39" t="s">
        <v>10</v>
      </c>
      <c r="EB47" s="220">
        <v>648</v>
      </c>
      <c r="EC47" s="221">
        <v>0</v>
      </c>
      <c r="ED47" s="222">
        <v>9</v>
      </c>
      <c r="EE47" s="223">
        <v>87</v>
      </c>
      <c r="EF47" s="220">
        <v>311</v>
      </c>
      <c r="EG47" s="221">
        <v>0</v>
      </c>
      <c r="EH47" s="222">
        <v>6</v>
      </c>
      <c r="EI47" s="223">
        <v>58</v>
      </c>
      <c r="EJ47" s="221">
        <v>36</v>
      </c>
      <c r="EK47" s="221">
        <v>0</v>
      </c>
      <c r="EL47" s="222">
        <v>0</v>
      </c>
      <c r="EM47" s="189">
        <v>0</v>
      </c>
      <c r="EN47" s="29"/>
      <c r="EO47" s="241" t="s">
        <v>35</v>
      </c>
      <c r="EP47" s="38"/>
      <c r="EQ47" s="39" t="s">
        <v>10</v>
      </c>
      <c r="ER47" s="220">
        <v>648</v>
      </c>
      <c r="ES47" s="221">
        <v>0</v>
      </c>
      <c r="ET47" s="222">
        <v>9</v>
      </c>
      <c r="EU47" s="223">
        <v>77</v>
      </c>
      <c r="EV47" s="220">
        <v>311</v>
      </c>
      <c r="EW47" s="221">
        <v>0</v>
      </c>
      <c r="EX47" s="222">
        <v>6</v>
      </c>
      <c r="EY47" s="223">
        <v>50</v>
      </c>
      <c r="EZ47" s="221">
        <v>36</v>
      </c>
      <c r="FA47" s="221">
        <v>0</v>
      </c>
      <c r="FB47" s="222">
        <v>0</v>
      </c>
      <c r="FC47" s="189">
        <v>0</v>
      </c>
      <c r="FD47" s="29"/>
      <c r="FE47" s="241" t="s">
        <v>35</v>
      </c>
      <c r="FF47" s="38"/>
      <c r="FG47" s="39" t="s">
        <v>10</v>
      </c>
      <c r="FH47" s="40">
        <v>0</v>
      </c>
      <c r="FI47" s="41">
        <v>0</v>
      </c>
      <c r="FJ47" s="42">
        <v>0</v>
      </c>
      <c r="FK47" s="43">
        <v>0</v>
      </c>
      <c r="FL47" s="40">
        <v>0</v>
      </c>
      <c r="FM47" s="41">
        <v>0</v>
      </c>
      <c r="FN47" s="42">
        <v>0</v>
      </c>
      <c r="FO47" s="43">
        <v>0</v>
      </c>
      <c r="FP47" s="40">
        <v>0</v>
      </c>
      <c r="FQ47" s="41">
        <v>0</v>
      </c>
      <c r="FR47" s="42">
        <v>0</v>
      </c>
      <c r="FS47" s="43">
        <v>0</v>
      </c>
      <c r="FT47" s="29"/>
      <c r="FU47" s="241" t="s">
        <v>35</v>
      </c>
      <c r="FV47" s="38"/>
      <c r="FW47" s="39" t="s">
        <v>10</v>
      </c>
      <c r="FX47" s="40">
        <v>0</v>
      </c>
      <c r="FY47" s="41">
        <v>0</v>
      </c>
      <c r="FZ47" s="42">
        <v>0</v>
      </c>
      <c r="GA47" s="43">
        <v>0</v>
      </c>
      <c r="GB47" s="40">
        <v>0</v>
      </c>
      <c r="GC47" s="41">
        <v>0</v>
      </c>
      <c r="GD47" s="42">
        <v>0</v>
      </c>
      <c r="GE47" s="43">
        <v>0</v>
      </c>
      <c r="GF47" s="40">
        <v>0</v>
      </c>
      <c r="GG47" s="41">
        <v>0</v>
      </c>
      <c r="GH47" s="42">
        <v>0</v>
      </c>
      <c r="GI47" s="43">
        <v>0</v>
      </c>
      <c r="GJ47" s="29"/>
      <c r="GK47" s="241" t="str">
        <f t="shared" ref="GK47" si="168">FU47</f>
        <v>الواحة</v>
      </c>
      <c r="GL47" s="38"/>
      <c r="GM47" s="39" t="s">
        <v>10</v>
      </c>
      <c r="GN47" s="41">
        <f>FX47</f>
        <v>0</v>
      </c>
      <c r="GO47" s="41">
        <f t="shared" ref="GO47:GO50" si="169">E47+U47+AK47+BA47+BQ47+CG47++CW47+DM47+EC47+ES47+FI47+FY47</f>
        <v>8</v>
      </c>
      <c r="GP47" s="41">
        <f t="shared" ref="GP47:GP50" si="170">F47+V47+AL47+BB47+BR47+CH47++CX47+DN47+ED47+ET47+FJ47+FZ47</f>
        <v>87</v>
      </c>
      <c r="GQ47" s="41">
        <f t="shared" ref="GQ47:GQ50" si="171">G47+W47+AM47+BC47+BS47+CI47++CY47+DO47+EE47+EU47+FK47+GA47</f>
        <v>912</v>
      </c>
      <c r="GR47" s="41">
        <f>GB47</f>
        <v>0</v>
      </c>
      <c r="GS47" s="41">
        <f t="shared" ref="GS47:GS50" si="172">I47+Y47+AO47+BE47+BU47+CK47++DA47+DQ47+EG47+EW47+FM47+GC47</f>
        <v>8</v>
      </c>
      <c r="GT47" s="41">
        <f t="shared" ref="GT47:GT50" si="173">J47+Z47+AP47+BF47+BV47+CL47++DB47+DR47+EH47+EX47+FN47+GD47</f>
        <v>58</v>
      </c>
      <c r="GU47" s="41">
        <f t="shared" ref="GU47:GU50" si="174">K47+AA47+AQ47+BG47+BW47+CM47++DC47+DS47+EI47+EY47+FO47+GE47</f>
        <v>834</v>
      </c>
      <c r="GV47" s="41">
        <f>GF47</f>
        <v>0</v>
      </c>
      <c r="GW47" s="41">
        <f t="shared" ref="GW47:GW50" si="175">M47+AC47+AS47+BI47+BY47+CO47++DE47+DU47+EK47+FA47+FQ47+GG47</f>
        <v>0</v>
      </c>
      <c r="GX47" s="41">
        <f t="shared" ref="GX47:GX50" si="176">N47+AD47+AT47+BJ47+BZ47+CP47++DF47+DV47+EL47+FB47+FR47+GH47</f>
        <v>0</v>
      </c>
      <c r="GY47" s="41">
        <f t="shared" ref="GY47:GY50" si="177">O47+AE47+AU47+BK47+CA47+CQ47++DG47+DW47+EM47+FC47+FS47+GI47</f>
        <v>18</v>
      </c>
      <c r="GZ47" s="29"/>
      <c r="HA47" s="31"/>
      <c r="HN47" s="31"/>
    </row>
    <row r="48" spans="1:222" ht="15" customHeight="1" thickBot="1" x14ac:dyDescent="0.3">
      <c r="A48" s="242"/>
      <c r="B48" s="46" t="s">
        <v>11</v>
      </c>
      <c r="C48" s="47" t="s">
        <v>12</v>
      </c>
      <c r="D48" s="152">
        <v>539</v>
      </c>
      <c r="E48" s="153">
        <v>2</v>
      </c>
      <c r="F48" s="154">
        <v>12</v>
      </c>
      <c r="G48" s="155">
        <v>58</v>
      </c>
      <c r="H48" s="153">
        <v>678</v>
      </c>
      <c r="I48" s="153">
        <v>2</v>
      </c>
      <c r="J48" s="154">
        <v>9</v>
      </c>
      <c r="K48" s="155">
        <v>44</v>
      </c>
      <c r="L48" s="153">
        <v>0</v>
      </c>
      <c r="M48" s="153">
        <v>0</v>
      </c>
      <c r="N48" s="154">
        <v>0</v>
      </c>
      <c r="O48" s="51">
        <v>0</v>
      </c>
      <c r="P48" s="29"/>
      <c r="Q48" s="242"/>
      <c r="R48" s="46" t="s">
        <v>11</v>
      </c>
      <c r="S48" s="47" t="s">
        <v>12</v>
      </c>
      <c r="T48" s="152">
        <v>541</v>
      </c>
      <c r="U48" s="153">
        <v>2</v>
      </c>
      <c r="V48" s="154">
        <v>12</v>
      </c>
      <c r="W48" s="155">
        <v>58</v>
      </c>
      <c r="X48" s="153">
        <v>700</v>
      </c>
      <c r="Y48" s="153">
        <v>2</v>
      </c>
      <c r="Z48" s="154">
        <v>9</v>
      </c>
      <c r="AA48" s="155">
        <v>44</v>
      </c>
      <c r="AB48" s="153">
        <v>7</v>
      </c>
      <c r="AC48" s="153">
        <v>0</v>
      </c>
      <c r="AD48" s="154">
        <v>0</v>
      </c>
      <c r="AE48" s="155">
        <v>9</v>
      </c>
      <c r="AF48" s="29"/>
      <c r="AG48" s="242"/>
      <c r="AH48" s="46" t="s">
        <v>11</v>
      </c>
      <c r="AI48" s="47" t="s">
        <v>12</v>
      </c>
      <c r="AJ48" s="152">
        <v>311</v>
      </c>
      <c r="AK48" s="153">
        <v>0</v>
      </c>
      <c r="AL48" s="154">
        <v>2</v>
      </c>
      <c r="AM48" s="155">
        <v>61</v>
      </c>
      <c r="AN48" s="153">
        <v>117</v>
      </c>
      <c r="AO48" s="153">
        <v>0</v>
      </c>
      <c r="AP48" s="154">
        <v>1</v>
      </c>
      <c r="AQ48" s="155">
        <v>67</v>
      </c>
      <c r="AR48" s="153">
        <v>0</v>
      </c>
      <c r="AS48" s="153">
        <v>0</v>
      </c>
      <c r="AT48" s="154">
        <v>0</v>
      </c>
      <c r="AU48" s="155">
        <v>0</v>
      </c>
      <c r="AV48" s="29"/>
      <c r="AW48" s="242"/>
      <c r="AX48" s="46" t="s">
        <v>11</v>
      </c>
      <c r="AY48" s="47" t="s">
        <v>12</v>
      </c>
      <c r="AZ48" s="152">
        <v>305</v>
      </c>
      <c r="BA48" s="153">
        <v>0</v>
      </c>
      <c r="BB48" s="154">
        <v>18</v>
      </c>
      <c r="BC48" s="155">
        <v>200</v>
      </c>
      <c r="BD48" s="153">
        <v>110</v>
      </c>
      <c r="BE48" s="153">
        <v>3</v>
      </c>
      <c r="BF48" s="154">
        <v>5</v>
      </c>
      <c r="BG48" s="155">
        <v>140</v>
      </c>
      <c r="BH48" s="153">
        <v>0</v>
      </c>
      <c r="BI48" s="153">
        <v>0</v>
      </c>
      <c r="BJ48" s="154">
        <v>0</v>
      </c>
      <c r="BK48" s="155">
        <v>0</v>
      </c>
      <c r="BL48" s="29"/>
      <c r="BM48" s="242"/>
      <c r="BN48" s="46" t="s">
        <v>11</v>
      </c>
      <c r="BO48" s="47" t="s">
        <v>12</v>
      </c>
      <c r="BP48" s="152">
        <v>537</v>
      </c>
      <c r="BQ48" s="153">
        <v>0</v>
      </c>
      <c r="BR48" s="154">
        <v>9</v>
      </c>
      <c r="BS48" s="155">
        <v>68</v>
      </c>
      <c r="BT48" s="153">
        <v>674</v>
      </c>
      <c r="BU48" s="153">
        <v>0</v>
      </c>
      <c r="BV48" s="154">
        <v>8</v>
      </c>
      <c r="BW48" s="155">
        <v>57</v>
      </c>
      <c r="BX48" s="153">
        <v>0</v>
      </c>
      <c r="BY48" s="153">
        <v>0</v>
      </c>
      <c r="BZ48" s="154">
        <v>0</v>
      </c>
      <c r="CA48" s="155">
        <v>0</v>
      </c>
      <c r="CB48" s="29"/>
      <c r="CC48" s="242"/>
      <c r="CD48" s="46" t="s">
        <v>11</v>
      </c>
      <c r="CE48" s="47" t="s">
        <v>12</v>
      </c>
      <c r="CF48" s="152">
        <v>313</v>
      </c>
      <c r="CG48" s="153">
        <v>0</v>
      </c>
      <c r="CH48" s="154">
        <v>7</v>
      </c>
      <c r="CI48" s="155">
        <v>163</v>
      </c>
      <c r="CJ48" s="153">
        <v>118</v>
      </c>
      <c r="CK48" s="153">
        <v>0</v>
      </c>
      <c r="CL48" s="154">
        <v>6</v>
      </c>
      <c r="CM48" s="155">
        <v>155</v>
      </c>
      <c r="CN48" s="153">
        <v>0</v>
      </c>
      <c r="CO48" s="153">
        <v>0</v>
      </c>
      <c r="CP48" s="154">
        <v>0</v>
      </c>
      <c r="CQ48" s="155">
        <v>0</v>
      </c>
      <c r="CR48" s="29"/>
      <c r="CS48" s="242"/>
      <c r="CT48" s="46" t="s">
        <v>11</v>
      </c>
      <c r="CU48" s="47" t="s">
        <v>12</v>
      </c>
      <c r="CV48" s="152">
        <v>541</v>
      </c>
      <c r="CW48" s="153">
        <v>2</v>
      </c>
      <c r="CX48" s="154">
        <v>12</v>
      </c>
      <c r="CY48" s="155">
        <v>58</v>
      </c>
      <c r="CZ48" s="153">
        <v>700</v>
      </c>
      <c r="DA48" s="153">
        <v>2</v>
      </c>
      <c r="DB48" s="154">
        <v>9</v>
      </c>
      <c r="DC48" s="155">
        <v>44</v>
      </c>
      <c r="DD48" s="153">
        <v>0</v>
      </c>
      <c r="DE48" s="153">
        <v>0</v>
      </c>
      <c r="DF48" s="154">
        <v>0</v>
      </c>
      <c r="DG48" s="155">
        <v>0</v>
      </c>
      <c r="DH48" s="29"/>
      <c r="DI48" s="242"/>
      <c r="DJ48" s="46" t="s">
        <v>11</v>
      </c>
      <c r="DK48" s="47" t="s">
        <v>12</v>
      </c>
      <c r="DL48" s="190">
        <v>313</v>
      </c>
      <c r="DM48" s="191">
        <v>0</v>
      </c>
      <c r="DN48" s="192">
        <v>7</v>
      </c>
      <c r="DO48" s="193">
        <v>163</v>
      </c>
      <c r="DP48" s="191">
        <v>118</v>
      </c>
      <c r="DQ48" s="191">
        <v>0</v>
      </c>
      <c r="DR48" s="192">
        <v>6</v>
      </c>
      <c r="DS48" s="193">
        <v>155</v>
      </c>
      <c r="DT48" s="191">
        <v>0</v>
      </c>
      <c r="DU48" s="191">
        <v>0</v>
      </c>
      <c r="DV48" s="192">
        <v>0</v>
      </c>
      <c r="DW48" s="193">
        <v>0</v>
      </c>
      <c r="DX48" s="29"/>
      <c r="DY48" s="242"/>
      <c r="DZ48" s="46" t="s">
        <v>11</v>
      </c>
      <c r="EA48" s="47" t="s">
        <v>12</v>
      </c>
      <c r="EB48" s="224">
        <v>795</v>
      </c>
      <c r="EC48" s="225">
        <v>0</v>
      </c>
      <c r="ED48" s="226">
        <v>11</v>
      </c>
      <c r="EE48" s="227">
        <v>70</v>
      </c>
      <c r="EF48" s="224">
        <v>562</v>
      </c>
      <c r="EG48" s="225">
        <v>0</v>
      </c>
      <c r="EH48" s="226">
        <v>8</v>
      </c>
      <c r="EI48" s="227">
        <v>67</v>
      </c>
      <c r="EJ48" s="225">
        <v>93</v>
      </c>
      <c r="EK48" s="225">
        <v>0</v>
      </c>
      <c r="EL48" s="226">
        <v>0</v>
      </c>
      <c r="EM48" s="194">
        <v>0</v>
      </c>
      <c r="EN48" s="29"/>
      <c r="EO48" s="242"/>
      <c r="EP48" s="46" t="s">
        <v>11</v>
      </c>
      <c r="EQ48" s="47" t="s">
        <v>12</v>
      </c>
      <c r="ER48" s="224">
        <v>795</v>
      </c>
      <c r="ES48" s="225">
        <v>0</v>
      </c>
      <c r="ET48" s="226">
        <v>11</v>
      </c>
      <c r="EU48" s="227">
        <v>52</v>
      </c>
      <c r="EV48" s="224">
        <v>562</v>
      </c>
      <c r="EW48" s="225">
        <v>0</v>
      </c>
      <c r="EX48" s="226">
        <v>8</v>
      </c>
      <c r="EY48" s="227">
        <v>44</v>
      </c>
      <c r="EZ48" s="225">
        <v>93</v>
      </c>
      <c r="FA48" s="225">
        <v>0</v>
      </c>
      <c r="FB48" s="226">
        <v>0</v>
      </c>
      <c r="FC48" s="194">
        <v>0</v>
      </c>
      <c r="FD48" s="29"/>
      <c r="FE48" s="242"/>
      <c r="FF48" s="46" t="s">
        <v>11</v>
      </c>
      <c r="FG48" s="47" t="s">
        <v>12</v>
      </c>
      <c r="FH48" s="48">
        <v>0</v>
      </c>
      <c r="FI48" s="49">
        <v>0</v>
      </c>
      <c r="FJ48" s="50">
        <v>0</v>
      </c>
      <c r="FK48" s="51">
        <v>0</v>
      </c>
      <c r="FL48" s="48">
        <v>0</v>
      </c>
      <c r="FM48" s="49">
        <v>0</v>
      </c>
      <c r="FN48" s="50">
        <v>0</v>
      </c>
      <c r="FO48" s="51">
        <v>0</v>
      </c>
      <c r="FP48" s="48">
        <v>0</v>
      </c>
      <c r="FQ48" s="49">
        <v>0</v>
      </c>
      <c r="FR48" s="50">
        <v>0</v>
      </c>
      <c r="FS48" s="51">
        <v>0</v>
      </c>
      <c r="FT48" s="29"/>
      <c r="FU48" s="242"/>
      <c r="FV48" s="46" t="s">
        <v>11</v>
      </c>
      <c r="FW48" s="47" t="s">
        <v>12</v>
      </c>
      <c r="FX48" s="48">
        <v>0</v>
      </c>
      <c r="FY48" s="49">
        <v>0</v>
      </c>
      <c r="FZ48" s="50">
        <v>0</v>
      </c>
      <c r="GA48" s="51">
        <v>0</v>
      </c>
      <c r="GB48" s="48">
        <v>0</v>
      </c>
      <c r="GC48" s="49">
        <v>0</v>
      </c>
      <c r="GD48" s="50">
        <v>0</v>
      </c>
      <c r="GE48" s="51">
        <v>0</v>
      </c>
      <c r="GF48" s="48">
        <v>0</v>
      </c>
      <c r="GG48" s="49">
        <v>0</v>
      </c>
      <c r="GH48" s="50">
        <v>0</v>
      </c>
      <c r="GI48" s="51">
        <v>0</v>
      </c>
      <c r="GJ48" s="29"/>
      <c r="GK48" s="242"/>
      <c r="GL48" s="46" t="s">
        <v>11</v>
      </c>
      <c r="GM48" s="47" t="s">
        <v>12</v>
      </c>
      <c r="GN48" s="41">
        <f t="shared" ref="GN48:GN50" si="178">FX48</f>
        <v>0</v>
      </c>
      <c r="GO48" s="41">
        <f t="shared" si="169"/>
        <v>6</v>
      </c>
      <c r="GP48" s="41">
        <f t="shared" si="170"/>
        <v>101</v>
      </c>
      <c r="GQ48" s="41">
        <f t="shared" si="171"/>
        <v>951</v>
      </c>
      <c r="GR48" s="41">
        <f t="shared" ref="GR48:GR50" si="179">GB48</f>
        <v>0</v>
      </c>
      <c r="GS48" s="41">
        <f t="shared" si="172"/>
        <v>9</v>
      </c>
      <c r="GT48" s="41">
        <f t="shared" si="173"/>
        <v>69</v>
      </c>
      <c r="GU48" s="41">
        <f t="shared" si="174"/>
        <v>817</v>
      </c>
      <c r="GV48" s="41">
        <f t="shared" ref="GV48:GV50" si="180">GF48</f>
        <v>0</v>
      </c>
      <c r="GW48" s="41">
        <f t="shared" si="175"/>
        <v>0</v>
      </c>
      <c r="GX48" s="41">
        <f t="shared" si="176"/>
        <v>0</v>
      </c>
      <c r="GY48" s="41">
        <f t="shared" si="177"/>
        <v>9</v>
      </c>
      <c r="GZ48" s="29"/>
      <c r="HA48" s="31"/>
      <c r="HN48" s="31"/>
    </row>
    <row r="49" spans="1:237" ht="15" customHeight="1" thickBot="1" x14ac:dyDescent="0.3">
      <c r="A49" s="242"/>
      <c r="B49" s="38" t="s">
        <v>13</v>
      </c>
      <c r="C49" s="54" t="s">
        <v>10</v>
      </c>
      <c r="D49" s="156">
        <v>27</v>
      </c>
      <c r="E49" s="157">
        <v>0</v>
      </c>
      <c r="F49" s="158">
        <v>1</v>
      </c>
      <c r="G49" s="159">
        <v>21</v>
      </c>
      <c r="H49" s="157">
        <v>39</v>
      </c>
      <c r="I49" s="157">
        <v>0</v>
      </c>
      <c r="J49" s="158">
        <v>1</v>
      </c>
      <c r="K49" s="159">
        <v>12</v>
      </c>
      <c r="L49" s="157">
        <v>0</v>
      </c>
      <c r="M49" s="157">
        <v>0</v>
      </c>
      <c r="N49" s="158">
        <v>0</v>
      </c>
      <c r="O49" s="43">
        <v>0</v>
      </c>
      <c r="P49" s="29"/>
      <c r="Q49" s="242"/>
      <c r="R49" s="38" t="s">
        <v>13</v>
      </c>
      <c r="S49" s="54" t="s">
        <v>10</v>
      </c>
      <c r="T49" s="156">
        <v>27</v>
      </c>
      <c r="U49" s="157">
        <v>0</v>
      </c>
      <c r="V49" s="158">
        <v>1</v>
      </c>
      <c r="W49" s="159">
        <v>21</v>
      </c>
      <c r="X49" s="157">
        <v>39</v>
      </c>
      <c r="Y49" s="157">
        <v>0</v>
      </c>
      <c r="Z49" s="158">
        <v>1</v>
      </c>
      <c r="AA49" s="159">
        <v>12</v>
      </c>
      <c r="AB49" s="157">
        <v>0</v>
      </c>
      <c r="AC49" s="157">
        <v>0</v>
      </c>
      <c r="AD49" s="158">
        <v>0</v>
      </c>
      <c r="AE49" s="159">
        <v>0</v>
      </c>
      <c r="AF49" s="29"/>
      <c r="AG49" s="242"/>
      <c r="AH49" s="38" t="s">
        <v>13</v>
      </c>
      <c r="AI49" s="54" t="s">
        <v>10</v>
      </c>
      <c r="AJ49" s="156">
        <v>196</v>
      </c>
      <c r="AK49" s="157">
        <v>0</v>
      </c>
      <c r="AL49" s="158">
        <v>0</v>
      </c>
      <c r="AM49" s="159">
        <v>6</v>
      </c>
      <c r="AN49" s="157">
        <v>77</v>
      </c>
      <c r="AO49" s="157">
        <v>0</v>
      </c>
      <c r="AP49" s="158">
        <v>0</v>
      </c>
      <c r="AQ49" s="159">
        <v>7</v>
      </c>
      <c r="AR49" s="157">
        <v>0</v>
      </c>
      <c r="AS49" s="157">
        <v>0</v>
      </c>
      <c r="AT49" s="158">
        <v>0</v>
      </c>
      <c r="AU49" s="159">
        <v>0</v>
      </c>
      <c r="AV49" s="29"/>
      <c r="AW49" s="242"/>
      <c r="AX49" s="38" t="s">
        <v>13</v>
      </c>
      <c r="AY49" s="54" t="s">
        <v>10</v>
      </c>
      <c r="AZ49" s="156">
        <v>196</v>
      </c>
      <c r="BA49" s="157">
        <v>0</v>
      </c>
      <c r="BB49" s="158">
        <v>0</v>
      </c>
      <c r="BC49" s="159">
        <v>20</v>
      </c>
      <c r="BD49" s="157">
        <v>77</v>
      </c>
      <c r="BE49" s="157">
        <v>0</v>
      </c>
      <c r="BF49" s="158">
        <v>0</v>
      </c>
      <c r="BG49" s="159">
        <v>19</v>
      </c>
      <c r="BH49" s="157">
        <v>0</v>
      </c>
      <c r="BI49" s="157">
        <v>0</v>
      </c>
      <c r="BJ49" s="158">
        <v>0</v>
      </c>
      <c r="BK49" s="159">
        <v>0</v>
      </c>
      <c r="BL49" s="29"/>
      <c r="BM49" s="242"/>
      <c r="BN49" s="38" t="s">
        <v>13</v>
      </c>
      <c r="BO49" s="54" t="s">
        <v>10</v>
      </c>
      <c r="BP49" s="156">
        <v>25</v>
      </c>
      <c r="BQ49" s="157">
        <v>0</v>
      </c>
      <c r="BR49" s="158">
        <v>1</v>
      </c>
      <c r="BS49" s="159">
        <v>8</v>
      </c>
      <c r="BT49" s="157">
        <v>39</v>
      </c>
      <c r="BU49" s="157">
        <v>0</v>
      </c>
      <c r="BV49" s="158">
        <v>0</v>
      </c>
      <c r="BW49" s="159">
        <v>9</v>
      </c>
      <c r="BX49" s="157">
        <v>0</v>
      </c>
      <c r="BY49" s="157">
        <v>0</v>
      </c>
      <c r="BZ49" s="158">
        <v>0</v>
      </c>
      <c r="CA49" s="159">
        <v>0</v>
      </c>
      <c r="CB49" s="29"/>
      <c r="CC49" s="242"/>
      <c r="CD49" s="38" t="s">
        <v>13</v>
      </c>
      <c r="CE49" s="54" t="s">
        <v>10</v>
      </c>
      <c r="CF49" s="156">
        <v>196</v>
      </c>
      <c r="CG49" s="157">
        <v>0</v>
      </c>
      <c r="CH49" s="158">
        <v>0</v>
      </c>
      <c r="CI49" s="159">
        <v>7</v>
      </c>
      <c r="CJ49" s="157">
        <v>77</v>
      </c>
      <c r="CK49" s="157">
        <v>0</v>
      </c>
      <c r="CL49" s="158">
        <v>1</v>
      </c>
      <c r="CM49" s="159">
        <v>8</v>
      </c>
      <c r="CN49" s="157">
        <v>0</v>
      </c>
      <c r="CO49" s="157">
        <v>0</v>
      </c>
      <c r="CP49" s="158">
        <v>0</v>
      </c>
      <c r="CQ49" s="159">
        <v>0</v>
      </c>
      <c r="CR49" s="29"/>
      <c r="CS49" s="242"/>
      <c r="CT49" s="38" t="s">
        <v>13</v>
      </c>
      <c r="CU49" s="54" t="s">
        <v>10</v>
      </c>
      <c r="CV49" s="156">
        <v>27</v>
      </c>
      <c r="CW49" s="157">
        <v>0</v>
      </c>
      <c r="CX49" s="158">
        <v>1</v>
      </c>
      <c r="CY49" s="159">
        <v>21</v>
      </c>
      <c r="CZ49" s="157">
        <v>39</v>
      </c>
      <c r="DA49" s="157">
        <v>0</v>
      </c>
      <c r="DB49" s="158">
        <v>1</v>
      </c>
      <c r="DC49" s="159">
        <v>12</v>
      </c>
      <c r="DD49" s="157">
        <v>0</v>
      </c>
      <c r="DE49" s="157">
        <v>0</v>
      </c>
      <c r="DF49" s="158">
        <v>0</v>
      </c>
      <c r="DG49" s="159">
        <v>0</v>
      </c>
      <c r="DH49" s="29"/>
      <c r="DI49" s="242"/>
      <c r="DJ49" s="38" t="s">
        <v>13</v>
      </c>
      <c r="DK49" s="54" t="s">
        <v>10</v>
      </c>
      <c r="DL49" s="195">
        <v>196</v>
      </c>
      <c r="DM49" s="196">
        <v>0</v>
      </c>
      <c r="DN49" s="197">
        <v>0</v>
      </c>
      <c r="DO49" s="198">
        <v>7</v>
      </c>
      <c r="DP49" s="196">
        <v>77</v>
      </c>
      <c r="DQ49" s="196">
        <v>0</v>
      </c>
      <c r="DR49" s="197">
        <v>1</v>
      </c>
      <c r="DS49" s="198">
        <v>8</v>
      </c>
      <c r="DT49" s="196">
        <v>0</v>
      </c>
      <c r="DU49" s="196">
        <v>0</v>
      </c>
      <c r="DV49" s="197">
        <v>0</v>
      </c>
      <c r="DW49" s="198">
        <v>0</v>
      </c>
      <c r="DX49" s="29"/>
      <c r="DY49" s="242"/>
      <c r="DZ49" s="38" t="s">
        <v>13</v>
      </c>
      <c r="EA49" s="54" t="s">
        <v>10</v>
      </c>
      <c r="EB49" s="228">
        <v>38</v>
      </c>
      <c r="EC49" s="229">
        <v>0</v>
      </c>
      <c r="ED49" s="230">
        <v>0</v>
      </c>
      <c r="EE49" s="231">
        <v>3</v>
      </c>
      <c r="EF49" s="228">
        <v>23</v>
      </c>
      <c r="EG49" s="229">
        <v>0</v>
      </c>
      <c r="EH49" s="230">
        <v>0</v>
      </c>
      <c r="EI49" s="231">
        <v>3</v>
      </c>
      <c r="EJ49" s="229">
        <v>0</v>
      </c>
      <c r="EK49" s="229">
        <v>0</v>
      </c>
      <c r="EL49" s="230">
        <v>0</v>
      </c>
      <c r="EM49" s="189">
        <v>0</v>
      </c>
      <c r="EN49" s="29"/>
      <c r="EO49" s="242"/>
      <c r="EP49" s="38" t="s">
        <v>13</v>
      </c>
      <c r="EQ49" s="54" t="s">
        <v>10</v>
      </c>
      <c r="ER49" s="228">
        <v>38</v>
      </c>
      <c r="ES49" s="229">
        <v>0</v>
      </c>
      <c r="ET49" s="230">
        <v>0</v>
      </c>
      <c r="EU49" s="231">
        <v>1</v>
      </c>
      <c r="EV49" s="228">
        <v>23</v>
      </c>
      <c r="EW49" s="229">
        <v>0</v>
      </c>
      <c r="EX49" s="230">
        <v>0</v>
      </c>
      <c r="EY49" s="231">
        <v>1</v>
      </c>
      <c r="EZ49" s="229">
        <v>0</v>
      </c>
      <c r="FA49" s="229">
        <v>0</v>
      </c>
      <c r="FB49" s="230">
        <v>0</v>
      </c>
      <c r="FC49" s="189">
        <v>0</v>
      </c>
      <c r="FD49" s="29"/>
      <c r="FE49" s="242"/>
      <c r="FF49" s="38" t="s">
        <v>13</v>
      </c>
      <c r="FG49" s="54" t="s">
        <v>10</v>
      </c>
      <c r="FH49" s="40">
        <v>0</v>
      </c>
      <c r="FI49" s="41">
        <v>0</v>
      </c>
      <c r="FJ49" s="42">
        <v>0</v>
      </c>
      <c r="FK49" s="43">
        <v>0</v>
      </c>
      <c r="FL49" s="40">
        <v>0</v>
      </c>
      <c r="FM49" s="41">
        <v>0</v>
      </c>
      <c r="FN49" s="42">
        <v>0</v>
      </c>
      <c r="FO49" s="43">
        <v>0</v>
      </c>
      <c r="FP49" s="40">
        <v>0</v>
      </c>
      <c r="FQ49" s="41">
        <v>0</v>
      </c>
      <c r="FR49" s="42">
        <v>0</v>
      </c>
      <c r="FS49" s="43">
        <v>0</v>
      </c>
      <c r="FT49" s="29"/>
      <c r="FU49" s="242"/>
      <c r="FV49" s="38" t="s">
        <v>13</v>
      </c>
      <c r="FW49" s="54" t="s">
        <v>10</v>
      </c>
      <c r="FX49" s="40">
        <v>0</v>
      </c>
      <c r="FY49" s="41">
        <v>0</v>
      </c>
      <c r="FZ49" s="42">
        <v>0</v>
      </c>
      <c r="GA49" s="43">
        <v>0</v>
      </c>
      <c r="GB49" s="40">
        <v>0</v>
      </c>
      <c r="GC49" s="41">
        <v>0</v>
      </c>
      <c r="GD49" s="42">
        <v>0</v>
      </c>
      <c r="GE49" s="43">
        <v>0</v>
      </c>
      <c r="GF49" s="40">
        <v>0</v>
      </c>
      <c r="GG49" s="41">
        <v>0</v>
      </c>
      <c r="GH49" s="42">
        <v>0</v>
      </c>
      <c r="GI49" s="43">
        <v>0</v>
      </c>
      <c r="GJ49" s="29"/>
      <c r="GK49" s="242"/>
      <c r="GL49" s="38" t="s">
        <v>13</v>
      </c>
      <c r="GM49" s="54" t="s">
        <v>10</v>
      </c>
      <c r="GN49" s="41">
        <f t="shared" si="178"/>
        <v>0</v>
      </c>
      <c r="GO49" s="41">
        <f t="shared" si="169"/>
        <v>0</v>
      </c>
      <c r="GP49" s="41">
        <f t="shared" si="170"/>
        <v>4</v>
      </c>
      <c r="GQ49" s="41">
        <f t="shared" si="171"/>
        <v>115</v>
      </c>
      <c r="GR49" s="41">
        <f t="shared" si="179"/>
        <v>0</v>
      </c>
      <c r="GS49" s="41">
        <f t="shared" si="172"/>
        <v>0</v>
      </c>
      <c r="GT49" s="41">
        <f t="shared" si="173"/>
        <v>5</v>
      </c>
      <c r="GU49" s="41">
        <f t="shared" si="174"/>
        <v>91</v>
      </c>
      <c r="GV49" s="41">
        <f t="shared" si="180"/>
        <v>0</v>
      </c>
      <c r="GW49" s="41">
        <f t="shared" si="175"/>
        <v>0</v>
      </c>
      <c r="GX49" s="41">
        <f t="shared" si="176"/>
        <v>0</v>
      </c>
      <c r="GY49" s="41">
        <f t="shared" si="177"/>
        <v>0</v>
      </c>
      <c r="GZ49" s="29"/>
      <c r="HA49" s="31"/>
      <c r="HN49" s="31"/>
    </row>
    <row r="50" spans="1:237" ht="15" customHeight="1" thickBot="1" x14ac:dyDescent="0.3">
      <c r="A50" s="242"/>
      <c r="B50" s="46" t="s">
        <v>11</v>
      </c>
      <c r="C50" s="56" t="s">
        <v>12</v>
      </c>
      <c r="D50" s="152">
        <v>27</v>
      </c>
      <c r="E50" s="153">
        <v>0</v>
      </c>
      <c r="F50" s="154">
        <v>0</v>
      </c>
      <c r="G50" s="155">
        <v>3</v>
      </c>
      <c r="H50" s="153">
        <v>19</v>
      </c>
      <c r="I50" s="153">
        <v>0</v>
      </c>
      <c r="J50" s="154">
        <v>1</v>
      </c>
      <c r="K50" s="155">
        <v>5</v>
      </c>
      <c r="L50" s="153">
        <v>0</v>
      </c>
      <c r="M50" s="153">
        <v>0</v>
      </c>
      <c r="N50" s="154">
        <v>0</v>
      </c>
      <c r="O50" s="51">
        <v>0</v>
      </c>
      <c r="P50" s="29"/>
      <c r="Q50" s="242"/>
      <c r="R50" s="46" t="s">
        <v>11</v>
      </c>
      <c r="S50" s="56" t="s">
        <v>12</v>
      </c>
      <c r="T50" s="152">
        <v>27</v>
      </c>
      <c r="U50" s="153">
        <v>0</v>
      </c>
      <c r="V50" s="154">
        <v>0</v>
      </c>
      <c r="W50" s="155">
        <v>3</v>
      </c>
      <c r="X50" s="153">
        <v>19</v>
      </c>
      <c r="Y50" s="153">
        <v>0</v>
      </c>
      <c r="Z50" s="154">
        <v>1</v>
      </c>
      <c r="AA50" s="155">
        <v>5</v>
      </c>
      <c r="AB50" s="153">
        <v>0</v>
      </c>
      <c r="AC50" s="153">
        <v>0</v>
      </c>
      <c r="AD50" s="154">
        <v>0</v>
      </c>
      <c r="AE50" s="155">
        <v>0</v>
      </c>
      <c r="AF50" s="29"/>
      <c r="AG50" s="242"/>
      <c r="AH50" s="46" t="s">
        <v>11</v>
      </c>
      <c r="AI50" s="56" t="s">
        <v>12</v>
      </c>
      <c r="AJ50" s="152">
        <v>100</v>
      </c>
      <c r="AK50" s="153">
        <v>0</v>
      </c>
      <c r="AL50" s="154">
        <v>0</v>
      </c>
      <c r="AM50" s="155">
        <v>4</v>
      </c>
      <c r="AN50" s="153">
        <v>35</v>
      </c>
      <c r="AO50" s="153">
        <v>0</v>
      </c>
      <c r="AP50" s="154">
        <v>0</v>
      </c>
      <c r="AQ50" s="155">
        <v>5</v>
      </c>
      <c r="AR50" s="153">
        <v>0</v>
      </c>
      <c r="AS50" s="153">
        <v>0</v>
      </c>
      <c r="AT50" s="154">
        <v>0</v>
      </c>
      <c r="AU50" s="155">
        <v>0</v>
      </c>
      <c r="AV50" s="29"/>
      <c r="AW50" s="242"/>
      <c r="AX50" s="46" t="s">
        <v>11</v>
      </c>
      <c r="AY50" s="56" t="s">
        <v>12</v>
      </c>
      <c r="AZ50" s="152">
        <v>100</v>
      </c>
      <c r="BA50" s="153">
        <v>0</v>
      </c>
      <c r="BB50" s="154">
        <v>0</v>
      </c>
      <c r="BC50" s="155">
        <v>17</v>
      </c>
      <c r="BD50" s="153">
        <v>35</v>
      </c>
      <c r="BE50" s="153">
        <v>0</v>
      </c>
      <c r="BF50" s="154">
        <v>0</v>
      </c>
      <c r="BG50" s="155">
        <v>20</v>
      </c>
      <c r="BH50" s="153">
        <v>0</v>
      </c>
      <c r="BI50" s="153">
        <v>0</v>
      </c>
      <c r="BJ50" s="154">
        <v>0</v>
      </c>
      <c r="BK50" s="155">
        <v>0</v>
      </c>
      <c r="BL50" s="29"/>
      <c r="BM50" s="242"/>
      <c r="BN50" s="46" t="s">
        <v>11</v>
      </c>
      <c r="BO50" s="56" t="s">
        <v>12</v>
      </c>
      <c r="BP50" s="152">
        <v>26</v>
      </c>
      <c r="BQ50" s="153">
        <v>0</v>
      </c>
      <c r="BR50" s="154">
        <v>0</v>
      </c>
      <c r="BS50" s="155">
        <v>6</v>
      </c>
      <c r="BT50" s="153">
        <v>19</v>
      </c>
      <c r="BU50" s="153">
        <v>0</v>
      </c>
      <c r="BV50" s="154">
        <v>3</v>
      </c>
      <c r="BW50" s="155">
        <v>6</v>
      </c>
      <c r="BX50" s="153">
        <v>0</v>
      </c>
      <c r="BY50" s="153">
        <v>0</v>
      </c>
      <c r="BZ50" s="154">
        <v>0</v>
      </c>
      <c r="CA50" s="155">
        <v>0</v>
      </c>
      <c r="CB50" s="29"/>
      <c r="CC50" s="242"/>
      <c r="CD50" s="46" t="s">
        <v>11</v>
      </c>
      <c r="CE50" s="56" t="s">
        <v>12</v>
      </c>
      <c r="CF50" s="152">
        <v>111</v>
      </c>
      <c r="CG50" s="153">
        <v>0</v>
      </c>
      <c r="CH50" s="154">
        <v>0</v>
      </c>
      <c r="CI50" s="155">
        <v>6</v>
      </c>
      <c r="CJ50" s="153">
        <v>35</v>
      </c>
      <c r="CK50" s="153">
        <v>0</v>
      </c>
      <c r="CL50" s="154">
        <v>2</v>
      </c>
      <c r="CM50" s="155">
        <v>8</v>
      </c>
      <c r="CN50" s="153">
        <v>0</v>
      </c>
      <c r="CO50" s="153">
        <v>0</v>
      </c>
      <c r="CP50" s="154">
        <v>0</v>
      </c>
      <c r="CQ50" s="155">
        <v>0</v>
      </c>
      <c r="CR50" s="29"/>
      <c r="CS50" s="242"/>
      <c r="CT50" s="46" t="s">
        <v>11</v>
      </c>
      <c r="CU50" s="56" t="s">
        <v>12</v>
      </c>
      <c r="CV50" s="152">
        <v>27</v>
      </c>
      <c r="CW50" s="153">
        <v>0</v>
      </c>
      <c r="CX50" s="154">
        <v>0</v>
      </c>
      <c r="CY50" s="155">
        <v>3</v>
      </c>
      <c r="CZ50" s="153">
        <v>19</v>
      </c>
      <c r="DA50" s="153">
        <v>0</v>
      </c>
      <c r="DB50" s="154">
        <v>1</v>
      </c>
      <c r="DC50" s="155">
        <v>5</v>
      </c>
      <c r="DD50" s="153">
        <v>0</v>
      </c>
      <c r="DE50" s="153">
        <v>0</v>
      </c>
      <c r="DF50" s="154">
        <v>0</v>
      </c>
      <c r="DG50" s="155">
        <v>0</v>
      </c>
      <c r="DH50" s="29"/>
      <c r="DI50" s="242"/>
      <c r="DJ50" s="46" t="s">
        <v>11</v>
      </c>
      <c r="DK50" s="56" t="s">
        <v>12</v>
      </c>
      <c r="DL50" s="190">
        <v>111</v>
      </c>
      <c r="DM50" s="191">
        <v>0</v>
      </c>
      <c r="DN50" s="192">
        <v>0</v>
      </c>
      <c r="DO50" s="193">
        <v>6</v>
      </c>
      <c r="DP50" s="191">
        <v>35</v>
      </c>
      <c r="DQ50" s="191">
        <v>0</v>
      </c>
      <c r="DR50" s="192">
        <v>2</v>
      </c>
      <c r="DS50" s="193">
        <v>8</v>
      </c>
      <c r="DT50" s="191">
        <v>0</v>
      </c>
      <c r="DU50" s="191">
        <v>0</v>
      </c>
      <c r="DV50" s="192">
        <v>0</v>
      </c>
      <c r="DW50" s="193">
        <v>0</v>
      </c>
      <c r="DX50" s="29"/>
      <c r="DY50" s="242"/>
      <c r="DZ50" s="46" t="s">
        <v>11</v>
      </c>
      <c r="EA50" s="56" t="s">
        <v>12</v>
      </c>
      <c r="EB50" s="224">
        <v>19</v>
      </c>
      <c r="EC50" s="225">
        <v>0</v>
      </c>
      <c r="ED50" s="226">
        <v>0</v>
      </c>
      <c r="EE50" s="227">
        <v>3</v>
      </c>
      <c r="EF50" s="224">
        <v>27</v>
      </c>
      <c r="EG50" s="225">
        <v>0</v>
      </c>
      <c r="EH50" s="226">
        <v>0</v>
      </c>
      <c r="EI50" s="227">
        <v>5</v>
      </c>
      <c r="EJ50" s="225">
        <v>0</v>
      </c>
      <c r="EK50" s="225">
        <v>0</v>
      </c>
      <c r="EL50" s="226">
        <v>0</v>
      </c>
      <c r="EM50" s="194">
        <v>0</v>
      </c>
      <c r="EN50" s="29"/>
      <c r="EO50" s="242"/>
      <c r="EP50" s="46" t="s">
        <v>11</v>
      </c>
      <c r="EQ50" s="56" t="s">
        <v>12</v>
      </c>
      <c r="ER50" s="224">
        <v>19</v>
      </c>
      <c r="ES50" s="225">
        <v>0</v>
      </c>
      <c r="ET50" s="226">
        <v>0</v>
      </c>
      <c r="EU50" s="227">
        <v>3</v>
      </c>
      <c r="EV50" s="224">
        <v>27</v>
      </c>
      <c r="EW50" s="225">
        <v>0</v>
      </c>
      <c r="EX50" s="226">
        <v>0</v>
      </c>
      <c r="EY50" s="227">
        <v>2</v>
      </c>
      <c r="EZ50" s="225">
        <v>0</v>
      </c>
      <c r="FA50" s="225">
        <v>0</v>
      </c>
      <c r="FB50" s="226">
        <v>0</v>
      </c>
      <c r="FC50" s="194">
        <v>0</v>
      </c>
      <c r="FD50" s="29"/>
      <c r="FE50" s="242"/>
      <c r="FF50" s="46" t="s">
        <v>11</v>
      </c>
      <c r="FG50" s="56" t="s">
        <v>12</v>
      </c>
      <c r="FH50" s="48">
        <v>0</v>
      </c>
      <c r="FI50" s="49">
        <v>0</v>
      </c>
      <c r="FJ50" s="50">
        <v>0</v>
      </c>
      <c r="FK50" s="51">
        <v>0</v>
      </c>
      <c r="FL50" s="48">
        <v>0</v>
      </c>
      <c r="FM50" s="49">
        <v>0</v>
      </c>
      <c r="FN50" s="50">
        <v>0</v>
      </c>
      <c r="FO50" s="51">
        <v>0</v>
      </c>
      <c r="FP50" s="48">
        <v>0</v>
      </c>
      <c r="FQ50" s="49">
        <v>0</v>
      </c>
      <c r="FR50" s="50">
        <v>0</v>
      </c>
      <c r="FS50" s="51">
        <v>0</v>
      </c>
      <c r="FT50" s="29"/>
      <c r="FU50" s="242"/>
      <c r="FV50" s="46" t="s">
        <v>11</v>
      </c>
      <c r="FW50" s="56" t="s">
        <v>12</v>
      </c>
      <c r="FX50" s="48">
        <v>0</v>
      </c>
      <c r="FY50" s="49">
        <v>0</v>
      </c>
      <c r="FZ50" s="50">
        <v>0</v>
      </c>
      <c r="GA50" s="51">
        <v>0</v>
      </c>
      <c r="GB50" s="48">
        <v>0</v>
      </c>
      <c r="GC50" s="49">
        <v>0</v>
      </c>
      <c r="GD50" s="50">
        <v>0</v>
      </c>
      <c r="GE50" s="51">
        <v>0</v>
      </c>
      <c r="GF50" s="48">
        <v>0</v>
      </c>
      <c r="GG50" s="49">
        <v>0</v>
      </c>
      <c r="GH50" s="50">
        <v>0</v>
      </c>
      <c r="GI50" s="51">
        <v>0</v>
      </c>
      <c r="GJ50" s="29"/>
      <c r="GK50" s="242"/>
      <c r="GL50" s="46" t="s">
        <v>11</v>
      </c>
      <c r="GM50" s="56" t="s">
        <v>12</v>
      </c>
      <c r="GN50" s="41">
        <f t="shared" si="178"/>
        <v>0</v>
      </c>
      <c r="GO50" s="41">
        <f t="shared" si="169"/>
        <v>0</v>
      </c>
      <c r="GP50" s="41">
        <f t="shared" si="170"/>
        <v>0</v>
      </c>
      <c r="GQ50" s="41">
        <f t="shared" si="171"/>
        <v>54</v>
      </c>
      <c r="GR50" s="41">
        <f t="shared" si="179"/>
        <v>0</v>
      </c>
      <c r="GS50" s="41">
        <f t="shared" si="172"/>
        <v>0</v>
      </c>
      <c r="GT50" s="41">
        <f t="shared" si="173"/>
        <v>10</v>
      </c>
      <c r="GU50" s="41">
        <f t="shared" si="174"/>
        <v>69</v>
      </c>
      <c r="GV50" s="41">
        <f t="shared" si="180"/>
        <v>0</v>
      </c>
      <c r="GW50" s="41">
        <f t="shared" si="175"/>
        <v>0</v>
      </c>
      <c r="GX50" s="41">
        <f t="shared" si="176"/>
        <v>0</v>
      </c>
      <c r="GY50" s="41">
        <f t="shared" si="177"/>
        <v>0</v>
      </c>
      <c r="GZ50" s="29"/>
      <c r="HA50" s="31"/>
      <c r="HN50" s="31"/>
    </row>
    <row r="51" spans="1:237" ht="15" customHeight="1" thickBot="1" x14ac:dyDescent="0.3">
      <c r="A51" s="242"/>
      <c r="B51" s="233" t="s">
        <v>14</v>
      </c>
      <c r="C51" s="234"/>
      <c r="D51" s="58">
        <f t="shared" ref="D51:O51" si="181">SUM(D47:D50)</f>
        <v>891</v>
      </c>
      <c r="E51" s="59">
        <f t="shared" si="181"/>
        <v>2</v>
      </c>
      <c r="F51" s="60">
        <f t="shared" si="181"/>
        <v>19</v>
      </c>
      <c r="G51" s="61">
        <f t="shared" si="181"/>
        <v>126</v>
      </c>
      <c r="H51" s="58">
        <f t="shared" si="181"/>
        <v>1359</v>
      </c>
      <c r="I51" s="59">
        <f t="shared" si="181"/>
        <v>3</v>
      </c>
      <c r="J51" s="60">
        <f t="shared" si="181"/>
        <v>15</v>
      </c>
      <c r="K51" s="61">
        <f t="shared" si="181"/>
        <v>92</v>
      </c>
      <c r="L51" s="58">
        <f t="shared" si="181"/>
        <v>0</v>
      </c>
      <c r="M51" s="59">
        <f t="shared" si="181"/>
        <v>0</v>
      </c>
      <c r="N51" s="60">
        <f t="shared" si="181"/>
        <v>0</v>
      </c>
      <c r="O51" s="61">
        <f t="shared" si="181"/>
        <v>0</v>
      </c>
      <c r="P51" s="29"/>
      <c r="Q51" s="242"/>
      <c r="R51" s="233" t="s">
        <v>14</v>
      </c>
      <c r="S51" s="234"/>
      <c r="T51" s="58">
        <f t="shared" ref="T51:AE51" si="182">SUM(T47:T50)</f>
        <v>893</v>
      </c>
      <c r="U51" s="59">
        <f t="shared" si="182"/>
        <v>4</v>
      </c>
      <c r="V51" s="60">
        <f t="shared" si="182"/>
        <v>19</v>
      </c>
      <c r="W51" s="61">
        <f t="shared" si="182"/>
        <v>126</v>
      </c>
      <c r="X51" s="58">
        <f t="shared" si="182"/>
        <v>1382</v>
      </c>
      <c r="Y51" s="59">
        <f t="shared" si="182"/>
        <v>5</v>
      </c>
      <c r="Z51" s="60">
        <f t="shared" si="182"/>
        <v>15</v>
      </c>
      <c r="AA51" s="61">
        <f t="shared" si="182"/>
        <v>92</v>
      </c>
      <c r="AB51" s="58">
        <f t="shared" si="182"/>
        <v>10</v>
      </c>
      <c r="AC51" s="59">
        <f t="shared" si="182"/>
        <v>0</v>
      </c>
      <c r="AD51" s="60">
        <f t="shared" si="182"/>
        <v>0</v>
      </c>
      <c r="AE51" s="61">
        <f t="shared" si="182"/>
        <v>27</v>
      </c>
      <c r="AF51" s="29"/>
      <c r="AG51" s="242"/>
      <c r="AH51" s="233" t="s">
        <v>14</v>
      </c>
      <c r="AI51" s="234"/>
      <c r="AJ51" s="169">
        <v>938</v>
      </c>
      <c r="AK51" s="170">
        <v>0</v>
      </c>
      <c r="AL51" s="171">
        <v>3</v>
      </c>
      <c r="AM51" s="172">
        <v>138</v>
      </c>
      <c r="AN51" s="170">
        <v>531</v>
      </c>
      <c r="AO51" s="170">
        <v>0</v>
      </c>
      <c r="AP51" s="171">
        <v>3</v>
      </c>
      <c r="AQ51" s="172">
        <v>143</v>
      </c>
      <c r="AR51" s="170">
        <v>0</v>
      </c>
      <c r="AS51" s="170">
        <v>0</v>
      </c>
      <c r="AT51" s="171">
        <v>0</v>
      </c>
      <c r="AU51" s="172">
        <v>0</v>
      </c>
      <c r="AV51" s="29"/>
      <c r="AW51" s="242"/>
      <c r="AX51" s="233" t="s">
        <v>14</v>
      </c>
      <c r="AY51" s="234"/>
      <c r="AZ51" s="58">
        <f t="shared" ref="AZ51:BK51" si="183">SUM(AZ47:AZ50)</f>
        <v>923</v>
      </c>
      <c r="BA51" s="59">
        <f t="shared" si="183"/>
        <v>2</v>
      </c>
      <c r="BB51" s="60">
        <f t="shared" si="183"/>
        <v>38</v>
      </c>
      <c r="BC51" s="61">
        <f t="shared" si="183"/>
        <v>427</v>
      </c>
      <c r="BD51" s="58">
        <f t="shared" si="183"/>
        <v>514</v>
      </c>
      <c r="BE51" s="59">
        <f t="shared" si="183"/>
        <v>6</v>
      </c>
      <c r="BF51" s="60">
        <f t="shared" si="183"/>
        <v>10</v>
      </c>
      <c r="BG51" s="61">
        <f t="shared" si="183"/>
        <v>349</v>
      </c>
      <c r="BH51" s="58">
        <f t="shared" si="183"/>
        <v>0</v>
      </c>
      <c r="BI51" s="59">
        <f t="shared" si="183"/>
        <v>0</v>
      </c>
      <c r="BJ51" s="60">
        <f t="shared" si="183"/>
        <v>0</v>
      </c>
      <c r="BK51" s="61">
        <f t="shared" si="183"/>
        <v>0</v>
      </c>
      <c r="BL51" s="29"/>
      <c r="BM51" s="242"/>
      <c r="BN51" s="233" t="s">
        <v>14</v>
      </c>
      <c r="BO51" s="234"/>
      <c r="BP51" s="58">
        <f t="shared" ref="BP51:CA51" si="184">SUM(BP47:BP50)</f>
        <v>879</v>
      </c>
      <c r="BQ51" s="59">
        <f t="shared" si="184"/>
        <v>0</v>
      </c>
      <c r="BR51" s="60">
        <f t="shared" si="184"/>
        <v>22</v>
      </c>
      <c r="BS51" s="61">
        <f t="shared" si="184"/>
        <v>157</v>
      </c>
      <c r="BT51" s="58">
        <f t="shared" si="184"/>
        <v>1352</v>
      </c>
      <c r="BU51" s="59">
        <f t="shared" si="184"/>
        <v>0</v>
      </c>
      <c r="BV51" s="60">
        <f t="shared" si="184"/>
        <v>24</v>
      </c>
      <c r="BW51" s="61">
        <f t="shared" si="184"/>
        <v>131</v>
      </c>
      <c r="BX51" s="58">
        <f t="shared" si="184"/>
        <v>0</v>
      </c>
      <c r="BY51" s="59">
        <f t="shared" si="184"/>
        <v>0</v>
      </c>
      <c r="BZ51" s="60">
        <f t="shared" si="184"/>
        <v>0</v>
      </c>
      <c r="CA51" s="61">
        <f t="shared" si="184"/>
        <v>0</v>
      </c>
      <c r="CB51" s="29"/>
      <c r="CC51" s="242"/>
      <c r="CD51" s="233" t="s">
        <v>14</v>
      </c>
      <c r="CE51" s="234"/>
      <c r="CF51" s="169">
        <v>952</v>
      </c>
      <c r="CG51" s="170">
        <v>2</v>
      </c>
      <c r="CH51" s="171">
        <v>16</v>
      </c>
      <c r="CI51" s="172">
        <v>318</v>
      </c>
      <c r="CJ51" s="170">
        <v>534</v>
      </c>
      <c r="CK51" s="170">
        <v>0</v>
      </c>
      <c r="CL51" s="171">
        <v>16</v>
      </c>
      <c r="CM51" s="172">
        <v>341</v>
      </c>
      <c r="CN51" s="170">
        <v>0</v>
      </c>
      <c r="CO51" s="170">
        <v>0</v>
      </c>
      <c r="CP51" s="171">
        <v>0</v>
      </c>
      <c r="CQ51" s="172">
        <v>0</v>
      </c>
      <c r="CR51" s="29"/>
      <c r="CS51" s="242"/>
      <c r="CT51" s="233" t="s">
        <v>14</v>
      </c>
      <c r="CU51" s="234"/>
      <c r="CV51" s="169">
        <v>893</v>
      </c>
      <c r="CW51" s="170">
        <v>2</v>
      </c>
      <c r="CX51" s="171">
        <v>19</v>
      </c>
      <c r="CY51" s="172">
        <v>126</v>
      </c>
      <c r="CZ51" s="170">
        <v>1382</v>
      </c>
      <c r="DA51" s="170">
        <v>3</v>
      </c>
      <c r="DB51" s="171">
        <v>15</v>
      </c>
      <c r="DC51" s="172">
        <v>92</v>
      </c>
      <c r="DD51" s="170">
        <v>0</v>
      </c>
      <c r="DE51" s="170">
        <v>0</v>
      </c>
      <c r="DF51" s="171">
        <v>0</v>
      </c>
      <c r="DG51" s="172">
        <v>0</v>
      </c>
      <c r="DH51" s="29"/>
      <c r="DI51" s="242"/>
      <c r="DJ51" s="233" t="s">
        <v>14</v>
      </c>
      <c r="DK51" s="234"/>
      <c r="DL51" s="199">
        <f t="shared" ref="DL51:DW51" si="185">SUM(DL47:DL50)</f>
        <v>952</v>
      </c>
      <c r="DM51" s="200">
        <f t="shared" si="185"/>
        <v>2</v>
      </c>
      <c r="DN51" s="201">
        <f t="shared" si="185"/>
        <v>16</v>
      </c>
      <c r="DO51" s="202">
        <f t="shared" si="185"/>
        <v>318</v>
      </c>
      <c r="DP51" s="199">
        <f t="shared" si="185"/>
        <v>534</v>
      </c>
      <c r="DQ51" s="200">
        <f t="shared" si="185"/>
        <v>0</v>
      </c>
      <c r="DR51" s="201">
        <f t="shared" si="185"/>
        <v>16</v>
      </c>
      <c r="DS51" s="202">
        <f t="shared" si="185"/>
        <v>341</v>
      </c>
      <c r="DT51" s="199">
        <f t="shared" si="185"/>
        <v>0</v>
      </c>
      <c r="DU51" s="200">
        <f t="shared" si="185"/>
        <v>0</v>
      </c>
      <c r="DV51" s="201">
        <f t="shared" si="185"/>
        <v>0</v>
      </c>
      <c r="DW51" s="202">
        <f t="shared" si="185"/>
        <v>0</v>
      </c>
      <c r="DX51" s="29"/>
      <c r="DY51" s="242"/>
      <c r="DZ51" s="233" t="s">
        <v>14</v>
      </c>
      <c r="EA51" s="234"/>
      <c r="EB51" s="199">
        <f t="shared" ref="EB51:EM51" si="186">SUM(EB47:EB50)</f>
        <v>1500</v>
      </c>
      <c r="EC51" s="200">
        <f t="shared" si="186"/>
        <v>0</v>
      </c>
      <c r="ED51" s="201">
        <f t="shared" si="186"/>
        <v>20</v>
      </c>
      <c r="EE51" s="202">
        <f t="shared" si="186"/>
        <v>163</v>
      </c>
      <c r="EF51" s="199">
        <f t="shared" si="186"/>
        <v>923</v>
      </c>
      <c r="EG51" s="200">
        <f t="shared" si="186"/>
        <v>0</v>
      </c>
      <c r="EH51" s="201">
        <f t="shared" si="186"/>
        <v>14</v>
      </c>
      <c r="EI51" s="202">
        <f t="shared" si="186"/>
        <v>133</v>
      </c>
      <c r="EJ51" s="199">
        <f t="shared" si="186"/>
        <v>129</v>
      </c>
      <c r="EK51" s="200">
        <f t="shared" si="186"/>
        <v>0</v>
      </c>
      <c r="EL51" s="201">
        <f t="shared" si="186"/>
        <v>0</v>
      </c>
      <c r="EM51" s="202">
        <f t="shared" si="186"/>
        <v>0</v>
      </c>
      <c r="EN51" s="29"/>
      <c r="EO51" s="242"/>
      <c r="EP51" s="233" t="s">
        <v>14</v>
      </c>
      <c r="EQ51" s="234"/>
      <c r="ER51" s="199">
        <f t="shared" ref="ER51:FC51" si="187">SUM(ER47:ER50)</f>
        <v>1500</v>
      </c>
      <c r="ES51" s="200">
        <f t="shared" si="187"/>
        <v>0</v>
      </c>
      <c r="ET51" s="201">
        <f t="shared" si="187"/>
        <v>20</v>
      </c>
      <c r="EU51" s="202">
        <v>0</v>
      </c>
      <c r="EV51" s="199">
        <f t="shared" si="187"/>
        <v>923</v>
      </c>
      <c r="EW51" s="200">
        <f t="shared" si="187"/>
        <v>0</v>
      </c>
      <c r="EX51" s="201">
        <f t="shared" si="187"/>
        <v>14</v>
      </c>
      <c r="EY51" s="202">
        <f t="shared" si="187"/>
        <v>97</v>
      </c>
      <c r="EZ51" s="199">
        <f t="shared" si="187"/>
        <v>129</v>
      </c>
      <c r="FA51" s="200">
        <f t="shared" si="187"/>
        <v>0</v>
      </c>
      <c r="FB51" s="201">
        <f t="shared" si="187"/>
        <v>0</v>
      </c>
      <c r="FC51" s="202">
        <f t="shared" si="187"/>
        <v>0</v>
      </c>
      <c r="FD51" s="29"/>
      <c r="FE51" s="242"/>
      <c r="FF51" s="233" t="s">
        <v>14</v>
      </c>
      <c r="FG51" s="234"/>
      <c r="FH51" s="58">
        <f t="shared" ref="FH51:FS51" si="188">SUM(FH47:FH50)</f>
        <v>0</v>
      </c>
      <c r="FI51" s="59">
        <f t="shared" si="188"/>
        <v>0</v>
      </c>
      <c r="FJ51" s="60">
        <f t="shared" si="188"/>
        <v>0</v>
      </c>
      <c r="FK51" s="61">
        <f t="shared" si="188"/>
        <v>0</v>
      </c>
      <c r="FL51" s="58">
        <f t="shared" si="188"/>
        <v>0</v>
      </c>
      <c r="FM51" s="59">
        <f t="shared" si="188"/>
        <v>0</v>
      </c>
      <c r="FN51" s="60">
        <f t="shared" si="188"/>
        <v>0</v>
      </c>
      <c r="FO51" s="61">
        <f t="shared" si="188"/>
        <v>0</v>
      </c>
      <c r="FP51" s="58">
        <f t="shared" si="188"/>
        <v>0</v>
      </c>
      <c r="FQ51" s="59">
        <f t="shared" si="188"/>
        <v>0</v>
      </c>
      <c r="FR51" s="60">
        <f t="shared" si="188"/>
        <v>0</v>
      </c>
      <c r="FS51" s="61">
        <f t="shared" si="188"/>
        <v>0</v>
      </c>
      <c r="FT51" s="29"/>
      <c r="FU51" s="242"/>
      <c r="FV51" s="233" t="s">
        <v>14</v>
      </c>
      <c r="FW51" s="234"/>
      <c r="FX51" s="58">
        <f t="shared" ref="FX51:GI51" si="189">SUM(FX47:FX50)</f>
        <v>0</v>
      </c>
      <c r="FY51" s="59">
        <f t="shared" si="189"/>
        <v>0</v>
      </c>
      <c r="FZ51" s="60">
        <f t="shared" si="189"/>
        <v>0</v>
      </c>
      <c r="GA51" s="61">
        <f t="shared" si="189"/>
        <v>0</v>
      </c>
      <c r="GB51" s="58">
        <f t="shared" si="189"/>
        <v>0</v>
      </c>
      <c r="GC51" s="59">
        <f t="shared" si="189"/>
        <v>0</v>
      </c>
      <c r="GD51" s="60">
        <f t="shared" si="189"/>
        <v>0</v>
      </c>
      <c r="GE51" s="61">
        <f t="shared" si="189"/>
        <v>0</v>
      </c>
      <c r="GF51" s="58">
        <f t="shared" si="189"/>
        <v>0</v>
      </c>
      <c r="GG51" s="59">
        <f t="shared" si="189"/>
        <v>0</v>
      </c>
      <c r="GH51" s="60">
        <f t="shared" si="189"/>
        <v>0</v>
      </c>
      <c r="GI51" s="61">
        <f t="shared" si="189"/>
        <v>0</v>
      </c>
      <c r="GJ51" s="29"/>
      <c r="GK51" s="242"/>
      <c r="GL51" s="233" t="s">
        <v>14</v>
      </c>
      <c r="GM51" s="234"/>
      <c r="GN51" s="62">
        <f t="shared" ref="GN51:GY51" si="190">SUM(GN47:GN50)</f>
        <v>0</v>
      </c>
      <c r="GO51" s="63">
        <f t="shared" si="190"/>
        <v>14</v>
      </c>
      <c r="GP51" s="64">
        <f t="shared" si="190"/>
        <v>192</v>
      </c>
      <c r="GQ51" s="64">
        <f t="shared" si="190"/>
        <v>2032</v>
      </c>
      <c r="GR51" s="62">
        <f t="shared" si="190"/>
        <v>0</v>
      </c>
      <c r="GS51" s="63">
        <f t="shared" si="190"/>
        <v>17</v>
      </c>
      <c r="GT51" s="64">
        <f t="shared" si="190"/>
        <v>142</v>
      </c>
      <c r="GU51" s="64">
        <f t="shared" si="190"/>
        <v>1811</v>
      </c>
      <c r="GV51" s="62">
        <f t="shared" si="190"/>
        <v>0</v>
      </c>
      <c r="GW51" s="63">
        <f t="shared" si="190"/>
        <v>0</v>
      </c>
      <c r="GX51" s="64">
        <f t="shared" si="190"/>
        <v>0</v>
      </c>
      <c r="GY51" s="64">
        <f t="shared" si="190"/>
        <v>27</v>
      </c>
      <c r="GZ51" s="29"/>
      <c r="HA51" s="31"/>
      <c r="HN51" s="31"/>
    </row>
    <row r="52" spans="1:237" s="121" customFormat="1" ht="15" customHeight="1" thickTop="1" thickBot="1" x14ac:dyDescent="0.3">
      <c r="A52" s="243"/>
      <c r="B52" s="65" t="s">
        <v>15</v>
      </c>
      <c r="C52" s="65"/>
      <c r="D52" s="66"/>
      <c r="E52" s="66" t="s">
        <v>2</v>
      </c>
      <c r="F52" s="66"/>
      <c r="G52" s="66">
        <v>0</v>
      </c>
      <c r="H52" s="66"/>
      <c r="I52" s="66" t="s">
        <v>16</v>
      </c>
      <c r="J52" s="66"/>
      <c r="K52" s="66">
        <v>0</v>
      </c>
      <c r="L52" s="66"/>
      <c r="M52" s="66" t="s">
        <v>17</v>
      </c>
      <c r="N52" s="232">
        <v>0</v>
      </c>
      <c r="O52" s="232"/>
      <c r="P52" s="29"/>
      <c r="Q52" s="243"/>
      <c r="R52" s="65" t="s">
        <v>15</v>
      </c>
      <c r="S52" s="65"/>
      <c r="T52" s="66"/>
      <c r="U52" s="66" t="s">
        <v>2</v>
      </c>
      <c r="V52" s="66"/>
      <c r="W52" s="66">
        <v>0</v>
      </c>
      <c r="X52" s="66"/>
      <c r="Y52" s="66" t="s">
        <v>16</v>
      </c>
      <c r="Z52" s="66"/>
      <c r="AA52" s="66">
        <v>0</v>
      </c>
      <c r="AB52" s="66"/>
      <c r="AC52" s="66" t="s">
        <v>17</v>
      </c>
      <c r="AD52" s="232">
        <v>0</v>
      </c>
      <c r="AE52" s="232"/>
      <c r="AF52" s="29"/>
      <c r="AG52" s="243"/>
      <c r="AH52" s="65" t="s">
        <v>15</v>
      </c>
      <c r="AI52" s="65"/>
      <c r="AJ52" s="66"/>
      <c r="AK52" s="66" t="s">
        <v>2</v>
      </c>
      <c r="AL52" s="66"/>
      <c r="AM52" s="66">
        <v>0</v>
      </c>
      <c r="AN52" s="66"/>
      <c r="AO52" s="66" t="s">
        <v>16</v>
      </c>
      <c r="AP52" s="66"/>
      <c r="AQ52" s="66">
        <v>0</v>
      </c>
      <c r="AR52" s="66"/>
      <c r="AS52" s="66" t="s">
        <v>17</v>
      </c>
      <c r="AT52" s="232">
        <v>0</v>
      </c>
      <c r="AU52" s="232"/>
      <c r="AV52" s="29"/>
      <c r="AW52" s="243"/>
      <c r="AX52" s="65" t="s">
        <v>15</v>
      </c>
      <c r="AY52" s="65"/>
      <c r="AZ52" s="66"/>
      <c r="BA52" s="66" t="s">
        <v>2</v>
      </c>
      <c r="BB52" s="66"/>
      <c r="BC52" s="66">
        <v>0</v>
      </c>
      <c r="BD52" s="66"/>
      <c r="BE52" s="66" t="s">
        <v>16</v>
      </c>
      <c r="BF52" s="66"/>
      <c r="BG52" s="66">
        <v>0</v>
      </c>
      <c r="BH52" s="66"/>
      <c r="BI52" s="66" t="s">
        <v>17</v>
      </c>
      <c r="BJ52" s="232">
        <v>0</v>
      </c>
      <c r="BK52" s="232"/>
      <c r="BL52" s="29"/>
      <c r="BM52" s="243"/>
      <c r="BN52" s="65" t="s">
        <v>15</v>
      </c>
      <c r="BO52" s="65"/>
      <c r="BP52" s="66"/>
      <c r="BQ52" s="66" t="s">
        <v>2</v>
      </c>
      <c r="BR52" s="66"/>
      <c r="BS52" s="66">
        <v>0</v>
      </c>
      <c r="BT52" s="66"/>
      <c r="BU52" s="66" t="s">
        <v>16</v>
      </c>
      <c r="BV52" s="66"/>
      <c r="BW52" s="66">
        <v>0</v>
      </c>
      <c r="BX52" s="66"/>
      <c r="BY52" s="66" t="s">
        <v>17</v>
      </c>
      <c r="BZ52" s="232">
        <v>0</v>
      </c>
      <c r="CA52" s="232"/>
      <c r="CB52" s="29"/>
      <c r="CC52" s="243"/>
      <c r="CD52" s="65" t="s">
        <v>15</v>
      </c>
      <c r="CE52" s="65"/>
      <c r="CF52" s="173"/>
      <c r="CG52" s="174" t="s">
        <v>2</v>
      </c>
      <c r="CH52" s="173"/>
      <c r="CI52" s="175">
        <v>0</v>
      </c>
      <c r="CJ52" s="173"/>
      <c r="CK52" s="174" t="s">
        <v>16</v>
      </c>
      <c r="CL52" s="173"/>
      <c r="CM52" s="175">
        <v>0</v>
      </c>
      <c r="CN52" s="173"/>
      <c r="CO52" s="175" t="s">
        <v>17</v>
      </c>
      <c r="CP52" s="249">
        <v>0</v>
      </c>
      <c r="CQ52" s="250"/>
      <c r="CR52" s="29"/>
      <c r="CS52" s="243"/>
      <c r="CT52" s="65" t="s">
        <v>15</v>
      </c>
      <c r="CU52" s="65"/>
      <c r="CV52" s="173"/>
      <c r="CW52" s="174" t="s">
        <v>2</v>
      </c>
      <c r="CX52" s="173"/>
      <c r="CY52" s="175">
        <v>0</v>
      </c>
      <c r="CZ52" s="173"/>
      <c r="DA52" s="174" t="s">
        <v>16</v>
      </c>
      <c r="DB52" s="173"/>
      <c r="DC52" s="175">
        <v>0</v>
      </c>
      <c r="DD52" s="173"/>
      <c r="DE52" s="175" t="s">
        <v>17</v>
      </c>
      <c r="DF52" s="249">
        <v>0</v>
      </c>
      <c r="DG52" s="250"/>
      <c r="DH52" s="29"/>
      <c r="DI52" s="243"/>
      <c r="DJ52" s="65" t="s">
        <v>15</v>
      </c>
      <c r="DK52" s="65"/>
      <c r="DL52" s="203"/>
      <c r="DM52" s="203" t="s">
        <v>2</v>
      </c>
      <c r="DN52" s="203"/>
      <c r="DO52" s="203">
        <v>0</v>
      </c>
      <c r="DP52" s="203"/>
      <c r="DQ52" s="203" t="s">
        <v>16</v>
      </c>
      <c r="DR52" s="203"/>
      <c r="DS52" s="203">
        <v>0</v>
      </c>
      <c r="DT52" s="203"/>
      <c r="DU52" s="203" t="s">
        <v>17</v>
      </c>
      <c r="DV52" s="247">
        <v>0</v>
      </c>
      <c r="DW52" s="248"/>
      <c r="DX52" s="29"/>
      <c r="DY52" s="243"/>
      <c r="DZ52" s="65" t="s">
        <v>15</v>
      </c>
      <c r="EA52" s="65"/>
      <c r="EB52" s="66"/>
      <c r="EC52" s="66" t="s">
        <v>2</v>
      </c>
      <c r="ED52" s="66"/>
      <c r="EE52" s="66">
        <v>0</v>
      </c>
      <c r="EF52" s="66"/>
      <c r="EG52" s="66" t="s">
        <v>16</v>
      </c>
      <c r="EH52" s="66"/>
      <c r="EI52" s="66">
        <v>0</v>
      </c>
      <c r="EJ52" s="66"/>
      <c r="EK52" s="66" t="s">
        <v>17</v>
      </c>
      <c r="EL52" s="232">
        <v>0</v>
      </c>
      <c r="EM52" s="232"/>
      <c r="EN52" s="29"/>
      <c r="EO52" s="243"/>
      <c r="EP52" s="65" t="s">
        <v>15</v>
      </c>
      <c r="EQ52" s="65"/>
      <c r="ER52" s="66"/>
      <c r="ES52" s="66" t="s">
        <v>2</v>
      </c>
      <c r="ET52" s="66"/>
      <c r="EU52" s="66">
        <v>0</v>
      </c>
      <c r="EV52" s="66"/>
      <c r="EW52" s="66" t="s">
        <v>16</v>
      </c>
      <c r="EX52" s="66"/>
      <c r="EY52" s="66">
        <v>0</v>
      </c>
      <c r="EZ52" s="66"/>
      <c r="FA52" s="66" t="s">
        <v>17</v>
      </c>
      <c r="FB52" s="232">
        <v>0</v>
      </c>
      <c r="FC52" s="232"/>
      <c r="FD52" s="29"/>
      <c r="FE52" s="243"/>
      <c r="FF52" s="65" t="s">
        <v>15</v>
      </c>
      <c r="FG52" s="65"/>
      <c r="FH52" s="66"/>
      <c r="FI52" s="66" t="s">
        <v>2</v>
      </c>
      <c r="FJ52" s="66"/>
      <c r="FK52" s="66">
        <v>0</v>
      </c>
      <c r="FL52" s="66"/>
      <c r="FM52" s="66" t="s">
        <v>16</v>
      </c>
      <c r="FN52" s="66"/>
      <c r="FO52" s="66">
        <v>0</v>
      </c>
      <c r="FP52" s="66"/>
      <c r="FQ52" s="66" t="s">
        <v>17</v>
      </c>
      <c r="FR52" s="232">
        <v>0</v>
      </c>
      <c r="FS52" s="232"/>
      <c r="FT52" s="29"/>
      <c r="FU52" s="243"/>
      <c r="FV52" s="65" t="s">
        <v>15</v>
      </c>
      <c r="FW52" s="65"/>
      <c r="FX52" s="66"/>
      <c r="FY52" s="66" t="s">
        <v>2</v>
      </c>
      <c r="FZ52" s="66"/>
      <c r="GA52" s="66">
        <v>0</v>
      </c>
      <c r="GB52" s="66"/>
      <c r="GC52" s="66" t="s">
        <v>16</v>
      </c>
      <c r="GD52" s="66"/>
      <c r="GE52" s="66">
        <v>0</v>
      </c>
      <c r="GF52" s="66"/>
      <c r="GG52" s="66" t="s">
        <v>17</v>
      </c>
      <c r="GH52" s="232">
        <v>0</v>
      </c>
      <c r="GI52" s="232"/>
      <c r="GJ52" s="29"/>
      <c r="GK52" s="243"/>
      <c r="GL52" s="65" t="s">
        <v>15</v>
      </c>
      <c r="GM52" s="65"/>
      <c r="GN52" s="66"/>
      <c r="GO52" s="66" t="s">
        <v>2</v>
      </c>
      <c r="GP52" s="66"/>
      <c r="GQ52" s="66"/>
      <c r="GR52" s="66">
        <f>G52+W52+AM52+BC52+BS52+CI52+CY52+DO52+EE52+EU52+FK52+GA52</f>
        <v>0</v>
      </c>
      <c r="GS52" s="66" t="s">
        <v>16</v>
      </c>
      <c r="GT52" s="66"/>
      <c r="GU52" s="66"/>
      <c r="GV52" s="66">
        <f>K52+AA52+AQ52+BG52+BW52+CM52+DC52+DS52+EI52+EY52+FO52+GE52</f>
        <v>0</v>
      </c>
      <c r="GW52" s="66" t="s">
        <v>17</v>
      </c>
      <c r="GX52" s="66"/>
      <c r="GY52" s="66">
        <f>N52+AD52+AT52+BJ52+BZ52+CP52+DF52+DV52+EL52+FB52+FR52+GH52</f>
        <v>0</v>
      </c>
      <c r="GZ52" s="29"/>
      <c r="HA52" s="31"/>
      <c r="HB52" s="32"/>
      <c r="HC52" s="32"/>
      <c r="HD52" s="32"/>
      <c r="HE52" s="32"/>
      <c r="HF52" s="32"/>
      <c r="HG52" s="32"/>
      <c r="HH52" s="32"/>
      <c r="HI52" s="32"/>
      <c r="HJ52" s="32"/>
      <c r="HK52" s="32"/>
      <c r="HL52" s="32"/>
      <c r="HM52" s="32"/>
      <c r="HN52" s="31"/>
      <c r="HO52" s="30"/>
      <c r="HP52" s="30"/>
      <c r="HQ52" s="30"/>
      <c r="HR52" s="30"/>
      <c r="HS52" s="30"/>
      <c r="HT52" s="30"/>
      <c r="HU52" s="30"/>
      <c r="HV52" s="30"/>
      <c r="HW52" s="30"/>
      <c r="HX52" s="30"/>
      <c r="HY52" s="30"/>
      <c r="HZ52" s="30"/>
      <c r="IA52" s="30"/>
      <c r="IB52" s="30"/>
      <c r="IC52" s="30"/>
    </row>
    <row r="53" spans="1:237" ht="15" customHeight="1" thickBot="1" x14ac:dyDescent="0.3">
      <c r="A53" s="241">
        <v>0</v>
      </c>
      <c r="B53" s="38"/>
      <c r="C53" s="39" t="s">
        <v>10</v>
      </c>
      <c r="D53" s="40">
        <v>0</v>
      </c>
      <c r="E53" s="41">
        <v>0</v>
      </c>
      <c r="F53" s="42">
        <v>0</v>
      </c>
      <c r="G53" s="43">
        <v>0</v>
      </c>
      <c r="H53" s="40">
        <v>0</v>
      </c>
      <c r="I53" s="41">
        <v>0</v>
      </c>
      <c r="J53" s="42">
        <v>0</v>
      </c>
      <c r="K53" s="43">
        <v>0</v>
      </c>
      <c r="L53" s="40">
        <v>0</v>
      </c>
      <c r="M53" s="41">
        <v>0</v>
      </c>
      <c r="N53" s="42">
        <v>0</v>
      </c>
      <c r="O53" s="43">
        <v>0</v>
      </c>
      <c r="P53" s="29"/>
      <c r="Q53" s="241">
        <v>0</v>
      </c>
      <c r="R53" s="38"/>
      <c r="S53" s="39" t="s">
        <v>10</v>
      </c>
      <c r="T53" s="40">
        <v>0</v>
      </c>
      <c r="U53" s="41">
        <v>0</v>
      </c>
      <c r="V53" s="42">
        <v>0</v>
      </c>
      <c r="W53" s="43">
        <v>0</v>
      </c>
      <c r="X53" s="40">
        <v>0</v>
      </c>
      <c r="Y53" s="41">
        <v>0</v>
      </c>
      <c r="Z53" s="42">
        <v>0</v>
      </c>
      <c r="AA53" s="43">
        <v>0</v>
      </c>
      <c r="AB53" s="40">
        <v>0</v>
      </c>
      <c r="AC53" s="41">
        <v>0</v>
      </c>
      <c r="AD53" s="42">
        <v>0</v>
      </c>
      <c r="AE53" s="43">
        <v>0</v>
      </c>
      <c r="AF53" s="29"/>
      <c r="AG53" s="241">
        <v>0</v>
      </c>
      <c r="AH53" s="38"/>
      <c r="AI53" s="39" t="s">
        <v>10</v>
      </c>
      <c r="AJ53" s="40">
        <v>0</v>
      </c>
      <c r="AK53" s="41">
        <v>0</v>
      </c>
      <c r="AL53" s="42">
        <v>0</v>
      </c>
      <c r="AM53" s="43">
        <v>0</v>
      </c>
      <c r="AN53" s="40">
        <v>0</v>
      </c>
      <c r="AO53" s="41">
        <v>0</v>
      </c>
      <c r="AP53" s="42">
        <v>0</v>
      </c>
      <c r="AQ53" s="43">
        <v>0</v>
      </c>
      <c r="AR53" s="40">
        <v>0</v>
      </c>
      <c r="AS53" s="41">
        <v>0</v>
      </c>
      <c r="AT53" s="42">
        <v>0</v>
      </c>
      <c r="AU53" s="43">
        <v>0</v>
      </c>
      <c r="AV53" s="29"/>
      <c r="AW53" s="241">
        <v>0</v>
      </c>
      <c r="AX53" s="38"/>
      <c r="AY53" s="39" t="s">
        <v>10</v>
      </c>
      <c r="AZ53" s="40">
        <v>0</v>
      </c>
      <c r="BA53" s="41">
        <v>0</v>
      </c>
      <c r="BB53" s="42">
        <v>0</v>
      </c>
      <c r="BC53" s="43">
        <v>0</v>
      </c>
      <c r="BD53" s="40">
        <v>0</v>
      </c>
      <c r="BE53" s="41">
        <v>0</v>
      </c>
      <c r="BF53" s="42">
        <v>0</v>
      </c>
      <c r="BG53" s="43">
        <v>0</v>
      </c>
      <c r="BH53" s="40">
        <v>0</v>
      </c>
      <c r="BI53" s="41">
        <v>0</v>
      </c>
      <c r="BJ53" s="42">
        <v>0</v>
      </c>
      <c r="BK53" s="43">
        <v>0</v>
      </c>
      <c r="BL53" s="29"/>
      <c r="BM53" s="241">
        <v>0</v>
      </c>
      <c r="BN53" s="38"/>
      <c r="BO53" s="39" t="s">
        <v>10</v>
      </c>
      <c r="BP53" s="40">
        <v>0</v>
      </c>
      <c r="BQ53" s="41">
        <v>0</v>
      </c>
      <c r="BR53" s="42">
        <v>0</v>
      </c>
      <c r="BS53" s="43">
        <v>0</v>
      </c>
      <c r="BT53" s="40">
        <v>0</v>
      </c>
      <c r="BU53" s="41">
        <v>0</v>
      </c>
      <c r="BV53" s="42">
        <v>0</v>
      </c>
      <c r="BW53" s="43">
        <v>0</v>
      </c>
      <c r="BX53" s="40">
        <v>0</v>
      </c>
      <c r="BY53" s="41">
        <v>0</v>
      </c>
      <c r="BZ53" s="42">
        <v>0</v>
      </c>
      <c r="CA53" s="43">
        <v>0</v>
      </c>
      <c r="CB53" s="29"/>
      <c r="CC53" s="241">
        <v>0</v>
      </c>
      <c r="CD53" s="38"/>
      <c r="CE53" s="39" t="s">
        <v>10</v>
      </c>
      <c r="CF53" s="40">
        <v>0</v>
      </c>
      <c r="CG53" s="41">
        <v>0</v>
      </c>
      <c r="CH53" s="42">
        <v>0</v>
      </c>
      <c r="CI53" s="43">
        <v>0</v>
      </c>
      <c r="CJ53" s="40">
        <v>0</v>
      </c>
      <c r="CK53" s="41">
        <v>0</v>
      </c>
      <c r="CL53" s="42">
        <v>0</v>
      </c>
      <c r="CM53" s="43">
        <v>0</v>
      </c>
      <c r="CN53" s="40">
        <v>0</v>
      </c>
      <c r="CO53" s="41">
        <v>0</v>
      </c>
      <c r="CP53" s="42">
        <v>0</v>
      </c>
      <c r="CQ53" s="43">
        <v>0</v>
      </c>
      <c r="CR53" s="29"/>
      <c r="CS53" s="241">
        <v>0</v>
      </c>
      <c r="CT53" s="38"/>
      <c r="CU53" s="39" t="s">
        <v>10</v>
      </c>
      <c r="CV53" s="156">
        <v>0</v>
      </c>
      <c r="CW53" s="157">
        <v>0</v>
      </c>
      <c r="CX53" s="158">
        <v>0</v>
      </c>
      <c r="CY53" s="159">
        <v>0</v>
      </c>
      <c r="CZ53" s="157">
        <v>0</v>
      </c>
      <c r="DA53" s="157">
        <v>0</v>
      </c>
      <c r="DB53" s="158">
        <v>0</v>
      </c>
      <c r="DC53" s="159">
        <v>0</v>
      </c>
      <c r="DD53" s="157">
        <v>0</v>
      </c>
      <c r="DE53" s="157">
        <v>0</v>
      </c>
      <c r="DF53" s="158">
        <v>0</v>
      </c>
      <c r="DG53" s="159">
        <v>0</v>
      </c>
      <c r="DH53" s="29"/>
      <c r="DI53" s="241">
        <v>0</v>
      </c>
      <c r="DJ53" s="38"/>
      <c r="DK53" s="39" t="s">
        <v>10</v>
      </c>
      <c r="DL53" s="207">
        <v>0</v>
      </c>
      <c r="DM53" s="208">
        <v>0</v>
      </c>
      <c r="DN53" s="209">
        <v>0</v>
      </c>
      <c r="DO53" s="189">
        <v>0</v>
      </c>
      <c r="DP53" s="207">
        <v>0</v>
      </c>
      <c r="DQ53" s="208">
        <v>0</v>
      </c>
      <c r="DR53" s="209">
        <v>0</v>
      </c>
      <c r="DS53" s="189">
        <v>0</v>
      </c>
      <c r="DT53" s="207">
        <v>0</v>
      </c>
      <c r="DU53" s="208">
        <v>0</v>
      </c>
      <c r="DV53" s="209">
        <v>0</v>
      </c>
      <c r="DW53" s="189">
        <v>0</v>
      </c>
      <c r="DX53" s="29"/>
      <c r="DY53" s="241">
        <v>0</v>
      </c>
      <c r="DZ53" s="38"/>
      <c r="EA53" s="39" t="s">
        <v>10</v>
      </c>
      <c r="EB53" s="40">
        <v>0</v>
      </c>
      <c r="EC53" s="41">
        <v>0</v>
      </c>
      <c r="ED53" s="42">
        <v>0</v>
      </c>
      <c r="EE53" s="43">
        <v>0</v>
      </c>
      <c r="EF53" s="40">
        <v>0</v>
      </c>
      <c r="EG53" s="41">
        <v>0</v>
      </c>
      <c r="EH53" s="42">
        <v>0</v>
      </c>
      <c r="EI53" s="43">
        <v>0</v>
      </c>
      <c r="EJ53" s="40">
        <v>0</v>
      </c>
      <c r="EK53" s="41">
        <v>0</v>
      </c>
      <c r="EL53" s="42">
        <v>0</v>
      </c>
      <c r="EM53" s="43">
        <v>0</v>
      </c>
      <c r="EN53" s="29"/>
      <c r="EO53" s="241">
        <v>0</v>
      </c>
      <c r="EP53" s="38"/>
      <c r="EQ53" s="39" t="s">
        <v>10</v>
      </c>
      <c r="ER53" s="40">
        <v>0</v>
      </c>
      <c r="ES53" s="41">
        <v>0</v>
      </c>
      <c r="ET53" s="42">
        <v>0</v>
      </c>
      <c r="EU53" s="43">
        <v>0</v>
      </c>
      <c r="EV53" s="40">
        <v>0</v>
      </c>
      <c r="EW53" s="41">
        <v>0</v>
      </c>
      <c r="EX53" s="42">
        <v>0</v>
      </c>
      <c r="EY53" s="43">
        <v>0</v>
      </c>
      <c r="EZ53" s="40">
        <v>0</v>
      </c>
      <c r="FA53" s="41">
        <v>0</v>
      </c>
      <c r="FB53" s="42">
        <v>0</v>
      </c>
      <c r="FC53" s="43">
        <v>0</v>
      </c>
      <c r="FD53" s="29"/>
      <c r="FE53" s="241">
        <v>0</v>
      </c>
      <c r="FF53" s="38"/>
      <c r="FG53" s="39" t="s">
        <v>10</v>
      </c>
      <c r="FH53" s="40">
        <v>0</v>
      </c>
      <c r="FI53" s="41">
        <v>0</v>
      </c>
      <c r="FJ53" s="42">
        <v>0</v>
      </c>
      <c r="FK53" s="43">
        <v>0</v>
      </c>
      <c r="FL53" s="40">
        <v>0</v>
      </c>
      <c r="FM53" s="41">
        <v>0</v>
      </c>
      <c r="FN53" s="42">
        <v>0</v>
      </c>
      <c r="FO53" s="43">
        <v>0</v>
      </c>
      <c r="FP53" s="40">
        <v>0</v>
      </c>
      <c r="FQ53" s="41">
        <v>0</v>
      </c>
      <c r="FR53" s="42">
        <v>0</v>
      </c>
      <c r="FS53" s="43">
        <v>0</v>
      </c>
      <c r="FT53" s="29"/>
      <c r="FU53" s="241">
        <v>0</v>
      </c>
      <c r="FV53" s="38"/>
      <c r="FW53" s="39" t="s">
        <v>10</v>
      </c>
      <c r="FX53" s="40">
        <v>0</v>
      </c>
      <c r="FY53" s="41">
        <v>0</v>
      </c>
      <c r="FZ53" s="42">
        <v>0</v>
      </c>
      <c r="GA53" s="43">
        <v>0</v>
      </c>
      <c r="GB53" s="40">
        <v>0</v>
      </c>
      <c r="GC53" s="41">
        <v>0</v>
      </c>
      <c r="GD53" s="42">
        <v>0</v>
      </c>
      <c r="GE53" s="43">
        <v>0</v>
      </c>
      <c r="GF53" s="40">
        <v>0</v>
      </c>
      <c r="GG53" s="41">
        <v>0</v>
      </c>
      <c r="GH53" s="42">
        <v>0</v>
      </c>
      <c r="GI53" s="43">
        <v>0</v>
      </c>
      <c r="GJ53" s="29"/>
      <c r="GK53" s="241">
        <f t="shared" ref="GK53" si="191">FU53</f>
        <v>0</v>
      </c>
      <c r="GL53" s="38"/>
      <c r="GM53" s="39" t="s">
        <v>10</v>
      </c>
      <c r="GN53" s="41">
        <f>FX53</f>
        <v>0</v>
      </c>
      <c r="GO53" s="41">
        <f t="shared" ref="GO53:GO56" si="192">E53+U53+AK53+BA53+BQ53+CG53++CW53+DM53+EC53+ES53+FI53+FY53</f>
        <v>0</v>
      </c>
      <c r="GP53" s="41">
        <f t="shared" ref="GP53:GP56" si="193">F53+V53+AL53+BB53+BR53+CH53++CX53+DN53+ED53+ET53+FJ53+FZ53</f>
        <v>0</v>
      </c>
      <c r="GQ53" s="41">
        <f t="shared" ref="GQ53:GQ56" si="194">G53+W53+AM53+BC53+BS53+CI53++CY53+DO53+EE53+EU53+FK53+GA53</f>
        <v>0</v>
      </c>
      <c r="GR53" s="41">
        <f>GB53</f>
        <v>0</v>
      </c>
      <c r="GS53" s="41">
        <f t="shared" ref="GS53:GS56" si="195">I53+Y53+AO53+BE53+BU53+CK53++DA53+DQ53+EG53+EW53+FM53+GC53</f>
        <v>0</v>
      </c>
      <c r="GT53" s="41">
        <f t="shared" ref="GT53:GT56" si="196">J53+Z53+AP53+BF53+BV53+CL53++DB53+DR53+EH53+EX53+FN53+GD53</f>
        <v>0</v>
      </c>
      <c r="GU53" s="41">
        <f t="shared" ref="GU53:GU56" si="197">K53+AA53+AQ53+BG53+BW53+CM53++DC53+DS53+EI53+EY53+FO53+GE53</f>
        <v>0</v>
      </c>
      <c r="GV53" s="41">
        <f>GF53</f>
        <v>0</v>
      </c>
      <c r="GW53" s="41">
        <f t="shared" ref="GW53:GW56" si="198">M53+AC53+AS53+BI53+BY53+CO53++DE53+DU53+EK53+FA53+FQ53+GG53</f>
        <v>0</v>
      </c>
      <c r="GX53" s="41">
        <f t="shared" ref="GX53:GX56" si="199">N53+AD53+AT53+BJ53+BZ53+CP53++DF53+DV53+EL53+FB53+FR53+GH53</f>
        <v>0</v>
      </c>
      <c r="GY53" s="41">
        <f t="shared" ref="GY53:GY56" si="200">O53+AE53+AU53+BK53+CA53+CQ53++DG53+DW53+EM53+FC53+FS53+GI53</f>
        <v>0</v>
      </c>
      <c r="GZ53" s="29"/>
      <c r="HA53" s="31"/>
      <c r="HN53" s="31"/>
    </row>
    <row r="54" spans="1:237" ht="15" customHeight="1" thickBot="1" x14ac:dyDescent="0.3">
      <c r="A54" s="242"/>
      <c r="B54" s="46" t="s">
        <v>11</v>
      </c>
      <c r="C54" s="47" t="s">
        <v>12</v>
      </c>
      <c r="D54" s="48">
        <v>0</v>
      </c>
      <c r="E54" s="49">
        <v>0</v>
      </c>
      <c r="F54" s="50">
        <v>0</v>
      </c>
      <c r="G54" s="51">
        <v>0</v>
      </c>
      <c r="H54" s="48">
        <v>0</v>
      </c>
      <c r="I54" s="49">
        <v>0</v>
      </c>
      <c r="J54" s="50">
        <v>0</v>
      </c>
      <c r="K54" s="51">
        <v>0</v>
      </c>
      <c r="L54" s="48">
        <v>0</v>
      </c>
      <c r="M54" s="49">
        <v>0</v>
      </c>
      <c r="N54" s="50">
        <v>0</v>
      </c>
      <c r="O54" s="51">
        <v>0</v>
      </c>
      <c r="P54" s="29"/>
      <c r="Q54" s="242"/>
      <c r="R54" s="46" t="s">
        <v>11</v>
      </c>
      <c r="S54" s="47" t="s">
        <v>12</v>
      </c>
      <c r="T54" s="48">
        <v>0</v>
      </c>
      <c r="U54" s="49">
        <v>0</v>
      </c>
      <c r="V54" s="50">
        <v>0</v>
      </c>
      <c r="W54" s="51">
        <v>0</v>
      </c>
      <c r="X54" s="48">
        <v>0</v>
      </c>
      <c r="Y54" s="49">
        <v>0</v>
      </c>
      <c r="Z54" s="50">
        <v>0</v>
      </c>
      <c r="AA54" s="51">
        <v>0</v>
      </c>
      <c r="AB54" s="48">
        <v>0</v>
      </c>
      <c r="AC54" s="49">
        <v>0</v>
      </c>
      <c r="AD54" s="50">
        <v>0</v>
      </c>
      <c r="AE54" s="51">
        <v>0</v>
      </c>
      <c r="AF54" s="29"/>
      <c r="AG54" s="242"/>
      <c r="AH54" s="46" t="s">
        <v>11</v>
      </c>
      <c r="AI54" s="47" t="s">
        <v>12</v>
      </c>
      <c r="AJ54" s="48">
        <v>0</v>
      </c>
      <c r="AK54" s="49">
        <v>0</v>
      </c>
      <c r="AL54" s="50">
        <v>0</v>
      </c>
      <c r="AM54" s="51">
        <v>0</v>
      </c>
      <c r="AN54" s="48">
        <v>0</v>
      </c>
      <c r="AO54" s="49">
        <v>0</v>
      </c>
      <c r="AP54" s="50">
        <v>0</v>
      </c>
      <c r="AQ54" s="51">
        <v>0</v>
      </c>
      <c r="AR54" s="48">
        <v>0</v>
      </c>
      <c r="AS54" s="49">
        <v>0</v>
      </c>
      <c r="AT54" s="50">
        <v>0</v>
      </c>
      <c r="AU54" s="51">
        <v>0</v>
      </c>
      <c r="AV54" s="29"/>
      <c r="AW54" s="242"/>
      <c r="AX54" s="46" t="s">
        <v>11</v>
      </c>
      <c r="AY54" s="47" t="s">
        <v>12</v>
      </c>
      <c r="AZ54" s="48">
        <v>0</v>
      </c>
      <c r="BA54" s="49">
        <v>0</v>
      </c>
      <c r="BB54" s="50">
        <v>0</v>
      </c>
      <c r="BC54" s="51">
        <v>0</v>
      </c>
      <c r="BD54" s="48">
        <v>0</v>
      </c>
      <c r="BE54" s="49">
        <v>0</v>
      </c>
      <c r="BF54" s="50">
        <v>0</v>
      </c>
      <c r="BG54" s="51">
        <v>0</v>
      </c>
      <c r="BH54" s="48">
        <v>0</v>
      </c>
      <c r="BI54" s="49">
        <v>0</v>
      </c>
      <c r="BJ54" s="50">
        <v>0</v>
      </c>
      <c r="BK54" s="51">
        <v>0</v>
      </c>
      <c r="BL54" s="29"/>
      <c r="BM54" s="242"/>
      <c r="BN54" s="46" t="s">
        <v>11</v>
      </c>
      <c r="BO54" s="47" t="s">
        <v>12</v>
      </c>
      <c r="BP54" s="48">
        <v>0</v>
      </c>
      <c r="BQ54" s="49">
        <v>0</v>
      </c>
      <c r="BR54" s="50">
        <v>0</v>
      </c>
      <c r="BS54" s="51">
        <v>0</v>
      </c>
      <c r="BT54" s="48">
        <v>0</v>
      </c>
      <c r="BU54" s="49">
        <v>0</v>
      </c>
      <c r="BV54" s="50">
        <v>0</v>
      </c>
      <c r="BW54" s="51">
        <v>0</v>
      </c>
      <c r="BX54" s="48">
        <v>0</v>
      </c>
      <c r="BY54" s="49">
        <v>0</v>
      </c>
      <c r="BZ54" s="50">
        <v>0</v>
      </c>
      <c r="CA54" s="51">
        <v>0</v>
      </c>
      <c r="CB54" s="29"/>
      <c r="CC54" s="242"/>
      <c r="CD54" s="46" t="s">
        <v>11</v>
      </c>
      <c r="CE54" s="47" t="s">
        <v>12</v>
      </c>
      <c r="CF54" s="48">
        <v>0</v>
      </c>
      <c r="CG54" s="49">
        <v>0</v>
      </c>
      <c r="CH54" s="50">
        <v>0</v>
      </c>
      <c r="CI54" s="51">
        <v>0</v>
      </c>
      <c r="CJ54" s="48">
        <v>0</v>
      </c>
      <c r="CK54" s="49">
        <v>0</v>
      </c>
      <c r="CL54" s="50">
        <v>0</v>
      </c>
      <c r="CM54" s="51">
        <v>0</v>
      </c>
      <c r="CN54" s="48">
        <v>0</v>
      </c>
      <c r="CO54" s="49">
        <v>0</v>
      </c>
      <c r="CP54" s="50">
        <v>0</v>
      </c>
      <c r="CQ54" s="51">
        <v>0</v>
      </c>
      <c r="CR54" s="29"/>
      <c r="CS54" s="242"/>
      <c r="CT54" s="46" t="s">
        <v>11</v>
      </c>
      <c r="CU54" s="47" t="s">
        <v>12</v>
      </c>
      <c r="CV54" s="152">
        <v>0</v>
      </c>
      <c r="CW54" s="153">
        <v>0</v>
      </c>
      <c r="CX54" s="154">
        <v>0</v>
      </c>
      <c r="CY54" s="155">
        <v>0</v>
      </c>
      <c r="CZ54" s="153">
        <v>0</v>
      </c>
      <c r="DA54" s="153">
        <v>0</v>
      </c>
      <c r="DB54" s="154">
        <v>0</v>
      </c>
      <c r="DC54" s="155">
        <v>0</v>
      </c>
      <c r="DD54" s="153">
        <v>0</v>
      </c>
      <c r="DE54" s="153">
        <v>0</v>
      </c>
      <c r="DF54" s="154">
        <v>0</v>
      </c>
      <c r="DG54" s="155">
        <v>0</v>
      </c>
      <c r="DH54" s="29"/>
      <c r="DI54" s="242"/>
      <c r="DJ54" s="46" t="s">
        <v>11</v>
      </c>
      <c r="DK54" s="47" t="s">
        <v>12</v>
      </c>
      <c r="DL54" s="210">
        <v>0</v>
      </c>
      <c r="DM54" s="211">
        <v>0</v>
      </c>
      <c r="DN54" s="212">
        <v>0</v>
      </c>
      <c r="DO54" s="194">
        <v>0</v>
      </c>
      <c r="DP54" s="210">
        <v>0</v>
      </c>
      <c r="DQ54" s="211">
        <v>0</v>
      </c>
      <c r="DR54" s="212">
        <v>0</v>
      </c>
      <c r="DS54" s="194">
        <v>0</v>
      </c>
      <c r="DT54" s="210">
        <v>0</v>
      </c>
      <c r="DU54" s="211">
        <v>0</v>
      </c>
      <c r="DV54" s="212">
        <v>0</v>
      </c>
      <c r="DW54" s="194">
        <v>0</v>
      </c>
      <c r="DX54" s="29"/>
      <c r="DY54" s="242"/>
      <c r="DZ54" s="46" t="s">
        <v>11</v>
      </c>
      <c r="EA54" s="47" t="s">
        <v>12</v>
      </c>
      <c r="EB54" s="48">
        <v>0</v>
      </c>
      <c r="EC54" s="49">
        <v>0</v>
      </c>
      <c r="ED54" s="50">
        <v>0</v>
      </c>
      <c r="EE54" s="51">
        <v>0</v>
      </c>
      <c r="EF54" s="48">
        <v>0</v>
      </c>
      <c r="EG54" s="49">
        <v>0</v>
      </c>
      <c r="EH54" s="50">
        <v>0</v>
      </c>
      <c r="EI54" s="51">
        <v>0</v>
      </c>
      <c r="EJ54" s="48">
        <v>0</v>
      </c>
      <c r="EK54" s="49">
        <v>0</v>
      </c>
      <c r="EL54" s="50">
        <v>0</v>
      </c>
      <c r="EM54" s="51">
        <v>0</v>
      </c>
      <c r="EN54" s="29"/>
      <c r="EO54" s="242"/>
      <c r="EP54" s="46" t="s">
        <v>11</v>
      </c>
      <c r="EQ54" s="47" t="s">
        <v>12</v>
      </c>
      <c r="ER54" s="48">
        <v>0</v>
      </c>
      <c r="ES54" s="49">
        <v>0</v>
      </c>
      <c r="ET54" s="50">
        <v>0</v>
      </c>
      <c r="EU54" s="51">
        <v>0</v>
      </c>
      <c r="EV54" s="48">
        <v>0</v>
      </c>
      <c r="EW54" s="49">
        <v>0</v>
      </c>
      <c r="EX54" s="50">
        <v>0</v>
      </c>
      <c r="EY54" s="51">
        <v>0</v>
      </c>
      <c r="EZ54" s="48">
        <v>0</v>
      </c>
      <c r="FA54" s="49">
        <v>0</v>
      </c>
      <c r="FB54" s="50">
        <v>0</v>
      </c>
      <c r="FC54" s="51">
        <v>0</v>
      </c>
      <c r="FD54" s="29"/>
      <c r="FE54" s="242"/>
      <c r="FF54" s="46" t="s">
        <v>11</v>
      </c>
      <c r="FG54" s="47" t="s">
        <v>12</v>
      </c>
      <c r="FH54" s="48">
        <v>0</v>
      </c>
      <c r="FI54" s="49">
        <v>0</v>
      </c>
      <c r="FJ54" s="50">
        <v>0</v>
      </c>
      <c r="FK54" s="51">
        <v>0</v>
      </c>
      <c r="FL54" s="48">
        <v>0</v>
      </c>
      <c r="FM54" s="49">
        <v>0</v>
      </c>
      <c r="FN54" s="50">
        <v>0</v>
      </c>
      <c r="FO54" s="51">
        <v>0</v>
      </c>
      <c r="FP54" s="48">
        <v>0</v>
      </c>
      <c r="FQ54" s="49">
        <v>0</v>
      </c>
      <c r="FR54" s="50">
        <v>0</v>
      </c>
      <c r="FS54" s="51">
        <v>0</v>
      </c>
      <c r="FT54" s="29"/>
      <c r="FU54" s="242"/>
      <c r="FV54" s="46" t="s">
        <v>11</v>
      </c>
      <c r="FW54" s="47" t="s">
        <v>12</v>
      </c>
      <c r="FX54" s="48">
        <v>0</v>
      </c>
      <c r="FY54" s="49">
        <v>0</v>
      </c>
      <c r="FZ54" s="50">
        <v>0</v>
      </c>
      <c r="GA54" s="51">
        <v>0</v>
      </c>
      <c r="GB54" s="48">
        <v>0</v>
      </c>
      <c r="GC54" s="49">
        <v>0</v>
      </c>
      <c r="GD54" s="50">
        <v>0</v>
      </c>
      <c r="GE54" s="51">
        <v>0</v>
      </c>
      <c r="GF54" s="48">
        <v>0</v>
      </c>
      <c r="GG54" s="49">
        <v>0</v>
      </c>
      <c r="GH54" s="50">
        <v>0</v>
      </c>
      <c r="GI54" s="51">
        <v>0</v>
      </c>
      <c r="GJ54" s="29"/>
      <c r="GK54" s="242"/>
      <c r="GL54" s="46" t="s">
        <v>11</v>
      </c>
      <c r="GM54" s="47" t="s">
        <v>12</v>
      </c>
      <c r="GN54" s="41">
        <f t="shared" ref="GN54:GN56" si="201">FX54</f>
        <v>0</v>
      </c>
      <c r="GO54" s="41">
        <f t="shared" si="192"/>
        <v>0</v>
      </c>
      <c r="GP54" s="41">
        <f t="shared" si="193"/>
        <v>0</v>
      </c>
      <c r="GQ54" s="41">
        <f t="shared" si="194"/>
        <v>0</v>
      </c>
      <c r="GR54" s="41">
        <f t="shared" ref="GR54:GR56" si="202">GB54</f>
        <v>0</v>
      </c>
      <c r="GS54" s="41">
        <f t="shared" si="195"/>
        <v>0</v>
      </c>
      <c r="GT54" s="41">
        <f t="shared" si="196"/>
        <v>0</v>
      </c>
      <c r="GU54" s="41">
        <f t="shared" si="197"/>
        <v>0</v>
      </c>
      <c r="GV54" s="41">
        <f t="shared" ref="GV54:GV56" si="203">GF54</f>
        <v>0</v>
      </c>
      <c r="GW54" s="41">
        <f t="shared" si="198"/>
        <v>0</v>
      </c>
      <c r="GX54" s="41">
        <f t="shared" si="199"/>
        <v>0</v>
      </c>
      <c r="GY54" s="41">
        <f t="shared" si="200"/>
        <v>0</v>
      </c>
      <c r="GZ54" s="29"/>
      <c r="HA54" s="31"/>
      <c r="HN54" s="31"/>
    </row>
    <row r="55" spans="1:237" ht="15" customHeight="1" thickBot="1" x14ac:dyDescent="0.3">
      <c r="A55" s="242"/>
      <c r="B55" s="38" t="s">
        <v>13</v>
      </c>
      <c r="C55" s="54" t="s">
        <v>10</v>
      </c>
      <c r="D55" s="40">
        <v>0</v>
      </c>
      <c r="E55" s="41">
        <v>0</v>
      </c>
      <c r="F55" s="42">
        <v>0</v>
      </c>
      <c r="G55" s="43">
        <v>0</v>
      </c>
      <c r="H55" s="40">
        <v>0</v>
      </c>
      <c r="I55" s="41">
        <v>0</v>
      </c>
      <c r="J55" s="42">
        <v>0</v>
      </c>
      <c r="K55" s="43">
        <v>0</v>
      </c>
      <c r="L55" s="40">
        <v>0</v>
      </c>
      <c r="M55" s="41">
        <v>0</v>
      </c>
      <c r="N55" s="42">
        <v>0</v>
      </c>
      <c r="O55" s="43">
        <v>0</v>
      </c>
      <c r="P55" s="29"/>
      <c r="Q55" s="242"/>
      <c r="R55" s="38" t="s">
        <v>13</v>
      </c>
      <c r="S55" s="54" t="s">
        <v>10</v>
      </c>
      <c r="T55" s="40">
        <v>0</v>
      </c>
      <c r="U55" s="41">
        <v>0</v>
      </c>
      <c r="V55" s="42">
        <v>0</v>
      </c>
      <c r="W55" s="43">
        <v>0</v>
      </c>
      <c r="X55" s="40">
        <v>0</v>
      </c>
      <c r="Y55" s="41">
        <v>0</v>
      </c>
      <c r="Z55" s="42">
        <v>0</v>
      </c>
      <c r="AA55" s="43">
        <v>0</v>
      </c>
      <c r="AB55" s="40">
        <v>0</v>
      </c>
      <c r="AC55" s="41">
        <v>0</v>
      </c>
      <c r="AD55" s="42">
        <v>0</v>
      </c>
      <c r="AE55" s="43">
        <v>0</v>
      </c>
      <c r="AF55" s="29"/>
      <c r="AG55" s="242"/>
      <c r="AH55" s="38" t="s">
        <v>13</v>
      </c>
      <c r="AI55" s="54" t="s">
        <v>10</v>
      </c>
      <c r="AJ55" s="40">
        <v>0</v>
      </c>
      <c r="AK55" s="41">
        <v>0</v>
      </c>
      <c r="AL55" s="42">
        <v>0</v>
      </c>
      <c r="AM55" s="43">
        <v>0</v>
      </c>
      <c r="AN55" s="40">
        <v>0</v>
      </c>
      <c r="AO55" s="41">
        <v>0</v>
      </c>
      <c r="AP55" s="42">
        <v>0</v>
      </c>
      <c r="AQ55" s="43">
        <v>0</v>
      </c>
      <c r="AR55" s="40">
        <v>0</v>
      </c>
      <c r="AS55" s="41">
        <v>0</v>
      </c>
      <c r="AT55" s="42">
        <v>0</v>
      </c>
      <c r="AU55" s="43">
        <v>0</v>
      </c>
      <c r="AV55" s="29"/>
      <c r="AW55" s="242"/>
      <c r="AX55" s="38" t="s">
        <v>13</v>
      </c>
      <c r="AY55" s="54" t="s">
        <v>10</v>
      </c>
      <c r="AZ55" s="40">
        <v>0</v>
      </c>
      <c r="BA55" s="41">
        <v>0</v>
      </c>
      <c r="BB55" s="42">
        <v>0</v>
      </c>
      <c r="BC55" s="43">
        <v>0</v>
      </c>
      <c r="BD55" s="40">
        <v>0</v>
      </c>
      <c r="BE55" s="41">
        <v>0</v>
      </c>
      <c r="BF55" s="42">
        <v>0</v>
      </c>
      <c r="BG55" s="43">
        <v>0</v>
      </c>
      <c r="BH55" s="40">
        <v>0</v>
      </c>
      <c r="BI55" s="41">
        <v>0</v>
      </c>
      <c r="BJ55" s="42">
        <v>0</v>
      </c>
      <c r="BK55" s="43">
        <v>0</v>
      </c>
      <c r="BL55" s="29"/>
      <c r="BM55" s="242"/>
      <c r="BN55" s="38" t="s">
        <v>13</v>
      </c>
      <c r="BO55" s="54" t="s">
        <v>10</v>
      </c>
      <c r="BP55" s="40">
        <v>0</v>
      </c>
      <c r="BQ55" s="41">
        <v>0</v>
      </c>
      <c r="BR55" s="42">
        <v>0</v>
      </c>
      <c r="BS55" s="43">
        <v>0</v>
      </c>
      <c r="BT55" s="40">
        <v>0</v>
      </c>
      <c r="BU55" s="41">
        <v>0</v>
      </c>
      <c r="BV55" s="42">
        <v>0</v>
      </c>
      <c r="BW55" s="43">
        <v>0</v>
      </c>
      <c r="BX55" s="40">
        <v>0</v>
      </c>
      <c r="BY55" s="41">
        <v>0</v>
      </c>
      <c r="BZ55" s="42">
        <v>0</v>
      </c>
      <c r="CA55" s="43">
        <v>0</v>
      </c>
      <c r="CB55" s="29"/>
      <c r="CC55" s="242"/>
      <c r="CD55" s="38" t="s">
        <v>13</v>
      </c>
      <c r="CE55" s="54" t="s">
        <v>10</v>
      </c>
      <c r="CF55" s="40">
        <v>0</v>
      </c>
      <c r="CG55" s="41">
        <v>0</v>
      </c>
      <c r="CH55" s="42">
        <v>0</v>
      </c>
      <c r="CI55" s="43">
        <v>0</v>
      </c>
      <c r="CJ55" s="40">
        <v>0</v>
      </c>
      <c r="CK55" s="41">
        <v>0</v>
      </c>
      <c r="CL55" s="42">
        <v>0</v>
      </c>
      <c r="CM55" s="43">
        <v>0</v>
      </c>
      <c r="CN55" s="40">
        <v>0</v>
      </c>
      <c r="CO55" s="41">
        <v>0</v>
      </c>
      <c r="CP55" s="42">
        <v>0</v>
      </c>
      <c r="CQ55" s="43">
        <v>0</v>
      </c>
      <c r="CR55" s="29"/>
      <c r="CS55" s="242"/>
      <c r="CT55" s="38" t="s">
        <v>13</v>
      </c>
      <c r="CU55" s="54" t="s">
        <v>10</v>
      </c>
      <c r="CV55" s="156">
        <v>0</v>
      </c>
      <c r="CW55" s="157">
        <v>0</v>
      </c>
      <c r="CX55" s="158">
        <v>0</v>
      </c>
      <c r="CY55" s="159">
        <v>0</v>
      </c>
      <c r="CZ55" s="157">
        <v>0</v>
      </c>
      <c r="DA55" s="157">
        <v>0</v>
      </c>
      <c r="DB55" s="158">
        <v>0</v>
      </c>
      <c r="DC55" s="159">
        <v>0</v>
      </c>
      <c r="DD55" s="157">
        <v>0</v>
      </c>
      <c r="DE55" s="157">
        <v>0</v>
      </c>
      <c r="DF55" s="158">
        <v>0</v>
      </c>
      <c r="DG55" s="159">
        <v>0</v>
      </c>
      <c r="DH55" s="29"/>
      <c r="DI55" s="242"/>
      <c r="DJ55" s="38" t="s">
        <v>13</v>
      </c>
      <c r="DK55" s="54" t="s">
        <v>10</v>
      </c>
      <c r="DL55" s="207">
        <v>0</v>
      </c>
      <c r="DM55" s="208">
        <v>0</v>
      </c>
      <c r="DN55" s="209">
        <v>0</v>
      </c>
      <c r="DO55" s="189">
        <v>0</v>
      </c>
      <c r="DP55" s="207">
        <v>0</v>
      </c>
      <c r="DQ55" s="208">
        <v>0</v>
      </c>
      <c r="DR55" s="209">
        <v>0</v>
      </c>
      <c r="DS55" s="189">
        <v>0</v>
      </c>
      <c r="DT55" s="207">
        <v>0</v>
      </c>
      <c r="DU55" s="208">
        <v>0</v>
      </c>
      <c r="DV55" s="209">
        <v>0</v>
      </c>
      <c r="DW55" s="189">
        <v>0</v>
      </c>
      <c r="DX55" s="29"/>
      <c r="DY55" s="242"/>
      <c r="DZ55" s="38" t="s">
        <v>13</v>
      </c>
      <c r="EA55" s="54" t="s">
        <v>10</v>
      </c>
      <c r="EB55" s="40">
        <v>0</v>
      </c>
      <c r="EC55" s="41">
        <v>0</v>
      </c>
      <c r="ED55" s="42">
        <v>0</v>
      </c>
      <c r="EE55" s="43">
        <v>0</v>
      </c>
      <c r="EF55" s="40">
        <v>0</v>
      </c>
      <c r="EG55" s="41">
        <v>0</v>
      </c>
      <c r="EH55" s="42">
        <v>0</v>
      </c>
      <c r="EI55" s="43">
        <v>0</v>
      </c>
      <c r="EJ55" s="40">
        <v>0</v>
      </c>
      <c r="EK55" s="41">
        <v>0</v>
      </c>
      <c r="EL55" s="42">
        <v>0</v>
      </c>
      <c r="EM55" s="43">
        <v>0</v>
      </c>
      <c r="EN55" s="29"/>
      <c r="EO55" s="242"/>
      <c r="EP55" s="38" t="s">
        <v>13</v>
      </c>
      <c r="EQ55" s="54" t="s">
        <v>10</v>
      </c>
      <c r="ER55" s="40">
        <v>0</v>
      </c>
      <c r="ES55" s="41">
        <v>0</v>
      </c>
      <c r="ET55" s="42">
        <v>0</v>
      </c>
      <c r="EU55" s="43">
        <v>0</v>
      </c>
      <c r="EV55" s="40">
        <v>0</v>
      </c>
      <c r="EW55" s="41">
        <v>0</v>
      </c>
      <c r="EX55" s="42">
        <v>0</v>
      </c>
      <c r="EY55" s="43">
        <v>0</v>
      </c>
      <c r="EZ55" s="40">
        <v>0</v>
      </c>
      <c r="FA55" s="41">
        <v>0</v>
      </c>
      <c r="FB55" s="42">
        <v>0</v>
      </c>
      <c r="FC55" s="43">
        <v>0</v>
      </c>
      <c r="FD55" s="29"/>
      <c r="FE55" s="242"/>
      <c r="FF55" s="38" t="s">
        <v>13</v>
      </c>
      <c r="FG55" s="54" t="s">
        <v>10</v>
      </c>
      <c r="FH55" s="40">
        <v>0</v>
      </c>
      <c r="FI55" s="41">
        <v>0</v>
      </c>
      <c r="FJ55" s="42">
        <v>0</v>
      </c>
      <c r="FK55" s="43">
        <v>0</v>
      </c>
      <c r="FL55" s="40">
        <v>0</v>
      </c>
      <c r="FM55" s="41">
        <v>0</v>
      </c>
      <c r="FN55" s="42">
        <v>0</v>
      </c>
      <c r="FO55" s="43">
        <v>0</v>
      </c>
      <c r="FP55" s="40">
        <v>0</v>
      </c>
      <c r="FQ55" s="41">
        <v>0</v>
      </c>
      <c r="FR55" s="42">
        <v>0</v>
      </c>
      <c r="FS55" s="43">
        <v>0</v>
      </c>
      <c r="FT55" s="29"/>
      <c r="FU55" s="242"/>
      <c r="FV55" s="38" t="s">
        <v>13</v>
      </c>
      <c r="FW55" s="54" t="s">
        <v>10</v>
      </c>
      <c r="FX55" s="40">
        <v>0</v>
      </c>
      <c r="FY55" s="41">
        <v>0</v>
      </c>
      <c r="FZ55" s="42">
        <v>0</v>
      </c>
      <c r="GA55" s="43">
        <v>0</v>
      </c>
      <c r="GB55" s="40">
        <v>0</v>
      </c>
      <c r="GC55" s="41">
        <v>0</v>
      </c>
      <c r="GD55" s="42">
        <v>0</v>
      </c>
      <c r="GE55" s="43">
        <v>0</v>
      </c>
      <c r="GF55" s="40">
        <v>0</v>
      </c>
      <c r="GG55" s="41">
        <v>0</v>
      </c>
      <c r="GH55" s="42">
        <v>0</v>
      </c>
      <c r="GI55" s="43">
        <v>0</v>
      </c>
      <c r="GJ55" s="29"/>
      <c r="GK55" s="242"/>
      <c r="GL55" s="38" t="s">
        <v>13</v>
      </c>
      <c r="GM55" s="54" t="s">
        <v>10</v>
      </c>
      <c r="GN55" s="41">
        <f t="shared" si="201"/>
        <v>0</v>
      </c>
      <c r="GO55" s="41">
        <f t="shared" si="192"/>
        <v>0</v>
      </c>
      <c r="GP55" s="41">
        <f t="shared" si="193"/>
        <v>0</v>
      </c>
      <c r="GQ55" s="41">
        <f t="shared" si="194"/>
        <v>0</v>
      </c>
      <c r="GR55" s="41">
        <f t="shared" si="202"/>
        <v>0</v>
      </c>
      <c r="GS55" s="41">
        <f t="shared" si="195"/>
        <v>0</v>
      </c>
      <c r="GT55" s="41">
        <f t="shared" si="196"/>
        <v>0</v>
      </c>
      <c r="GU55" s="41">
        <f t="shared" si="197"/>
        <v>0</v>
      </c>
      <c r="GV55" s="41">
        <f t="shared" si="203"/>
        <v>0</v>
      </c>
      <c r="GW55" s="41">
        <f t="shared" si="198"/>
        <v>0</v>
      </c>
      <c r="GX55" s="41">
        <f t="shared" si="199"/>
        <v>0</v>
      </c>
      <c r="GY55" s="41">
        <f t="shared" si="200"/>
        <v>0</v>
      </c>
      <c r="GZ55" s="29"/>
      <c r="HA55" s="31"/>
      <c r="HN55" s="31"/>
    </row>
    <row r="56" spans="1:237" ht="15" customHeight="1" thickBot="1" x14ac:dyDescent="0.3">
      <c r="A56" s="242"/>
      <c r="B56" s="46" t="s">
        <v>11</v>
      </c>
      <c r="C56" s="56" t="s">
        <v>12</v>
      </c>
      <c r="D56" s="48">
        <v>0</v>
      </c>
      <c r="E56" s="49">
        <v>0</v>
      </c>
      <c r="F56" s="50">
        <v>0</v>
      </c>
      <c r="G56" s="51">
        <v>0</v>
      </c>
      <c r="H56" s="48">
        <v>0</v>
      </c>
      <c r="I56" s="49">
        <v>0</v>
      </c>
      <c r="J56" s="50">
        <v>0</v>
      </c>
      <c r="K56" s="51">
        <v>0</v>
      </c>
      <c r="L56" s="48">
        <v>0</v>
      </c>
      <c r="M56" s="49">
        <v>0</v>
      </c>
      <c r="N56" s="50">
        <v>0</v>
      </c>
      <c r="O56" s="51">
        <v>0</v>
      </c>
      <c r="P56" s="29"/>
      <c r="Q56" s="242"/>
      <c r="R56" s="46" t="s">
        <v>11</v>
      </c>
      <c r="S56" s="56" t="s">
        <v>12</v>
      </c>
      <c r="T56" s="48">
        <v>0</v>
      </c>
      <c r="U56" s="49">
        <v>0</v>
      </c>
      <c r="V56" s="50">
        <v>0</v>
      </c>
      <c r="W56" s="51">
        <v>0</v>
      </c>
      <c r="X56" s="48">
        <v>0</v>
      </c>
      <c r="Y56" s="49">
        <v>0</v>
      </c>
      <c r="Z56" s="50">
        <v>0</v>
      </c>
      <c r="AA56" s="51">
        <v>0</v>
      </c>
      <c r="AB56" s="48">
        <v>0</v>
      </c>
      <c r="AC56" s="49">
        <v>0</v>
      </c>
      <c r="AD56" s="50">
        <v>0</v>
      </c>
      <c r="AE56" s="51">
        <v>0</v>
      </c>
      <c r="AF56" s="29"/>
      <c r="AG56" s="242"/>
      <c r="AH56" s="46" t="s">
        <v>11</v>
      </c>
      <c r="AI56" s="56" t="s">
        <v>12</v>
      </c>
      <c r="AJ56" s="48">
        <v>0</v>
      </c>
      <c r="AK56" s="49">
        <v>0</v>
      </c>
      <c r="AL56" s="50">
        <v>0</v>
      </c>
      <c r="AM56" s="51">
        <v>0</v>
      </c>
      <c r="AN56" s="48">
        <v>0</v>
      </c>
      <c r="AO56" s="49">
        <v>0</v>
      </c>
      <c r="AP56" s="50">
        <v>0</v>
      </c>
      <c r="AQ56" s="51">
        <v>0</v>
      </c>
      <c r="AR56" s="48">
        <v>0</v>
      </c>
      <c r="AS56" s="49">
        <v>0</v>
      </c>
      <c r="AT56" s="50">
        <v>0</v>
      </c>
      <c r="AU56" s="51">
        <v>0</v>
      </c>
      <c r="AV56" s="29"/>
      <c r="AW56" s="242"/>
      <c r="AX56" s="46" t="s">
        <v>11</v>
      </c>
      <c r="AY56" s="56" t="s">
        <v>12</v>
      </c>
      <c r="AZ56" s="48">
        <v>0</v>
      </c>
      <c r="BA56" s="49">
        <v>0</v>
      </c>
      <c r="BB56" s="50">
        <v>0</v>
      </c>
      <c r="BC56" s="51">
        <v>0</v>
      </c>
      <c r="BD56" s="48">
        <v>0</v>
      </c>
      <c r="BE56" s="49">
        <v>0</v>
      </c>
      <c r="BF56" s="50">
        <v>0</v>
      </c>
      <c r="BG56" s="51">
        <v>0</v>
      </c>
      <c r="BH56" s="48">
        <v>0</v>
      </c>
      <c r="BI56" s="49">
        <v>0</v>
      </c>
      <c r="BJ56" s="50">
        <v>0</v>
      </c>
      <c r="BK56" s="51">
        <v>0</v>
      </c>
      <c r="BL56" s="29"/>
      <c r="BM56" s="242"/>
      <c r="BN56" s="46" t="s">
        <v>11</v>
      </c>
      <c r="BO56" s="56" t="s">
        <v>12</v>
      </c>
      <c r="BP56" s="48">
        <v>0</v>
      </c>
      <c r="BQ56" s="49">
        <v>0</v>
      </c>
      <c r="BR56" s="50">
        <v>0</v>
      </c>
      <c r="BS56" s="51">
        <v>0</v>
      </c>
      <c r="BT56" s="48">
        <v>0</v>
      </c>
      <c r="BU56" s="49">
        <v>0</v>
      </c>
      <c r="BV56" s="50">
        <v>0</v>
      </c>
      <c r="BW56" s="51">
        <v>0</v>
      </c>
      <c r="BX56" s="48">
        <v>0</v>
      </c>
      <c r="BY56" s="49">
        <v>0</v>
      </c>
      <c r="BZ56" s="50">
        <v>0</v>
      </c>
      <c r="CA56" s="51">
        <v>0</v>
      </c>
      <c r="CB56" s="29"/>
      <c r="CC56" s="242"/>
      <c r="CD56" s="46" t="s">
        <v>11</v>
      </c>
      <c r="CE56" s="56" t="s">
        <v>12</v>
      </c>
      <c r="CF56" s="48">
        <v>0</v>
      </c>
      <c r="CG56" s="49">
        <v>0</v>
      </c>
      <c r="CH56" s="50">
        <v>0</v>
      </c>
      <c r="CI56" s="51">
        <v>0</v>
      </c>
      <c r="CJ56" s="48">
        <v>0</v>
      </c>
      <c r="CK56" s="49">
        <v>0</v>
      </c>
      <c r="CL56" s="50">
        <v>0</v>
      </c>
      <c r="CM56" s="51">
        <v>0</v>
      </c>
      <c r="CN56" s="48">
        <v>0</v>
      </c>
      <c r="CO56" s="49">
        <v>0</v>
      </c>
      <c r="CP56" s="50">
        <v>0</v>
      </c>
      <c r="CQ56" s="51">
        <v>0</v>
      </c>
      <c r="CR56" s="29"/>
      <c r="CS56" s="242"/>
      <c r="CT56" s="46" t="s">
        <v>11</v>
      </c>
      <c r="CU56" s="56" t="s">
        <v>12</v>
      </c>
      <c r="CV56" s="152">
        <v>0</v>
      </c>
      <c r="CW56" s="153">
        <v>0</v>
      </c>
      <c r="CX56" s="154">
        <v>0</v>
      </c>
      <c r="CY56" s="155">
        <v>0</v>
      </c>
      <c r="CZ56" s="153">
        <v>0</v>
      </c>
      <c r="DA56" s="153">
        <v>0</v>
      </c>
      <c r="DB56" s="154">
        <v>0</v>
      </c>
      <c r="DC56" s="155">
        <v>0</v>
      </c>
      <c r="DD56" s="153">
        <v>0</v>
      </c>
      <c r="DE56" s="153">
        <v>0</v>
      </c>
      <c r="DF56" s="154">
        <v>0</v>
      </c>
      <c r="DG56" s="155">
        <v>0</v>
      </c>
      <c r="DH56" s="29"/>
      <c r="DI56" s="242"/>
      <c r="DJ56" s="46" t="s">
        <v>11</v>
      </c>
      <c r="DK56" s="56" t="s">
        <v>12</v>
      </c>
      <c r="DL56" s="210">
        <v>0</v>
      </c>
      <c r="DM56" s="211">
        <v>0</v>
      </c>
      <c r="DN56" s="212">
        <v>0</v>
      </c>
      <c r="DO56" s="194">
        <v>0</v>
      </c>
      <c r="DP56" s="210">
        <v>0</v>
      </c>
      <c r="DQ56" s="211">
        <v>0</v>
      </c>
      <c r="DR56" s="212">
        <v>0</v>
      </c>
      <c r="DS56" s="194">
        <v>0</v>
      </c>
      <c r="DT56" s="210">
        <v>0</v>
      </c>
      <c r="DU56" s="211">
        <v>0</v>
      </c>
      <c r="DV56" s="212">
        <v>0</v>
      </c>
      <c r="DW56" s="194">
        <v>0</v>
      </c>
      <c r="DX56" s="29"/>
      <c r="DY56" s="242"/>
      <c r="DZ56" s="46" t="s">
        <v>11</v>
      </c>
      <c r="EA56" s="56" t="s">
        <v>12</v>
      </c>
      <c r="EB56" s="48">
        <v>0</v>
      </c>
      <c r="EC56" s="49">
        <v>0</v>
      </c>
      <c r="ED56" s="50">
        <v>0</v>
      </c>
      <c r="EE56" s="51">
        <v>0</v>
      </c>
      <c r="EF56" s="48">
        <v>0</v>
      </c>
      <c r="EG56" s="49">
        <v>0</v>
      </c>
      <c r="EH56" s="50">
        <v>0</v>
      </c>
      <c r="EI56" s="51">
        <v>0</v>
      </c>
      <c r="EJ56" s="48">
        <v>0</v>
      </c>
      <c r="EK56" s="49">
        <v>0</v>
      </c>
      <c r="EL56" s="50">
        <v>0</v>
      </c>
      <c r="EM56" s="51">
        <v>0</v>
      </c>
      <c r="EN56" s="29"/>
      <c r="EO56" s="242"/>
      <c r="EP56" s="46" t="s">
        <v>11</v>
      </c>
      <c r="EQ56" s="56" t="s">
        <v>12</v>
      </c>
      <c r="ER56" s="48">
        <v>0</v>
      </c>
      <c r="ES56" s="49">
        <v>0</v>
      </c>
      <c r="ET56" s="50">
        <v>0</v>
      </c>
      <c r="EU56" s="51">
        <v>0</v>
      </c>
      <c r="EV56" s="48">
        <v>0</v>
      </c>
      <c r="EW56" s="49">
        <v>0</v>
      </c>
      <c r="EX56" s="50">
        <v>0</v>
      </c>
      <c r="EY56" s="51">
        <v>0</v>
      </c>
      <c r="EZ56" s="48">
        <v>0</v>
      </c>
      <c r="FA56" s="49">
        <v>0</v>
      </c>
      <c r="FB56" s="50">
        <v>0</v>
      </c>
      <c r="FC56" s="51">
        <v>0</v>
      </c>
      <c r="FD56" s="29"/>
      <c r="FE56" s="242"/>
      <c r="FF56" s="46" t="s">
        <v>11</v>
      </c>
      <c r="FG56" s="56" t="s">
        <v>12</v>
      </c>
      <c r="FH56" s="48">
        <v>0</v>
      </c>
      <c r="FI56" s="49">
        <v>0</v>
      </c>
      <c r="FJ56" s="50">
        <v>0</v>
      </c>
      <c r="FK56" s="51">
        <v>0</v>
      </c>
      <c r="FL56" s="48">
        <v>0</v>
      </c>
      <c r="FM56" s="49">
        <v>0</v>
      </c>
      <c r="FN56" s="50">
        <v>0</v>
      </c>
      <c r="FO56" s="51">
        <v>0</v>
      </c>
      <c r="FP56" s="48">
        <v>0</v>
      </c>
      <c r="FQ56" s="49">
        <v>0</v>
      </c>
      <c r="FR56" s="50">
        <v>0</v>
      </c>
      <c r="FS56" s="51">
        <v>0</v>
      </c>
      <c r="FT56" s="29"/>
      <c r="FU56" s="242"/>
      <c r="FV56" s="46" t="s">
        <v>11</v>
      </c>
      <c r="FW56" s="56" t="s">
        <v>12</v>
      </c>
      <c r="FX56" s="48">
        <v>0</v>
      </c>
      <c r="FY56" s="49">
        <v>0</v>
      </c>
      <c r="FZ56" s="50">
        <v>0</v>
      </c>
      <c r="GA56" s="51">
        <v>0</v>
      </c>
      <c r="GB56" s="48">
        <v>0</v>
      </c>
      <c r="GC56" s="49">
        <v>0</v>
      </c>
      <c r="GD56" s="50">
        <v>0</v>
      </c>
      <c r="GE56" s="51">
        <v>0</v>
      </c>
      <c r="GF56" s="48">
        <v>0</v>
      </c>
      <c r="GG56" s="49">
        <v>0</v>
      </c>
      <c r="GH56" s="50">
        <v>0</v>
      </c>
      <c r="GI56" s="51">
        <v>0</v>
      </c>
      <c r="GJ56" s="29"/>
      <c r="GK56" s="242"/>
      <c r="GL56" s="46" t="s">
        <v>11</v>
      </c>
      <c r="GM56" s="56" t="s">
        <v>12</v>
      </c>
      <c r="GN56" s="41">
        <f t="shared" si="201"/>
        <v>0</v>
      </c>
      <c r="GO56" s="41">
        <f t="shared" si="192"/>
        <v>0</v>
      </c>
      <c r="GP56" s="41">
        <f t="shared" si="193"/>
        <v>0</v>
      </c>
      <c r="GQ56" s="41">
        <f t="shared" si="194"/>
        <v>0</v>
      </c>
      <c r="GR56" s="41">
        <f t="shared" si="202"/>
        <v>0</v>
      </c>
      <c r="GS56" s="41">
        <f t="shared" si="195"/>
        <v>0</v>
      </c>
      <c r="GT56" s="41">
        <f t="shared" si="196"/>
        <v>0</v>
      </c>
      <c r="GU56" s="41">
        <f t="shared" si="197"/>
        <v>0</v>
      </c>
      <c r="GV56" s="41">
        <f t="shared" si="203"/>
        <v>0</v>
      </c>
      <c r="GW56" s="41">
        <f t="shared" si="198"/>
        <v>0</v>
      </c>
      <c r="GX56" s="41">
        <f t="shared" si="199"/>
        <v>0</v>
      </c>
      <c r="GY56" s="41">
        <f t="shared" si="200"/>
        <v>0</v>
      </c>
      <c r="GZ56" s="29"/>
      <c r="HA56" s="31"/>
      <c r="HN56" s="31"/>
    </row>
    <row r="57" spans="1:237" ht="15" customHeight="1" thickBot="1" x14ac:dyDescent="0.3">
      <c r="A57" s="242"/>
      <c r="B57" s="233" t="s">
        <v>14</v>
      </c>
      <c r="C57" s="234"/>
      <c r="D57" s="58">
        <f t="shared" ref="D57:O57" si="204">SUM(D53:D56)</f>
        <v>0</v>
      </c>
      <c r="E57" s="59">
        <f t="shared" si="204"/>
        <v>0</v>
      </c>
      <c r="F57" s="60">
        <f t="shared" si="204"/>
        <v>0</v>
      </c>
      <c r="G57" s="61">
        <f t="shared" si="204"/>
        <v>0</v>
      </c>
      <c r="H57" s="58">
        <f t="shared" si="204"/>
        <v>0</v>
      </c>
      <c r="I57" s="59">
        <f t="shared" si="204"/>
        <v>0</v>
      </c>
      <c r="J57" s="60">
        <f t="shared" si="204"/>
        <v>0</v>
      </c>
      <c r="K57" s="61">
        <f t="shared" si="204"/>
        <v>0</v>
      </c>
      <c r="L57" s="58">
        <f t="shared" si="204"/>
        <v>0</v>
      </c>
      <c r="M57" s="59">
        <f t="shared" si="204"/>
        <v>0</v>
      </c>
      <c r="N57" s="60">
        <f t="shared" si="204"/>
        <v>0</v>
      </c>
      <c r="O57" s="61">
        <f t="shared" si="204"/>
        <v>0</v>
      </c>
      <c r="P57" s="29"/>
      <c r="Q57" s="242"/>
      <c r="R57" s="233" t="s">
        <v>14</v>
      </c>
      <c r="S57" s="234"/>
      <c r="T57" s="58">
        <f t="shared" ref="T57:AE57" si="205">SUM(T53:T56)</f>
        <v>0</v>
      </c>
      <c r="U57" s="59">
        <f t="shared" si="205"/>
        <v>0</v>
      </c>
      <c r="V57" s="60">
        <f t="shared" si="205"/>
        <v>0</v>
      </c>
      <c r="W57" s="61">
        <f t="shared" si="205"/>
        <v>0</v>
      </c>
      <c r="X57" s="58">
        <f t="shared" si="205"/>
        <v>0</v>
      </c>
      <c r="Y57" s="59">
        <f t="shared" si="205"/>
        <v>0</v>
      </c>
      <c r="Z57" s="60">
        <f t="shared" si="205"/>
        <v>0</v>
      </c>
      <c r="AA57" s="61">
        <f t="shared" si="205"/>
        <v>0</v>
      </c>
      <c r="AB57" s="58">
        <f t="shared" si="205"/>
        <v>0</v>
      </c>
      <c r="AC57" s="59">
        <f t="shared" si="205"/>
        <v>0</v>
      </c>
      <c r="AD57" s="60">
        <f t="shared" si="205"/>
        <v>0</v>
      </c>
      <c r="AE57" s="61">
        <f t="shared" si="205"/>
        <v>0</v>
      </c>
      <c r="AF57" s="29"/>
      <c r="AG57" s="242"/>
      <c r="AH57" s="233" t="s">
        <v>14</v>
      </c>
      <c r="AI57" s="234"/>
      <c r="AJ57" s="58">
        <f t="shared" ref="AJ57:AU57" si="206">SUM(AJ53:AJ56)</f>
        <v>0</v>
      </c>
      <c r="AK57" s="59">
        <f t="shared" si="206"/>
        <v>0</v>
      </c>
      <c r="AL57" s="60">
        <f t="shared" si="206"/>
        <v>0</v>
      </c>
      <c r="AM57" s="61">
        <f t="shared" si="206"/>
        <v>0</v>
      </c>
      <c r="AN57" s="58">
        <f t="shared" si="206"/>
        <v>0</v>
      </c>
      <c r="AO57" s="59">
        <f t="shared" si="206"/>
        <v>0</v>
      </c>
      <c r="AP57" s="60">
        <f t="shared" si="206"/>
        <v>0</v>
      </c>
      <c r="AQ57" s="61">
        <f t="shared" si="206"/>
        <v>0</v>
      </c>
      <c r="AR57" s="58">
        <f t="shared" si="206"/>
        <v>0</v>
      </c>
      <c r="AS57" s="59">
        <f t="shared" si="206"/>
        <v>0</v>
      </c>
      <c r="AT57" s="60">
        <f t="shared" si="206"/>
        <v>0</v>
      </c>
      <c r="AU57" s="61">
        <f t="shared" si="206"/>
        <v>0</v>
      </c>
      <c r="AV57" s="29"/>
      <c r="AW57" s="242"/>
      <c r="AX57" s="233" t="s">
        <v>14</v>
      </c>
      <c r="AY57" s="234"/>
      <c r="AZ57" s="58">
        <f t="shared" ref="AZ57:BK57" si="207">SUM(AZ53:AZ56)</f>
        <v>0</v>
      </c>
      <c r="BA57" s="59">
        <f t="shared" si="207"/>
        <v>0</v>
      </c>
      <c r="BB57" s="60">
        <f t="shared" si="207"/>
        <v>0</v>
      </c>
      <c r="BC57" s="61">
        <f t="shared" si="207"/>
        <v>0</v>
      </c>
      <c r="BD57" s="58">
        <f t="shared" si="207"/>
        <v>0</v>
      </c>
      <c r="BE57" s="59">
        <f t="shared" si="207"/>
        <v>0</v>
      </c>
      <c r="BF57" s="60">
        <f t="shared" si="207"/>
        <v>0</v>
      </c>
      <c r="BG57" s="61">
        <f t="shared" si="207"/>
        <v>0</v>
      </c>
      <c r="BH57" s="58">
        <f t="shared" si="207"/>
        <v>0</v>
      </c>
      <c r="BI57" s="59">
        <f t="shared" si="207"/>
        <v>0</v>
      </c>
      <c r="BJ57" s="60">
        <f t="shared" si="207"/>
        <v>0</v>
      </c>
      <c r="BK57" s="61">
        <f t="shared" si="207"/>
        <v>0</v>
      </c>
      <c r="BL57" s="29"/>
      <c r="BM57" s="242"/>
      <c r="BN57" s="233" t="s">
        <v>14</v>
      </c>
      <c r="BO57" s="234"/>
      <c r="BP57" s="58">
        <f t="shared" ref="BP57:CA57" si="208">SUM(BP53:BP56)</f>
        <v>0</v>
      </c>
      <c r="BQ57" s="59">
        <f t="shared" si="208"/>
        <v>0</v>
      </c>
      <c r="BR57" s="60">
        <f t="shared" si="208"/>
        <v>0</v>
      </c>
      <c r="BS57" s="61">
        <f t="shared" si="208"/>
        <v>0</v>
      </c>
      <c r="BT57" s="58">
        <f t="shared" si="208"/>
        <v>0</v>
      </c>
      <c r="BU57" s="59">
        <f t="shared" si="208"/>
        <v>0</v>
      </c>
      <c r="BV57" s="60">
        <f t="shared" si="208"/>
        <v>0</v>
      </c>
      <c r="BW57" s="61">
        <f t="shared" si="208"/>
        <v>0</v>
      </c>
      <c r="BX57" s="58">
        <f t="shared" si="208"/>
        <v>0</v>
      </c>
      <c r="BY57" s="59">
        <f t="shared" si="208"/>
        <v>0</v>
      </c>
      <c r="BZ57" s="60">
        <f t="shared" si="208"/>
        <v>0</v>
      </c>
      <c r="CA57" s="61">
        <f t="shared" si="208"/>
        <v>0</v>
      </c>
      <c r="CB57" s="29"/>
      <c r="CC57" s="242"/>
      <c r="CD57" s="233" t="s">
        <v>14</v>
      </c>
      <c r="CE57" s="234"/>
      <c r="CF57" s="58">
        <f t="shared" ref="CF57:CQ57" si="209">SUM(CF53:CF56)</f>
        <v>0</v>
      </c>
      <c r="CG57" s="59">
        <f t="shared" si="209"/>
        <v>0</v>
      </c>
      <c r="CH57" s="60">
        <f t="shared" si="209"/>
        <v>0</v>
      </c>
      <c r="CI57" s="61">
        <f>SUM(CI23:CI27)</f>
        <v>90</v>
      </c>
      <c r="CJ57" s="58">
        <f t="shared" si="209"/>
        <v>0</v>
      </c>
      <c r="CK57" s="59">
        <f t="shared" si="209"/>
        <v>0</v>
      </c>
      <c r="CL57" s="60">
        <f t="shared" si="209"/>
        <v>0</v>
      </c>
      <c r="CM57" s="61">
        <f t="shared" si="209"/>
        <v>0</v>
      </c>
      <c r="CN57" s="58">
        <f t="shared" si="209"/>
        <v>0</v>
      </c>
      <c r="CO57" s="59">
        <f t="shared" si="209"/>
        <v>0</v>
      </c>
      <c r="CP57" s="60">
        <f t="shared" si="209"/>
        <v>0</v>
      </c>
      <c r="CQ57" s="61">
        <f t="shared" si="209"/>
        <v>0</v>
      </c>
      <c r="CR57" s="29"/>
      <c r="CS57" s="242"/>
      <c r="CT57" s="233" t="s">
        <v>14</v>
      </c>
      <c r="CU57" s="234"/>
      <c r="CV57" s="169">
        <v>0</v>
      </c>
      <c r="CW57" s="170">
        <v>0</v>
      </c>
      <c r="CX57" s="171">
        <v>0</v>
      </c>
      <c r="CY57" s="172">
        <v>0</v>
      </c>
      <c r="CZ57" s="170">
        <v>0</v>
      </c>
      <c r="DA57" s="170">
        <v>0</v>
      </c>
      <c r="DB57" s="171">
        <v>0</v>
      </c>
      <c r="DC57" s="172">
        <v>0</v>
      </c>
      <c r="DD57" s="170">
        <v>0</v>
      </c>
      <c r="DE57" s="170">
        <v>0</v>
      </c>
      <c r="DF57" s="171">
        <v>0</v>
      </c>
      <c r="DG57" s="172">
        <v>0</v>
      </c>
      <c r="DH57" s="29"/>
      <c r="DI57" s="242"/>
      <c r="DJ57" s="233" t="s">
        <v>14</v>
      </c>
      <c r="DK57" s="234"/>
      <c r="DL57" s="199">
        <f t="shared" ref="DL57:DW57" si="210">SUM(DL53:DL56)</f>
        <v>0</v>
      </c>
      <c r="DM57" s="200">
        <f t="shared" si="210"/>
        <v>0</v>
      </c>
      <c r="DN57" s="201">
        <f t="shared" si="210"/>
        <v>0</v>
      </c>
      <c r="DO57" s="202">
        <f t="shared" si="210"/>
        <v>0</v>
      </c>
      <c r="DP57" s="199">
        <f t="shared" si="210"/>
        <v>0</v>
      </c>
      <c r="DQ57" s="200">
        <f t="shared" si="210"/>
        <v>0</v>
      </c>
      <c r="DR57" s="201">
        <f t="shared" si="210"/>
        <v>0</v>
      </c>
      <c r="DS57" s="202">
        <f t="shared" si="210"/>
        <v>0</v>
      </c>
      <c r="DT57" s="199">
        <f t="shared" si="210"/>
        <v>0</v>
      </c>
      <c r="DU57" s="200">
        <f t="shared" si="210"/>
        <v>0</v>
      </c>
      <c r="DV57" s="201">
        <f t="shared" si="210"/>
        <v>0</v>
      </c>
      <c r="DW57" s="202">
        <f t="shared" si="210"/>
        <v>0</v>
      </c>
      <c r="DX57" s="29"/>
      <c r="DY57" s="242"/>
      <c r="DZ57" s="233" t="s">
        <v>14</v>
      </c>
      <c r="EA57" s="234"/>
      <c r="EB57" s="58">
        <f t="shared" ref="EB57:EM57" si="211">SUM(EB53:EB56)</f>
        <v>0</v>
      </c>
      <c r="EC57" s="59">
        <f t="shared" si="211"/>
        <v>0</v>
      </c>
      <c r="ED57" s="60">
        <f t="shared" si="211"/>
        <v>0</v>
      </c>
      <c r="EE57" s="61">
        <f t="shared" si="211"/>
        <v>0</v>
      </c>
      <c r="EF57" s="58">
        <f t="shared" si="211"/>
        <v>0</v>
      </c>
      <c r="EG57" s="59">
        <f t="shared" si="211"/>
        <v>0</v>
      </c>
      <c r="EH57" s="60">
        <f t="shared" si="211"/>
        <v>0</v>
      </c>
      <c r="EI57" s="61">
        <f t="shared" si="211"/>
        <v>0</v>
      </c>
      <c r="EJ57" s="58">
        <f t="shared" si="211"/>
        <v>0</v>
      </c>
      <c r="EK57" s="59">
        <f t="shared" si="211"/>
        <v>0</v>
      </c>
      <c r="EL57" s="60">
        <f t="shared" si="211"/>
        <v>0</v>
      </c>
      <c r="EM57" s="61">
        <f t="shared" si="211"/>
        <v>0</v>
      </c>
      <c r="EN57" s="29"/>
      <c r="EO57" s="242"/>
      <c r="EP57" s="233" t="s">
        <v>14</v>
      </c>
      <c r="EQ57" s="234"/>
      <c r="ER57" s="58">
        <f t="shared" ref="ER57:FC57" si="212">SUM(ER53:ER56)</f>
        <v>0</v>
      </c>
      <c r="ES57" s="59">
        <f t="shared" si="212"/>
        <v>0</v>
      </c>
      <c r="ET57" s="60">
        <f t="shared" si="212"/>
        <v>0</v>
      </c>
      <c r="EU57" s="61">
        <f t="shared" si="212"/>
        <v>0</v>
      </c>
      <c r="EV57" s="58">
        <f t="shared" si="212"/>
        <v>0</v>
      </c>
      <c r="EW57" s="59">
        <f t="shared" si="212"/>
        <v>0</v>
      </c>
      <c r="EX57" s="60">
        <f t="shared" si="212"/>
        <v>0</v>
      </c>
      <c r="EY57" s="61">
        <f t="shared" si="212"/>
        <v>0</v>
      </c>
      <c r="EZ57" s="58">
        <f t="shared" si="212"/>
        <v>0</v>
      </c>
      <c r="FA57" s="59">
        <f t="shared" si="212"/>
        <v>0</v>
      </c>
      <c r="FB57" s="60">
        <f t="shared" si="212"/>
        <v>0</v>
      </c>
      <c r="FC57" s="61">
        <f t="shared" si="212"/>
        <v>0</v>
      </c>
      <c r="FD57" s="29"/>
      <c r="FE57" s="242"/>
      <c r="FF57" s="233" t="s">
        <v>14</v>
      </c>
      <c r="FG57" s="234"/>
      <c r="FH57" s="58">
        <f t="shared" ref="FH57:FS57" si="213">SUM(FH53:FH56)</f>
        <v>0</v>
      </c>
      <c r="FI57" s="59">
        <f t="shared" si="213"/>
        <v>0</v>
      </c>
      <c r="FJ57" s="60">
        <f t="shared" si="213"/>
        <v>0</v>
      </c>
      <c r="FK57" s="61">
        <f t="shared" si="213"/>
        <v>0</v>
      </c>
      <c r="FL57" s="58">
        <f t="shared" si="213"/>
        <v>0</v>
      </c>
      <c r="FM57" s="59">
        <f t="shared" si="213"/>
        <v>0</v>
      </c>
      <c r="FN57" s="60">
        <f t="shared" si="213"/>
        <v>0</v>
      </c>
      <c r="FO57" s="61">
        <f t="shared" si="213"/>
        <v>0</v>
      </c>
      <c r="FP57" s="58">
        <f t="shared" si="213"/>
        <v>0</v>
      </c>
      <c r="FQ57" s="59">
        <f t="shared" si="213"/>
        <v>0</v>
      </c>
      <c r="FR57" s="60">
        <f t="shared" si="213"/>
        <v>0</v>
      </c>
      <c r="FS57" s="61">
        <f t="shared" si="213"/>
        <v>0</v>
      </c>
      <c r="FT57" s="29"/>
      <c r="FU57" s="242"/>
      <c r="FV57" s="233" t="s">
        <v>14</v>
      </c>
      <c r="FW57" s="234"/>
      <c r="FX57" s="58">
        <f t="shared" ref="FX57:GI57" si="214">SUM(FX53:FX56)</f>
        <v>0</v>
      </c>
      <c r="FY57" s="59">
        <f t="shared" si="214"/>
        <v>0</v>
      </c>
      <c r="FZ57" s="60">
        <f t="shared" si="214"/>
        <v>0</v>
      </c>
      <c r="GA57" s="61">
        <f t="shared" si="214"/>
        <v>0</v>
      </c>
      <c r="GB57" s="58">
        <f t="shared" si="214"/>
        <v>0</v>
      </c>
      <c r="GC57" s="59">
        <f t="shared" si="214"/>
        <v>0</v>
      </c>
      <c r="GD57" s="60">
        <f t="shared" si="214"/>
        <v>0</v>
      </c>
      <c r="GE57" s="61">
        <f t="shared" si="214"/>
        <v>0</v>
      </c>
      <c r="GF57" s="58">
        <f t="shared" si="214"/>
        <v>0</v>
      </c>
      <c r="GG57" s="59">
        <f t="shared" si="214"/>
        <v>0</v>
      </c>
      <c r="GH57" s="60">
        <f t="shared" si="214"/>
        <v>0</v>
      </c>
      <c r="GI57" s="61">
        <f t="shared" si="214"/>
        <v>0</v>
      </c>
      <c r="GJ57" s="29"/>
      <c r="GK57" s="242"/>
      <c r="GL57" s="233" t="s">
        <v>14</v>
      </c>
      <c r="GM57" s="234"/>
      <c r="GN57" s="62">
        <f t="shared" ref="GN57:GY57" si="215">SUM(GN53:GN56)</f>
        <v>0</v>
      </c>
      <c r="GO57" s="63">
        <f t="shared" si="215"/>
        <v>0</v>
      </c>
      <c r="GP57" s="64">
        <f t="shared" si="215"/>
        <v>0</v>
      </c>
      <c r="GQ57" s="64">
        <f t="shared" si="215"/>
        <v>0</v>
      </c>
      <c r="GR57" s="62">
        <f t="shared" si="215"/>
        <v>0</v>
      </c>
      <c r="GS57" s="63">
        <f t="shared" si="215"/>
        <v>0</v>
      </c>
      <c r="GT57" s="64">
        <f t="shared" si="215"/>
        <v>0</v>
      </c>
      <c r="GU57" s="64">
        <f t="shared" si="215"/>
        <v>0</v>
      </c>
      <c r="GV57" s="62">
        <f t="shared" si="215"/>
        <v>0</v>
      </c>
      <c r="GW57" s="63">
        <f t="shared" si="215"/>
        <v>0</v>
      </c>
      <c r="GX57" s="64">
        <f t="shared" si="215"/>
        <v>0</v>
      </c>
      <c r="GY57" s="64">
        <f t="shared" si="215"/>
        <v>0</v>
      </c>
      <c r="GZ57" s="29"/>
      <c r="HA57" s="31"/>
      <c r="HN57" s="31"/>
    </row>
    <row r="58" spans="1:237" ht="15" customHeight="1" thickTop="1" thickBot="1" x14ac:dyDescent="0.3">
      <c r="A58" s="243"/>
      <c r="B58" s="65" t="s">
        <v>15</v>
      </c>
      <c r="C58" s="65"/>
      <c r="D58" s="66"/>
      <c r="E58" s="66" t="s">
        <v>2</v>
      </c>
      <c r="F58" s="66"/>
      <c r="G58" s="66">
        <v>0</v>
      </c>
      <c r="H58" s="66"/>
      <c r="I58" s="66" t="s">
        <v>16</v>
      </c>
      <c r="J58" s="66"/>
      <c r="K58" s="66">
        <v>0</v>
      </c>
      <c r="L58" s="66"/>
      <c r="M58" s="66" t="s">
        <v>17</v>
      </c>
      <c r="N58" s="232">
        <v>0</v>
      </c>
      <c r="O58" s="232"/>
      <c r="P58" s="29"/>
      <c r="Q58" s="243"/>
      <c r="R58" s="65" t="s">
        <v>15</v>
      </c>
      <c r="S58" s="65"/>
      <c r="T58" s="66"/>
      <c r="U58" s="66" t="s">
        <v>2</v>
      </c>
      <c r="V58" s="66"/>
      <c r="W58" s="66">
        <v>0</v>
      </c>
      <c r="X58" s="66"/>
      <c r="Y58" s="66" t="s">
        <v>16</v>
      </c>
      <c r="Z58" s="66"/>
      <c r="AA58" s="66">
        <v>0</v>
      </c>
      <c r="AB58" s="66"/>
      <c r="AC58" s="66" t="s">
        <v>17</v>
      </c>
      <c r="AD58" s="232">
        <v>0</v>
      </c>
      <c r="AE58" s="232"/>
      <c r="AF58" s="29"/>
      <c r="AG58" s="243"/>
      <c r="AH58" s="65" t="s">
        <v>15</v>
      </c>
      <c r="AI58" s="65"/>
      <c r="AJ58" s="66"/>
      <c r="AK58" s="66" t="s">
        <v>2</v>
      </c>
      <c r="AL58" s="66"/>
      <c r="AM58" s="66">
        <v>0</v>
      </c>
      <c r="AN58" s="66"/>
      <c r="AO58" s="66" t="s">
        <v>16</v>
      </c>
      <c r="AP58" s="66"/>
      <c r="AQ58" s="66">
        <v>0</v>
      </c>
      <c r="AR58" s="66"/>
      <c r="AS58" s="66" t="s">
        <v>17</v>
      </c>
      <c r="AT58" s="232">
        <v>0</v>
      </c>
      <c r="AU58" s="232"/>
      <c r="AV58" s="29"/>
      <c r="AW58" s="243"/>
      <c r="AX58" s="65" t="s">
        <v>15</v>
      </c>
      <c r="AY58" s="65"/>
      <c r="AZ58" s="66"/>
      <c r="BA58" s="66" t="s">
        <v>2</v>
      </c>
      <c r="BB58" s="66"/>
      <c r="BC58" s="66">
        <v>0</v>
      </c>
      <c r="BD58" s="66"/>
      <c r="BE58" s="66" t="s">
        <v>16</v>
      </c>
      <c r="BF58" s="66"/>
      <c r="BG58" s="66">
        <v>0</v>
      </c>
      <c r="BH58" s="66"/>
      <c r="BI58" s="66" t="s">
        <v>17</v>
      </c>
      <c r="BJ58" s="232">
        <v>0</v>
      </c>
      <c r="BK58" s="232"/>
      <c r="BL58" s="29"/>
      <c r="BM58" s="243"/>
      <c r="BN58" s="65" t="s">
        <v>15</v>
      </c>
      <c r="BO58" s="65"/>
      <c r="BP58" s="66"/>
      <c r="BQ58" s="66" t="s">
        <v>2</v>
      </c>
      <c r="BR58" s="66"/>
      <c r="BS58" s="66">
        <v>0</v>
      </c>
      <c r="BT58" s="66"/>
      <c r="BU58" s="66" t="s">
        <v>16</v>
      </c>
      <c r="BV58" s="66"/>
      <c r="BW58" s="66">
        <v>0</v>
      </c>
      <c r="BX58" s="66"/>
      <c r="BY58" s="66" t="s">
        <v>17</v>
      </c>
      <c r="BZ58" s="232">
        <v>0</v>
      </c>
      <c r="CA58" s="232"/>
      <c r="CB58" s="29"/>
      <c r="CC58" s="243"/>
      <c r="CD58" s="65" t="s">
        <v>15</v>
      </c>
      <c r="CE58" s="65"/>
      <c r="CF58" s="66"/>
      <c r="CG58" s="66" t="s">
        <v>2</v>
      </c>
      <c r="CH58" s="66"/>
      <c r="CI58" s="66">
        <v>0</v>
      </c>
      <c r="CJ58" s="66"/>
      <c r="CK58" s="66" t="s">
        <v>16</v>
      </c>
      <c r="CL58" s="66"/>
      <c r="CM58" s="66">
        <v>0</v>
      </c>
      <c r="CN58" s="66"/>
      <c r="CO58" s="66" t="s">
        <v>17</v>
      </c>
      <c r="CP58" s="232">
        <v>0</v>
      </c>
      <c r="CQ58" s="232"/>
      <c r="CR58" s="29"/>
      <c r="CS58" s="243"/>
      <c r="CT58" s="65" t="s">
        <v>15</v>
      </c>
      <c r="CU58" s="65"/>
      <c r="CV58" s="173"/>
      <c r="CW58" s="174" t="s">
        <v>2</v>
      </c>
      <c r="CX58" s="173"/>
      <c r="CY58" s="175">
        <v>0</v>
      </c>
      <c r="CZ58" s="173"/>
      <c r="DA58" s="174" t="s">
        <v>16</v>
      </c>
      <c r="DB58" s="173"/>
      <c r="DC58" s="175">
        <v>0</v>
      </c>
      <c r="DD58" s="173"/>
      <c r="DE58" s="175" t="s">
        <v>17</v>
      </c>
      <c r="DF58" s="249">
        <v>0</v>
      </c>
      <c r="DG58" s="250"/>
      <c r="DH58" s="29"/>
      <c r="DI58" s="243"/>
      <c r="DJ58" s="65" t="s">
        <v>15</v>
      </c>
      <c r="DK58" s="65"/>
      <c r="DL58" s="203"/>
      <c r="DM58" s="203" t="s">
        <v>2</v>
      </c>
      <c r="DN58" s="203"/>
      <c r="DO58" s="203">
        <v>0</v>
      </c>
      <c r="DP58" s="203"/>
      <c r="DQ58" s="203" t="s">
        <v>16</v>
      </c>
      <c r="DR58" s="203"/>
      <c r="DS58" s="203">
        <v>0</v>
      </c>
      <c r="DT58" s="203"/>
      <c r="DU58" s="203" t="s">
        <v>17</v>
      </c>
      <c r="DV58" s="247">
        <v>0</v>
      </c>
      <c r="DW58" s="248"/>
      <c r="DX58" s="29"/>
      <c r="DY58" s="243"/>
      <c r="DZ58" s="65" t="s">
        <v>15</v>
      </c>
      <c r="EA58" s="65"/>
      <c r="EB58" s="66"/>
      <c r="EC58" s="66" t="s">
        <v>2</v>
      </c>
      <c r="ED58" s="66"/>
      <c r="EE58" s="66">
        <v>0</v>
      </c>
      <c r="EF58" s="66"/>
      <c r="EG58" s="66" t="s">
        <v>16</v>
      </c>
      <c r="EH58" s="66"/>
      <c r="EI58" s="66">
        <v>0</v>
      </c>
      <c r="EJ58" s="66"/>
      <c r="EK58" s="66" t="s">
        <v>17</v>
      </c>
      <c r="EL58" s="232">
        <v>0</v>
      </c>
      <c r="EM58" s="232"/>
      <c r="EN58" s="29"/>
      <c r="EO58" s="243"/>
      <c r="EP58" s="65" t="s">
        <v>15</v>
      </c>
      <c r="EQ58" s="65"/>
      <c r="ER58" s="66"/>
      <c r="ES58" s="66" t="s">
        <v>2</v>
      </c>
      <c r="ET58" s="66"/>
      <c r="EU58" s="66">
        <v>0</v>
      </c>
      <c r="EV58" s="66"/>
      <c r="EW58" s="66" t="s">
        <v>16</v>
      </c>
      <c r="EX58" s="66"/>
      <c r="EY58" s="66">
        <v>0</v>
      </c>
      <c r="EZ58" s="66"/>
      <c r="FA58" s="66" t="s">
        <v>17</v>
      </c>
      <c r="FB58" s="232">
        <v>0</v>
      </c>
      <c r="FC58" s="232"/>
      <c r="FD58" s="29"/>
      <c r="FE58" s="243"/>
      <c r="FF58" s="65" t="s">
        <v>15</v>
      </c>
      <c r="FG58" s="65"/>
      <c r="FH58" s="66"/>
      <c r="FI58" s="66" t="s">
        <v>2</v>
      </c>
      <c r="FJ58" s="66"/>
      <c r="FK58" s="66">
        <v>0</v>
      </c>
      <c r="FL58" s="66"/>
      <c r="FM58" s="66" t="s">
        <v>16</v>
      </c>
      <c r="FN58" s="66"/>
      <c r="FO58" s="66">
        <v>0</v>
      </c>
      <c r="FP58" s="66"/>
      <c r="FQ58" s="66" t="s">
        <v>17</v>
      </c>
      <c r="FR58" s="232">
        <v>0</v>
      </c>
      <c r="FS58" s="232"/>
      <c r="FT58" s="29"/>
      <c r="FU58" s="243"/>
      <c r="FV58" s="65" t="s">
        <v>15</v>
      </c>
      <c r="FW58" s="65"/>
      <c r="FX58" s="66"/>
      <c r="FY58" s="66" t="s">
        <v>2</v>
      </c>
      <c r="FZ58" s="66"/>
      <c r="GA58" s="66">
        <v>0</v>
      </c>
      <c r="GB58" s="66"/>
      <c r="GC58" s="66" t="s">
        <v>16</v>
      </c>
      <c r="GD58" s="66"/>
      <c r="GE58" s="66">
        <v>0</v>
      </c>
      <c r="GF58" s="66"/>
      <c r="GG58" s="66" t="s">
        <v>17</v>
      </c>
      <c r="GH58" s="232">
        <v>0</v>
      </c>
      <c r="GI58" s="232"/>
      <c r="GJ58" s="29"/>
      <c r="GK58" s="243"/>
      <c r="GL58" s="65" t="s">
        <v>15</v>
      </c>
      <c r="GM58" s="65"/>
      <c r="GN58" s="66"/>
      <c r="GO58" s="66" t="s">
        <v>2</v>
      </c>
      <c r="GP58" s="66"/>
      <c r="GQ58" s="66"/>
      <c r="GR58" s="66">
        <f>G58+W58+AM58+BC58+BS58+CI58+CY58+DO58+EE58+EU58+FK58+GA58</f>
        <v>0</v>
      </c>
      <c r="GS58" s="66" t="s">
        <v>16</v>
      </c>
      <c r="GT58" s="66"/>
      <c r="GU58" s="66"/>
      <c r="GV58" s="66">
        <f>K58+AA58+AQ58+BG58+BW58+CM58+DC58+DS58+EI58+EY58+FO58+GE58</f>
        <v>0</v>
      </c>
      <c r="GW58" s="66" t="s">
        <v>17</v>
      </c>
      <c r="GX58" s="66"/>
      <c r="GY58" s="66">
        <f>N58+AD58+AT58+BJ58+BZ58+CP58+DF58+DV58+EL58+FB58+FR58+GH58</f>
        <v>0</v>
      </c>
      <c r="GZ58" s="29"/>
      <c r="HA58" s="31"/>
      <c r="HN58" s="31"/>
    </row>
    <row r="59" spans="1:237" ht="15" customHeight="1" thickBot="1" x14ac:dyDescent="0.3">
      <c r="A59" s="241">
        <v>0</v>
      </c>
      <c r="B59" s="38"/>
      <c r="C59" s="39" t="s">
        <v>10</v>
      </c>
      <c r="D59" s="40">
        <v>0</v>
      </c>
      <c r="E59" s="41">
        <v>0</v>
      </c>
      <c r="F59" s="42">
        <v>0</v>
      </c>
      <c r="G59" s="43">
        <v>0</v>
      </c>
      <c r="H59" s="40">
        <v>0</v>
      </c>
      <c r="I59" s="41">
        <v>0</v>
      </c>
      <c r="J59" s="42">
        <v>0</v>
      </c>
      <c r="K59" s="43">
        <v>0</v>
      </c>
      <c r="L59" s="40">
        <v>0</v>
      </c>
      <c r="M59" s="41">
        <v>0</v>
      </c>
      <c r="N59" s="42">
        <v>0</v>
      </c>
      <c r="O59" s="43">
        <v>0</v>
      </c>
      <c r="P59" s="29"/>
      <c r="Q59" s="241">
        <v>0</v>
      </c>
      <c r="R59" s="38"/>
      <c r="S59" s="39" t="s">
        <v>10</v>
      </c>
      <c r="T59" s="40">
        <v>0</v>
      </c>
      <c r="U59" s="41">
        <v>0</v>
      </c>
      <c r="V59" s="42">
        <v>0</v>
      </c>
      <c r="W59" s="43">
        <v>0</v>
      </c>
      <c r="X59" s="40">
        <v>0</v>
      </c>
      <c r="Y59" s="41">
        <v>0</v>
      </c>
      <c r="Z59" s="42">
        <v>0</v>
      </c>
      <c r="AA59" s="43">
        <v>0</v>
      </c>
      <c r="AB59" s="40">
        <v>0</v>
      </c>
      <c r="AC59" s="41">
        <v>0</v>
      </c>
      <c r="AD59" s="42">
        <v>0</v>
      </c>
      <c r="AE59" s="43">
        <v>0</v>
      </c>
      <c r="AF59" s="29"/>
      <c r="AG59" s="241">
        <v>0</v>
      </c>
      <c r="AH59" s="38"/>
      <c r="AI59" s="39" t="s">
        <v>10</v>
      </c>
      <c r="AJ59" s="40">
        <v>0</v>
      </c>
      <c r="AK59" s="41">
        <v>0</v>
      </c>
      <c r="AL59" s="42">
        <v>0</v>
      </c>
      <c r="AM59" s="43">
        <v>0</v>
      </c>
      <c r="AN59" s="40">
        <v>0</v>
      </c>
      <c r="AO59" s="41">
        <v>0</v>
      </c>
      <c r="AP59" s="42">
        <v>0</v>
      </c>
      <c r="AQ59" s="43">
        <v>0</v>
      </c>
      <c r="AR59" s="40">
        <v>0</v>
      </c>
      <c r="AS59" s="41">
        <v>0</v>
      </c>
      <c r="AT59" s="42">
        <v>0</v>
      </c>
      <c r="AU59" s="43">
        <v>0</v>
      </c>
      <c r="AV59" s="29"/>
      <c r="AW59" s="241">
        <v>0</v>
      </c>
      <c r="AX59" s="38"/>
      <c r="AY59" s="39" t="s">
        <v>10</v>
      </c>
      <c r="AZ59" s="40">
        <v>0</v>
      </c>
      <c r="BA59" s="41">
        <v>0</v>
      </c>
      <c r="BB59" s="42">
        <v>0</v>
      </c>
      <c r="BC59" s="43">
        <v>0</v>
      </c>
      <c r="BD59" s="40">
        <v>0</v>
      </c>
      <c r="BE59" s="41">
        <v>0</v>
      </c>
      <c r="BF59" s="42">
        <v>0</v>
      </c>
      <c r="BG59" s="43">
        <v>0</v>
      </c>
      <c r="BH59" s="40">
        <v>0</v>
      </c>
      <c r="BI59" s="41">
        <v>0</v>
      </c>
      <c r="BJ59" s="42">
        <v>0</v>
      </c>
      <c r="BK59" s="43">
        <v>0</v>
      </c>
      <c r="BL59" s="29"/>
      <c r="BM59" s="241">
        <v>0</v>
      </c>
      <c r="BN59" s="38"/>
      <c r="BO59" s="39" t="s">
        <v>10</v>
      </c>
      <c r="BP59" s="40">
        <v>0</v>
      </c>
      <c r="BQ59" s="41">
        <v>0</v>
      </c>
      <c r="BR59" s="42">
        <v>0</v>
      </c>
      <c r="BS59" s="43">
        <v>0</v>
      </c>
      <c r="BT59" s="40">
        <v>0</v>
      </c>
      <c r="BU59" s="41">
        <v>0</v>
      </c>
      <c r="BV59" s="42">
        <v>0</v>
      </c>
      <c r="BW59" s="43">
        <v>0</v>
      </c>
      <c r="BX59" s="40">
        <v>0</v>
      </c>
      <c r="BY59" s="41">
        <v>0</v>
      </c>
      <c r="BZ59" s="42">
        <v>0</v>
      </c>
      <c r="CA59" s="43">
        <v>0</v>
      </c>
      <c r="CB59" s="29"/>
      <c r="CC59" s="241">
        <v>0</v>
      </c>
      <c r="CD59" s="38"/>
      <c r="CE59" s="39" t="s">
        <v>10</v>
      </c>
      <c r="CF59" s="40">
        <v>0</v>
      </c>
      <c r="CG59" s="41">
        <v>0</v>
      </c>
      <c r="CH59" s="42">
        <v>0</v>
      </c>
      <c r="CI59" s="43">
        <v>0</v>
      </c>
      <c r="CJ59" s="40">
        <v>0</v>
      </c>
      <c r="CK59" s="41">
        <v>0</v>
      </c>
      <c r="CL59" s="42">
        <v>0</v>
      </c>
      <c r="CM59" s="43">
        <v>0</v>
      </c>
      <c r="CN59" s="40">
        <v>0</v>
      </c>
      <c r="CO59" s="41">
        <v>0</v>
      </c>
      <c r="CP59" s="42">
        <v>0</v>
      </c>
      <c r="CQ59" s="43">
        <v>0</v>
      </c>
      <c r="CR59" s="29"/>
      <c r="CS59" s="241">
        <v>0</v>
      </c>
      <c r="CT59" s="38"/>
      <c r="CU59" s="39" t="s">
        <v>10</v>
      </c>
      <c r="CV59" s="156">
        <v>0</v>
      </c>
      <c r="CW59" s="157">
        <v>0</v>
      </c>
      <c r="CX59" s="158">
        <v>0</v>
      </c>
      <c r="CY59" s="159">
        <v>0</v>
      </c>
      <c r="CZ59" s="157">
        <v>0</v>
      </c>
      <c r="DA59" s="157">
        <v>0</v>
      </c>
      <c r="DB59" s="158">
        <v>0</v>
      </c>
      <c r="DC59" s="159">
        <v>0</v>
      </c>
      <c r="DD59" s="157">
        <v>0</v>
      </c>
      <c r="DE59" s="157">
        <v>0</v>
      </c>
      <c r="DF59" s="158">
        <v>0</v>
      </c>
      <c r="DG59" s="159">
        <v>0</v>
      </c>
      <c r="DH59" s="29"/>
      <c r="DI59" s="241">
        <v>0</v>
      </c>
      <c r="DJ59" s="38"/>
      <c r="DK59" s="39" t="s">
        <v>10</v>
      </c>
      <c r="DL59" s="207">
        <v>0</v>
      </c>
      <c r="DM59" s="208">
        <v>0</v>
      </c>
      <c r="DN59" s="209">
        <v>0</v>
      </c>
      <c r="DO59" s="189">
        <v>0</v>
      </c>
      <c r="DP59" s="207">
        <v>0</v>
      </c>
      <c r="DQ59" s="208">
        <v>0</v>
      </c>
      <c r="DR59" s="209">
        <v>0</v>
      </c>
      <c r="DS59" s="189">
        <v>0</v>
      </c>
      <c r="DT59" s="207">
        <v>0</v>
      </c>
      <c r="DU59" s="208">
        <v>0</v>
      </c>
      <c r="DV59" s="209">
        <v>0</v>
      </c>
      <c r="DW59" s="189">
        <v>0</v>
      </c>
      <c r="DX59" s="29"/>
      <c r="DY59" s="241">
        <v>0</v>
      </c>
      <c r="DZ59" s="38"/>
      <c r="EA59" s="39" t="s">
        <v>10</v>
      </c>
      <c r="EB59" s="40">
        <v>0</v>
      </c>
      <c r="EC59" s="41">
        <v>0</v>
      </c>
      <c r="ED59" s="42">
        <v>0</v>
      </c>
      <c r="EE59" s="43">
        <v>0</v>
      </c>
      <c r="EF59" s="40">
        <v>0</v>
      </c>
      <c r="EG59" s="41">
        <v>0</v>
      </c>
      <c r="EH59" s="42">
        <v>0</v>
      </c>
      <c r="EI59" s="43">
        <v>0</v>
      </c>
      <c r="EJ59" s="40">
        <v>0</v>
      </c>
      <c r="EK59" s="41">
        <v>0</v>
      </c>
      <c r="EL59" s="42">
        <v>0</v>
      </c>
      <c r="EM59" s="43">
        <v>0</v>
      </c>
      <c r="EN59" s="29"/>
      <c r="EO59" s="241">
        <v>0</v>
      </c>
      <c r="EP59" s="38"/>
      <c r="EQ59" s="39" t="s">
        <v>10</v>
      </c>
      <c r="ER59" s="40">
        <v>0</v>
      </c>
      <c r="ES59" s="41">
        <v>0</v>
      </c>
      <c r="ET59" s="42">
        <v>0</v>
      </c>
      <c r="EU59" s="43">
        <v>0</v>
      </c>
      <c r="EV59" s="40">
        <v>0</v>
      </c>
      <c r="EW59" s="41">
        <v>0</v>
      </c>
      <c r="EX59" s="42">
        <v>0</v>
      </c>
      <c r="EY59" s="43">
        <v>0</v>
      </c>
      <c r="EZ59" s="40">
        <v>0</v>
      </c>
      <c r="FA59" s="41">
        <v>0</v>
      </c>
      <c r="FB59" s="42">
        <v>0</v>
      </c>
      <c r="FC59" s="43">
        <v>0</v>
      </c>
      <c r="FD59" s="29"/>
      <c r="FE59" s="241">
        <v>0</v>
      </c>
      <c r="FF59" s="38"/>
      <c r="FG59" s="39" t="s">
        <v>10</v>
      </c>
      <c r="FH59" s="40">
        <v>0</v>
      </c>
      <c r="FI59" s="41">
        <v>0</v>
      </c>
      <c r="FJ59" s="42">
        <v>0</v>
      </c>
      <c r="FK59" s="43">
        <v>0</v>
      </c>
      <c r="FL59" s="40">
        <v>0</v>
      </c>
      <c r="FM59" s="41">
        <v>0</v>
      </c>
      <c r="FN59" s="42">
        <v>0</v>
      </c>
      <c r="FO59" s="43">
        <v>0</v>
      </c>
      <c r="FP59" s="40">
        <v>0</v>
      </c>
      <c r="FQ59" s="41">
        <v>0</v>
      </c>
      <c r="FR59" s="42">
        <v>0</v>
      </c>
      <c r="FS59" s="43">
        <v>0</v>
      </c>
      <c r="FT59" s="29"/>
      <c r="FU59" s="241">
        <v>0</v>
      </c>
      <c r="FV59" s="38"/>
      <c r="FW59" s="39" t="s">
        <v>10</v>
      </c>
      <c r="FX59" s="40">
        <v>0</v>
      </c>
      <c r="FY59" s="41">
        <v>0</v>
      </c>
      <c r="FZ59" s="42">
        <v>0</v>
      </c>
      <c r="GA59" s="43">
        <v>0</v>
      </c>
      <c r="GB59" s="40">
        <v>0</v>
      </c>
      <c r="GC59" s="41">
        <v>0</v>
      </c>
      <c r="GD59" s="42">
        <v>0</v>
      </c>
      <c r="GE59" s="43">
        <v>0</v>
      </c>
      <c r="GF59" s="40">
        <v>0</v>
      </c>
      <c r="GG59" s="41">
        <v>0</v>
      </c>
      <c r="GH59" s="42">
        <v>0</v>
      </c>
      <c r="GI59" s="43">
        <v>0</v>
      </c>
      <c r="GJ59" s="29"/>
      <c r="GK59" s="241">
        <f t="shared" ref="GK59" si="216">FU59</f>
        <v>0</v>
      </c>
      <c r="GL59" s="38"/>
      <c r="GM59" s="39" t="s">
        <v>10</v>
      </c>
      <c r="GN59" s="41">
        <f>FX59</f>
        <v>0</v>
      </c>
      <c r="GO59" s="41">
        <f t="shared" ref="GO59:GO62" si="217">E59+U59+AK59+BA59+BQ59+CG59++CW59+DM59+EC59+ES59+FI59+FY59</f>
        <v>0</v>
      </c>
      <c r="GP59" s="41">
        <f t="shared" ref="GP59:GP62" si="218">F59+V59+AL59+BB59+BR59+CH59++CX59+DN59+ED59+ET59+FJ59+FZ59</f>
        <v>0</v>
      </c>
      <c r="GQ59" s="41">
        <f t="shared" ref="GQ59:GQ62" si="219">G59+W59+AM59+BC59+BS59+CI59++CY59+DO59+EE59+EU59+FK59+GA59</f>
        <v>0</v>
      </c>
      <c r="GR59" s="41">
        <f>GB59</f>
        <v>0</v>
      </c>
      <c r="GS59" s="41">
        <f t="shared" ref="GS59:GS62" si="220">I59+Y59+AO59+BE59+BU59+CK59++DA59+DQ59+EG59+EW59+FM59+GC59</f>
        <v>0</v>
      </c>
      <c r="GT59" s="41">
        <f t="shared" ref="GT59:GT62" si="221">J59+Z59+AP59+BF59+BV59+CL59++DB59+DR59+EH59+EX59+FN59+GD59</f>
        <v>0</v>
      </c>
      <c r="GU59" s="41">
        <f t="shared" ref="GU59:GU62" si="222">K59+AA59+AQ59+BG59+BW59+CM59++DC59+DS59+EI59+EY59+FO59+GE59</f>
        <v>0</v>
      </c>
      <c r="GV59" s="41">
        <f>GF59</f>
        <v>0</v>
      </c>
      <c r="GW59" s="41">
        <f t="shared" ref="GW59:GW62" si="223">M59+AC59+AS59+BI59+BY59+CO59++DE59+DU59+EK59+FA59+FQ59+GG59</f>
        <v>0</v>
      </c>
      <c r="GX59" s="41">
        <f t="shared" ref="GX59:GX62" si="224">N59+AD59+AT59+BJ59+BZ59+CP59++DF59+DV59+EL59+FB59+FR59+GH59</f>
        <v>0</v>
      </c>
      <c r="GY59" s="41">
        <f t="shared" ref="GY59:GY62" si="225">O59+AE59+AU59+BK59+CA59+CQ59++DG59+DW59+EM59+FC59+FS59+GI59</f>
        <v>0</v>
      </c>
      <c r="GZ59" s="29"/>
      <c r="HA59" s="31"/>
      <c r="HN59" s="31"/>
    </row>
    <row r="60" spans="1:237" ht="15" customHeight="1" thickBot="1" x14ac:dyDescent="0.3">
      <c r="A60" s="242"/>
      <c r="B60" s="46" t="s">
        <v>11</v>
      </c>
      <c r="C60" s="47" t="s">
        <v>12</v>
      </c>
      <c r="D60" s="48">
        <v>0</v>
      </c>
      <c r="E60" s="49">
        <v>0</v>
      </c>
      <c r="F60" s="50">
        <v>0</v>
      </c>
      <c r="G60" s="51">
        <v>0</v>
      </c>
      <c r="H60" s="48">
        <v>0</v>
      </c>
      <c r="I60" s="49">
        <v>0</v>
      </c>
      <c r="J60" s="50">
        <v>0</v>
      </c>
      <c r="K60" s="51">
        <v>0</v>
      </c>
      <c r="L60" s="48">
        <v>0</v>
      </c>
      <c r="M60" s="49">
        <v>0</v>
      </c>
      <c r="N60" s="50">
        <v>0</v>
      </c>
      <c r="O60" s="51">
        <v>0</v>
      </c>
      <c r="P60" s="29"/>
      <c r="Q60" s="242"/>
      <c r="R60" s="46" t="s">
        <v>11</v>
      </c>
      <c r="S60" s="47" t="s">
        <v>12</v>
      </c>
      <c r="T60" s="48">
        <v>0</v>
      </c>
      <c r="U60" s="49">
        <v>0</v>
      </c>
      <c r="V60" s="50">
        <v>0</v>
      </c>
      <c r="W60" s="51">
        <v>0</v>
      </c>
      <c r="X60" s="48">
        <v>0</v>
      </c>
      <c r="Y60" s="49">
        <v>0</v>
      </c>
      <c r="Z60" s="50">
        <v>0</v>
      </c>
      <c r="AA60" s="51">
        <v>0</v>
      </c>
      <c r="AB60" s="48">
        <v>0</v>
      </c>
      <c r="AC60" s="49">
        <v>0</v>
      </c>
      <c r="AD60" s="50">
        <v>0</v>
      </c>
      <c r="AE60" s="51">
        <v>0</v>
      </c>
      <c r="AF60" s="29"/>
      <c r="AG60" s="242"/>
      <c r="AH60" s="46" t="s">
        <v>11</v>
      </c>
      <c r="AI60" s="47" t="s">
        <v>12</v>
      </c>
      <c r="AJ60" s="48">
        <v>0</v>
      </c>
      <c r="AK60" s="49">
        <v>0</v>
      </c>
      <c r="AL60" s="50">
        <v>0</v>
      </c>
      <c r="AM60" s="51">
        <v>0</v>
      </c>
      <c r="AN60" s="48">
        <v>0</v>
      </c>
      <c r="AO60" s="49">
        <v>0</v>
      </c>
      <c r="AP60" s="50">
        <v>0</v>
      </c>
      <c r="AQ60" s="51">
        <v>0</v>
      </c>
      <c r="AR60" s="48">
        <v>0</v>
      </c>
      <c r="AS60" s="49">
        <v>0</v>
      </c>
      <c r="AT60" s="50">
        <v>0</v>
      </c>
      <c r="AU60" s="51">
        <v>0</v>
      </c>
      <c r="AV60" s="29"/>
      <c r="AW60" s="242"/>
      <c r="AX60" s="46" t="s">
        <v>11</v>
      </c>
      <c r="AY60" s="47" t="s">
        <v>12</v>
      </c>
      <c r="AZ60" s="48">
        <v>0</v>
      </c>
      <c r="BA60" s="49">
        <v>0</v>
      </c>
      <c r="BB60" s="50">
        <v>0</v>
      </c>
      <c r="BC60" s="51">
        <v>0</v>
      </c>
      <c r="BD60" s="48">
        <v>0</v>
      </c>
      <c r="BE60" s="49">
        <v>0</v>
      </c>
      <c r="BF60" s="50">
        <v>0</v>
      </c>
      <c r="BG60" s="51">
        <v>0</v>
      </c>
      <c r="BH60" s="48">
        <v>0</v>
      </c>
      <c r="BI60" s="49">
        <v>0</v>
      </c>
      <c r="BJ60" s="50">
        <v>0</v>
      </c>
      <c r="BK60" s="51">
        <v>0</v>
      </c>
      <c r="BL60" s="29"/>
      <c r="BM60" s="242"/>
      <c r="BN60" s="46" t="s">
        <v>11</v>
      </c>
      <c r="BO60" s="47" t="s">
        <v>12</v>
      </c>
      <c r="BP60" s="48">
        <v>0</v>
      </c>
      <c r="BQ60" s="49">
        <v>0</v>
      </c>
      <c r="BR60" s="50">
        <v>0</v>
      </c>
      <c r="BS60" s="51">
        <v>0</v>
      </c>
      <c r="BT60" s="48">
        <v>0</v>
      </c>
      <c r="BU60" s="49">
        <v>0</v>
      </c>
      <c r="BV60" s="50">
        <v>0</v>
      </c>
      <c r="BW60" s="51">
        <v>0</v>
      </c>
      <c r="BX60" s="48">
        <v>0</v>
      </c>
      <c r="BY60" s="49">
        <v>0</v>
      </c>
      <c r="BZ60" s="50">
        <v>0</v>
      </c>
      <c r="CA60" s="51">
        <v>0</v>
      </c>
      <c r="CB60" s="29"/>
      <c r="CC60" s="242"/>
      <c r="CD60" s="46" t="s">
        <v>11</v>
      </c>
      <c r="CE60" s="47" t="s">
        <v>12</v>
      </c>
      <c r="CF60" s="48">
        <v>0</v>
      </c>
      <c r="CG60" s="49">
        <v>0</v>
      </c>
      <c r="CH60" s="50">
        <v>0</v>
      </c>
      <c r="CI60" s="51">
        <v>0</v>
      </c>
      <c r="CJ60" s="48">
        <v>0</v>
      </c>
      <c r="CK60" s="49">
        <v>0</v>
      </c>
      <c r="CL60" s="50">
        <v>0</v>
      </c>
      <c r="CM60" s="51">
        <v>0</v>
      </c>
      <c r="CN60" s="48">
        <v>0</v>
      </c>
      <c r="CO60" s="49">
        <v>0</v>
      </c>
      <c r="CP60" s="50">
        <v>0</v>
      </c>
      <c r="CQ60" s="51">
        <v>0</v>
      </c>
      <c r="CR60" s="29"/>
      <c r="CS60" s="242"/>
      <c r="CT60" s="46" t="s">
        <v>11</v>
      </c>
      <c r="CU60" s="47" t="s">
        <v>12</v>
      </c>
      <c r="CV60" s="152">
        <v>0</v>
      </c>
      <c r="CW60" s="153">
        <v>0</v>
      </c>
      <c r="CX60" s="154">
        <v>0</v>
      </c>
      <c r="CY60" s="155">
        <v>0</v>
      </c>
      <c r="CZ60" s="153">
        <v>0</v>
      </c>
      <c r="DA60" s="153">
        <v>0</v>
      </c>
      <c r="DB60" s="154">
        <v>0</v>
      </c>
      <c r="DC60" s="155">
        <v>0</v>
      </c>
      <c r="DD60" s="153">
        <v>0</v>
      </c>
      <c r="DE60" s="153">
        <v>0</v>
      </c>
      <c r="DF60" s="154">
        <v>0</v>
      </c>
      <c r="DG60" s="155">
        <v>0</v>
      </c>
      <c r="DH60" s="29"/>
      <c r="DI60" s="242"/>
      <c r="DJ60" s="46" t="s">
        <v>11</v>
      </c>
      <c r="DK60" s="47" t="s">
        <v>12</v>
      </c>
      <c r="DL60" s="210">
        <v>0</v>
      </c>
      <c r="DM60" s="211">
        <v>0</v>
      </c>
      <c r="DN60" s="212">
        <v>0</v>
      </c>
      <c r="DO60" s="194">
        <v>0</v>
      </c>
      <c r="DP60" s="210">
        <v>0</v>
      </c>
      <c r="DQ60" s="211">
        <v>0</v>
      </c>
      <c r="DR60" s="212">
        <v>0</v>
      </c>
      <c r="DS60" s="194">
        <v>0</v>
      </c>
      <c r="DT60" s="210">
        <v>0</v>
      </c>
      <c r="DU60" s="211">
        <v>0</v>
      </c>
      <c r="DV60" s="212">
        <v>0</v>
      </c>
      <c r="DW60" s="194">
        <v>0</v>
      </c>
      <c r="DX60" s="29"/>
      <c r="DY60" s="242"/>
      <c r="DZ60" s="46" t="s">
        <v>11</v>
      </c>
      <c r="EA60" s="47" t="s">
        <v>12</v>
      </c>
      <c r="EB60" s="48">
        <v>0</v>
      </c>
      <c r="EC60" s="49">
        <v>0</v>
      </c>
      <c r="ED60" s="50">
        <v>0</v>
      </c>
      <c r="EE60" s="51">
        <v>0</v>
      </c>
      <c r="EF60" s="48">
        <v>0</v>
      </c>
      <c r="EG60" s="49">
        <v>0</v>
      </c>
      <c r="EH60" s="50">
        <v>0</v>
      </c>
      <c r="EI60" s="51">
        <v>0</v>
      </c>
      <c r="EJ60" s="48">
        <v>0</v>
      </c>
      <c r="EK60" s="49">
        <v>0</v>
      </c>
      <c r="EL60" s="50">
        <v>0</v>
      </c>
      <c r="EM60" s="51">
        <v>0</v>
      </c>
      <c r="EN60" s="29"/>
      <c r="EO60" s="242"/>
      <c r="EP60" s="46" t="s">
        <v>11</v>
      </c>
      <c r="EQ60" s="47" t="s">
        <v>12</v>
      </c>
      <c r="ER60" s="48">
        <v>0</v>
      </c>
      <c r="ES60" s="49">
        <v>0</v>
      </c>
      <c r="ET60" s="50">
        <v>0</v>
      </c>
      <c r="EU60" s="51">
        <v>0</v>
      </c>
      <c r="EV60" s="48">
        <v>0</v>
      </c>
      <c r="EW60" s="49">
        <v>0</v>
      </c>
      <c r="EX60" s="50">
        <v>0</v>
      </c>
      <c r="EY60" s="51">
        <v>0</v>
      </c>
      <c r="EZ60" s="48">
        <v>0</v>
      </c>
      <c r="FA60" s="49">
        <v>0</v>
      </c>
      <c r="FB60" s="50">
        <v>0</v>
      </c>
      <c r="FC60" s="51">
        <v>0</v>
      </c>
      <c r="FD60" s="29"/>
      <c r="FE60" s="242"/>
      <c r="FF60" s="46" t="s">
        <v>11</v>
      </c>
      <c r="FG60" s="47" t="s">
        <v>12</v>
      </c>
      <c r="FH60" s="48">
        <v>0</v>
      </c>
      <c r="FI60" s="49">
        <v>0</v>
      </c>
      <c r="FJ60" s="50">
        <v>0</v>
      </c>
      <c r="FK60" s="51">
        <v>0</v>
      </c>
      <c r="FL60" s="48">
        <v>0</v>
      </c>
      <c r="FM60" s="49">
        <v>0</v>
      </c>
      <c r="FN60" s="50">
        <v>0</v>
      </c>
      <c r="FO60" s="51">
        <v>0</v>
      </c>
      <c r="FP60" s="48">
        <v>0</v>
      </c>
      <c r="FQ60" s="49">
        <v>0</v>
      </c>
      <c r="FR60" s="50">
        <v>0</v>
      </c>
      <c r="FS60" s="51">
        <v>0</v>
      </c>
      <c r="FT60" s="29"/>
      <c r="FU60" s="242"/>
      <c r="FV60" s="46" t="s">
        <v>11</v>
      </c>
      <c r="FW60" s="47" t="s">
        <v>12</v>
      </c>
      <c r="FX60" s="48">
        <v>0</v>
      </c>
      <c r="FY60" s="49">
        <v>0</v>
      </c>
      <c r="FZ60" s="50">
        <v>0</v>
      </c>
      <c r="GA60" s="51">
        <v>0</v>
      </c>
      <c r="GB60" s="48">
        <v>0</v>
      </c>
      <c r="GC60" s="49">
        <v>0</v>
      </c>
      <c r="GD60" s="50">
        <v>0</v>
      </c>
      <c r="GE60" s="51">
        <v>0</v>
      </c>
      <c r="GF60" s="48">
        <v>0</v>
      </c>
      <c r="GG60" s="49">
        <v>0</v>
      </c>
      <c r="GH60" s="50">
        <v>0</v>
      </c>
      <c r="GI60" s="51">
        <v>0</v>
      </c>
      <c r="GJ60" s="29"/>
      <c r="GK60" s="242"/>
      <c r="GL60" s="46" t="s">
        <v>11</v>
      </c>
      <c r="GM60" s="47" t="s">
        <v>12</v>
      </c>
      <c r="GN60" s="41">
        <f t="shared" ref="GN60:GN62" si="226">FX60</f>
        <v>0</v>
      </c>
      <c r="GO60" s="41">
        <f t="shared" si="217"/>
        <v>0</v>
      </c>
      <c r="GP60" s="41">
        <f t="shared" si="218"/>
        <v>0</v>
      </c>
      <c r="GQ60" s="41">
        <f t="shared" si="219"/>
        <v>0</v>
      </c>
      <c r="GR60" s="41">
        <f t="shared" ref="GR60:GR62" si="227">GB60</f>
        <v>0</v>
      </c>
      <c r="GS60" s="41">
        <f t="shared" si="220"/>
        <v>0</v>
      </c>
      <c r="GT60" s="41">
        <f t="shared" si="221"/>
        <v>0</v>
      </c>
      <c r="GU60" s="41">
        <f t="shared" si="222"/>
        <v>0</v>
      </c>
      <c r="GV60" s="41">
        <f t="shared" ref="GV60:GV62" si="228">GF60</f>
        <v>0</v>
      </c>
      <c r="GW60" s="41">
        <f t="shared" si="223"/>
        <v>0</v>
      </c>
      <c r="GX60" s="41">
        <f t="shared" si="224"/>
        <v>0</v>
      </c>
      <c r="GY60" s="41">
        <f t="shared" si="225"/>
        <v>0</v>
      </c>
      <c r="GZ60" s="29"/>
      <c r="HA60" s="31"/>
      <c r="HN60" s="31"/>
    </row>
    <row r="61" spans="1:237" ht="15" customHeight="1" thickBot="1" x14ac:dyDescent="0.3">
      <c r="A61" s="242"/>
      <c r="B61" s="38" t="s">
        <v>13</v>
      </c>
      <c r="C61" s="54" t="s">
        <v>10</v>
      </c>
      <c r="D61" s="40">
        <v>0</v>
      </c>
      <c r="E61" s="41">
        <v>0</v>
      </c>
      <c r="F61" s="42">
        <v>0</v>
      </c>
      <c r="G61" s="43">
        <v>0</v>
      </c>
      <c r="H61" s="40">
        <v>0</v>
      </c>
      <c r="I61" s="41">
        <v>0</v>
      </c>
      <c r="J61" s="42">
        <v>0</v>
      </c>
      <c r="K61" s="43">
        <v>0</v>
      </c>
      <c r="L61" s="40">
        <v>0</v>
      </c>
      <c r="M61" s="41">
        <v>0</v>
      </c>
      <c r="N61" s="42">
        <v>0</v>
      </c>
      <c r="O61" s="43">
        <v>0</v>
      </c>
      <c r="P61" s="29"/>
      <c r="Q61" s="242"/>
      <c r="R61" s="38" t="s">
        <v>13</v>
      </c>
      <c r="S61" s="54" t="s">
        <v>10</v>
      </c>
      <c r="T61" s="40">
        <v>0</v>
      </c>
      <c r="U61" s="41">
        <v>0</v>
      </c>
      <c r="V61" s="42">
        <v>0</v>
      </c>
      <c r="W61" s="43">
        <v>0</v>
      </c>
      <c r="X61" s="40">
        <v>0</v>
      </c>
      <c r="Y61" s="41">
        <v>0</v>
      </c>
      <c r="Z61" s="42">
        <v>0</v>
      </c>
      <c r="AA61" s="43">
        <v>0</v>
      </c>
      <c r="AB61" s="40">
        <v>0</v>
      </c>
      <c r="AC61" s="41">
        <v>0</v>
      </c>
      <c r="AD61" s="42">
        <v>0</v>
      </c>
      <c r="AE61" s="43">
        <v>0</v>
      </c>
      <c r="AF61" s="29"/>
      <c r="AG61" s="242"/>
      <c r="AH61" s="38" t="s">
        <v>13</v>
      </c>
      <c r="AI61" s="54" t="s">
        <v>10</v>
      </c>
      <c r="AJ61" s="40">
        <v>0</v>
      </c>
      <c r="AK61" s="41">
        <v>0</v>
      </c>
      <c r="AL61" s="42">
        <v>0</v>
      </c>
      <c r="AM61" s="43">
        <v>0</v>
      </c>
      <c r="AN61" s="40">
        <v>0</v>
      </c>
      <c r="AO61" s="41">
        <v>0</v>
      </c>
      <c r="AP61" s="42">
        <v>0</v>
      </c>
      <c r="AQ61" s="43">
        <v>0</v>
      </c>
      <c r="AR61" s="40">
        <v>0</v>
      </c>
      <c r="AS61" s="41">
        <v>0</v>
      </c>
      <c r="AT61" s="42">
        <v>0</v>
      </c>
      <c r="AU61" s="43">
        <v>0</v>
      </c>
      <c r="AV61" s="29"/>
      <c r="AW61" s="242"/>
      <c r="AX61" s="38" t="s">
        <v>13</v>
      </c>
      <c r="AY61" s="54" t="s">
        <v>10</v>
      </c>
      <c r="AZ61" s="40">
        <v>0</v>
      </c>
      <c r="BA61" s="41">
        <v>0</v>
      </c>
      <c r="BB61" s="42">
        <v>0</v>
      </c>
      <c r="BC61" s="43">
        <v>0</v>
      </c>
      <c r="BD61" s="40">
        <v>0</v>
      </c>
      <c r="BE61" s="41">
        <v>0</v>
      </c>
      <c r="BF61" s="42">
        <v>0</v>
      </c>
      <c r="BG61" s="43">
        <v>0</v>
      </c>
      <c r="BH61" s="40">
        <v>0</v>
      </c>
      <c r="BI61" s="41">
        <v>0</v>
      </c>
      <c r="BJ61" s="42">
        <v>0</v>
      </c>
      <c r="BK61" s="43">
        <v>0</v>
      </c>
      <c r="BL61" s="29"/>
      <c r="BM61" s="242"/>
      <c r="BN61" s="38" t="s">
        <v>13</v>
      </c>
      <c r="BO61" s="54" t="s">
        <v>10</v>
      </c>
      <c r="BP61" s="40">
        <v>0</v>
      </c>
      <c r="BQ61" s="41">
        <v>0</v>
      </c>
      <c r="BR61" s="42">
        <v>0</v>
      </c>
      <c r="BS61" s="43">
        <v>0</v>
      </c>
      <c r="BT61" s="40">
        <v>0</v>
      </c>
      <c r="BU61" s="41">
        <v>0</v>
      </c>
      <c r="BV61" s="42">
        <v>0</v>
      </c>
      <c r="BW61" s="43">
        <v>0</v>
      </c>
      <c r="BX61" s="40">
        <v>0</v>
      </c>
      <c r="BY61" s="41">
        <v>0</v>
      </c>
      <c r="BZ61" s="42">
        <v>0</v>
      </c>
      <c r="CA61" s="43">
        <v>0</v>
      </c>
      <c r="CB61" s="29"/>
      <c r="CC61" s="242"/>
      <c r="CD61" s="38" t="s">
        <v>13</v>
      </c>
      <c r="CE61" s="54" t="s">
        <v>10</v>
      </c>
      <c r="CF61" s="40">
        <v>0</v>
      </c>
      <c r="CG61" s="41">
        <v>0</v>
      </c>
      <c r="CH61" s="42">
        <v>0</v>
      </c>
      <c r="CI61" s="43">
        <v>0</v>
      </c>
      <c r="CJ61" s="40">
        <v>0</v>
      </c>
      <c r="CK61" s="41">
        <v>0</v>
      </c>
      <c r="CL61" s="42">
        <v>0</v>
      </c>
      <c r="CM61" s="43">
        <v>0</v>
      </c>
      <c r="CN61" s="40">
        <v>0</v>
      </c>
      <c r="CO61" s="41">
        <v>0</v>
      </c>
      <c r="CP61" s="42">
        <v>0</v>
      </c>
      <c r="CQ61" s="43">
        <v>0</v>
      </c>
      <c r="CR61" s="29"/>
      <c r="CS61" s="242"/>
      <c r="CT61" s="38" t="s">
        <v>13</v>
      </c>
      <c r="CU61" s="54" t="s">
        <v>10</v>
      </c>
      <c r="CV61" s="156">
        <v>0</v>
      </c>
      <c r="CW61" s="157">
        <v>0</v>
      </c>
      <c r="CX61" s="158">
        <v>0</v>
      </c>
      <c r="CY61" s="159">
        <v>0</v>
      </c>
      <c r="CZ61" s="157">
        <v>0</v>
      </c>
      <c r="DA61" s="157">
        <v>0</v>
      </c>
      <c r="DB61" s="158">
        <v>0</v>
      </c>
      <c r="DC61" s="159">
        <v>0</v>
      </c>
      <c r="DD61" s="157">
        <v>0</v>
      </c>
      <c r="DE61" s="157">
        <v>0</v>
      </c>
      <c r="DF61" s="158">
        <v>0</v>
      </c>
      <c r="DG61" s="159">
        <v>0</v>
      </c>
      <c r="DH61" s="29"/>
      <c r="DI61" s="242"/>
      <c r="DJ61" s="38" t="s">
        <v>13</v>
      </c>
      <c r="DK61" s="54" t="s">
        <v>10</v>
      </c>
      <c r="DL61" s="207">
        <v>0</v>
      </c>
      <c r="DM61" s="208">
        <v>0</v>
      </c>
      <c r="DN61" s="209">
        <v>0</v>
      </c>
      <c r="DO61" s="189">
        <v>0</v>
      </c>
      <c r="DP61" s="207">
        <v>0</v>
      </c>
      <c r="DQ61" s="208">
        <v>0</v>
      </c>
      <c r="DR61" s="209">
        <v>0</v>
      </c>
      <c r="DS61" s="189">
        <v>0</v>
      </c>
      <c r="DT61" s="207">
        <v>0</v>
      </c>
      <c r="DU61" s="208">
        <v>0</v>
      </c>
      <c r="DV61" s="209">
        <v>0</v>
      </c>
      <c r="DW61" s="189">
        <v>0</v>
      </c>
      <c r="DX61" s="29"/>
      <c r="DY61" s="242"/>
      <c r="DZ61" s="38" t="s">
        <v>13</v>
      </c>
      <c r="EA61" s="54" t="s">
        <v>10</v>
      </c>
      <c r="EB61" s="40">
        <v>0</v>
      </c>
      <c r="EC61" s="41">
        <v>0</v>
      </c>
      <c r="ED61" s="42">
        <v>0</v>
      </c>
      <c r="EE61" s="43">
        <v>0</v>
      </c>
      <c r="EF61" s="40">
        <v>0</v>
      </c>
      <c r="EG61" s="41">
        <v>0</v>
      </c>
      <c r="EH61" s="42">
        <v>0</v>
      </c>
      <c r="EI61" s="43">
        <v>0</v>
      </c>
      <c r="EJ61" s="40">
        <v>0</v>
      </c>
      <c r="EK61" s="41">
        <v>0</v>
      </c>
      <c r="EL61" s="42">
        <v>0</v>
      </c>
      <c r="EM61" s="43">
        <v>0</v>
      </c>
      <c r="EN61" s="29"/>
      <c r="EO61" s="242"/>
      <c r="EP61" s="38" t="s">
        <v>13</v>
      </c>
      <c r="EQ61" s="54" t="s">
        <v>10</v>
      </c>
      <c r="ER61" s="40">
        <v>0</v>
      </c>
      <c r="ES61" s="41">
        <v>0</v>
      </c>
      <c r="ET61" s="42">
        <v>0</v>
      </c>
      <c r="EU61" s="43">
        <v>0</v>
      </c>
      <c r="EV61" s="40">
        <v>0</v>
      </c>
      <c r="EW61" s="41">
        <v>0</v>
      </c>
      <c r="EX61" s="42">
        <v>0</v>
      </c>
      <c r="EY61" s="43">
        <v>0</v>
      </c>
      <c r="EZ61" s="40">
        <v>0</v>
      </c>
      <c r="FA61" s="41">
        <v>0</v>
      </c>
      <c r="FB61" s="42">
        <v>0</v>
      </c>
      <c r="FC61" s="43">
        <v>0</v>
      </c>
      <c r="FD61" s="29"/>
      <c r="FE61" s="242"/>
      <c r="FF61" s="38" t="s">
        <v>13</v>
      </c>
      <c r="FG61" s="54" t="s">
        <v>10</v>
      </c>
      <c r="FH61" s="40">
        <v>0</v>
      </c>
      <c r="FI61" s="41">
        <v>0</v>
      </c>
      <c r="FJ61" s="42">
        <v>0</v>
      </c>
      <c r="FK61" s="43">
        <v>0</v>
      </c>
      <c r="FL61" s="40">
        <v>0</v>
      </c>
      <c r="FM61" s="41">
        <v>0</v>
      </c>
      <c r="FN61" s="42">
        <v>0</v>
      </c>
      <c r="FO61" s="43">
        <v>0</v>
      </c>
      <c r="FP61" s="40">
        <v>0</v>
      </c>
      <c r="FQ61" s="41">
        <v>0</v>
      </c>
      <c r="FR61" s="42">
        <v>0</v>
      </c>
      <c r="FS61" s="43">
        <v>0</v>
      </c>
      <c r="FT61" s="29"/>
      <c r="FU61" s="242"/>
      <c r="FV61" s="38" t="s">
        <v>13</v>
      </c>
      <c r="FW61" s="54" t="s">
        <v>10</v>
      </c>
      <c r="FX61" s="40">
        <v>0</v>
      </c>
      <c r="FY61" s="41">
        <v>0</v>
      </c>
      <c r="FZ61" s="42">
        <v>0</v>
      </c>
      <c r="GA61" s="43">
        <v>0</v>
      </c>
      <c r="GB61" s="40">
        <v>0</v>
      </c>
      <c r="GC61" s="41">
        <v>0</v>
      </c>
      <c r="GD61" s="42">
        <v>0</v>
      </c>
      <c r="GE61" s="43">
        <v>0</v>
      </c>
      <c r="GF61" s="40">
        <v>0</v>
      </c>
      <c r="GG61" s="41">
        <v>0</v>
      </c>
      <c r="GH61" s="42">
        <v>0</v>
      </c>
      <c r="GI61" s="43">
        <v>0</v>
      </c>
      <c r="GJ61" s="29"/>
      <c r="GK61" s="242"/>
      <c r="GL61" s="38" t="s">
        <v>13</v>
      </c>
      <c r="GM61" s="54" t="s">
        <v>10</v>
      </c>
      <c r="GN61" s="41">
        <f t="shared" si="226"/>
        <v>0</v>
      </c>
      <c r="GO61" s="41">
        <f t="shared" si="217"/>
        <v>0</v>
      </c>
      <c r="GP61" s="41">
        <f t="shared" si="218"/>
        <v>0</v>
      </c>
      <c r="GQ61" s="41">
        <f t="shared" si="219"/>
        <v>0</v>
      </c>
      <c r="GR61" s="41">
        <f t="shared" si="227"/>
        <v>0</v>
      </c>
      <c r="GS61" s="41">
        <f t="shared" si="220"/>
        <v>0</v>
      </c>
      <c r="GT61" s="41">
        <f t="shared" si="221"/>
        <v>0</v>
      </c>
      <c r="GU61" s="41">
        <f t="shared" si="222"/>
        <v>0</v>
      </c>
      <c r="GV61" s="41">
        <f t="shared" si="228"/>
        <v>0</v>
      </c>
      <c r="GW61" s="41">
        <f t="shared" si="223"/>
        <v>0</v>
      </c>
      <c r="GX61" s="41">
        <f t="shared" si="224"/>
        <v>0</v>
      </c>
      <c r="GY61" s="41">
        <f t="shared" si="225"/>
        <v>0</v>
      </c>
      <c r="GZ61" s="29"/>
      <c r="HA61" s="31"/>
      <c r="HN61" s="31"/>
    </row>
    <row r="62" spans="1:237" ht="15" customHeight="1" thickBot="1" x14ac:dyDescent="0.3">
      <c r="A62" s="242"/>
      <c r="B62" s="46" t="s">
        <v>11</v>
      </c>
      <c r="C62" s="56" t="s">
        <v>12</v>
      </c>
      <c r="D62" s="48">
        <v>0</v>
      </c>
      <c r="E62" s="49">
        <v>0</v>
      </c>
      <c r="F62" s="50">
        <v>0</v>
      </c>
      <c r="G62" s="51">
        <v>0</v>
      </c>
      <c r="H62" s="48">
        <v>0</v>
      </c>
      <c r="I62" s="49">
        <v>0</v>
      </c>
      <c r="J62" s="50">
        <v>0</v>
      </c>
      <c r="K62" s="51">
        <v>0</v>
      </c>
      <c r="L62" s="48">
        <v>0</v>
      </c>
      <c r="M62" s="49">
        <v>0</v>
      </c>
      <c r="N62" s="50">
        <v>0</v>
      </c>
      <c r="O62" s="51">
        <v>0</v>
      </c>
      <c r="P62" s="29"/>
      <c r="Q62" s="242"/>
      <c r="R62" s="46" t="s">
        <v>11</v>
      </c>
      <c r="S62" s="56" t="s">
        <v>12</v>
      </c>
      <c r="T62" s="48">
        <v>0</v>
      </c>
      <c r="U62" s="49">
        <v>0</v>
      </c>
      <c r="V62" s="50">
        <v>0</v>
      </c>
      <c r="W62" s="51">
        <v>0</v>
      </c>
      <c r="X62" s="48">
        <v>0</v>
      </c>
      <c r="Y62" s="49">
        <v>0</v>
      </c>
      <c r="Z62" s="50">
        <v>0</v>
      </c>
      <c r="AA62" s="51">
        <v>0</v>
      </c>
      <c r="AB62" s="48">
        <v>0</v>
      </c>
      <c r="AC62" s="49">
        <v>0</v>
      </c>
      <c r="AD62" s="50">
        <v>0</v>
      </c>
      <c r="AE62" s="51">
        <v>0</v>
      </c>
      <c r="AF62" s="29"/>
      <c r="AG62" s="242"/>
      <c r="AH62" s="46" t="s">
        <v>11</v>
      </c>
      <c r="AI62" s="56" t="s">
        <v>12</v>
      </c>
      <c r="AJ62" s="48">
        <v>0</v>
      </c>
      <c r="AK62" s="49">
        <v>0</v>
      </c>
      <c r="AL62" s="50">
        <v>0</v>
      </c>
      <c r="AM62" s="51">
        <v>0</v>
      </c>
      <c r="AN62" s="48">
        <v>0</v>
      </c>
      <c r="AO62" s="49">
        <v>0</v>
      </c>
      <c r="AP62" s="50">
        <v>0</v>
      </c>
      <c r="AQ62" s="51">
        <v>0</v>
      </c>
      <c r="AR62" s="48">
        <v>0</v>
      </c>
      <c r="AS62" s="49">
        <v>0</v>
      </c>
      <c r="AT62" s="50">
        <v>0</v>
      </c>
      <c r="AU62" s="51">
        <v>0</v>
      </c>
      <c r="AV62" s="29"/>
      <c r="AW62" s="242"/>
      <c r="AX62" s="46" t="s">
        <v>11</v>
      </c>
      <c r="AY62" s="56" t="s">
        <v>12</v>
      </c>
      <c r="AZ62" s="48">
        <v>0</v>
      </c>
      <c r="BA62" s="49">
        <v>0</v>
      </c>
      <c r="BB62" s="50">
        <v>0</v>
      </c>
      <c r="BC62" s="51">
        <v>0</v>
      </c>
      <c r="BD62" s="48">
        <v>0</v>
      </c>
      <c r="BE62" s="49">
        <v>0</v>
      </c>
      <c r="BF62" s="50">
        <v>0</v>
      </c>
      <c r="BG62" s="51">
        <v>0</v>
      </c>
      <c r="BH62" s="48">
        <v>0</v>
      </c>
      <c r="BI62" s="49">
        <v>0</v>
      </c>
      <c r="BJ62" s="50">
        <v>0</v>
      </c>
      <c r="BK62" s="51">
        <v>0</v>
      </c>
      <c r="BL62" s="29"/>
      <c r="BM62" s="242"/>
      <c r="BN62" s="46" t="s">
        <v>11</v>
      </c>
      <c r="BO62" s="56" t="s">
        <v>12</v>
      </c>
      <c r="BP62" s="48">
        <v>0</v>
      </c>
      <c r="BQ62" s="49">
        <v>0</v>
      </c>
      <c r="BR62" s="50">
        <v>0</v>
      </c>
      <c r="BS62" s="51">
        <v>0</v>
      </c>
      <c r="BT62" s="48">
        <v>0</v>
      </c>
      <c r="BU62" s="49">
        <v>0</v>
      </c>
      <c r="BV62" s="50">
        <v>0</v>
      </c>
      <c r="BW62" s="51">
        <v>0</v>
      </c>
      <c r="BX62" s="48">
        <v>0</v>
      </c>
      <c r="BY62" s="49">
        <v>0</v>
      </c>
      <c r="BZ62" s="50">
        <v>0</v>
      </c>
      <c r="CA62" s="51">
        <v>0</v>
      </c>
      <c r="CB62" s="29"/>
      <c r="CC62" s="242"/>
      <c r="CD62" s="46" t="s">
        <v>11</v>
      </c>
      <c r="CE62" s="56" t="s">
        <v>12</v>
      </c>
      <c r="CF62" s="48">
        <v>0</v>
      </c>
      <c r="CG62" s="49">
        <v>0</v>
      </c>
      <c r="CH62" s="50">
        <v>0</v>
      </c>
      <c r="CI62" s="51">
        <v>0</v>
      </c>
      <c r="CJ62" s="48">
        <v>0</v>
      </c>
      <c r="CK62" s="49">
        <v>0</v>
      </c>
      <c r="CL62" s="50">
        <v>0</v>
      </c>
      <c r="CM62" s="51">
        <v>0</v>
      </c>
      <c r="CN62" s="48">
        <v>0</v>
      </c>
      <c r="CO62" s="49">
        <v>0</v>
      </c>
      <c r="CP62" s="50">
        <v>0</v>
      </c>
      <c r="CQ62" s="51">
        <v>0</v>
      </c>
      <c r="CR62" s="29"/>
      <c r="CS62" s="242"/>
      <c r="CT62" s="46" t="s">
        <v>11</v>
      </c>
      <c r="CU62" s="56" t="s">
        <v>12</v>
      </c>
      <c r="CV62" s="152">
        <v>0</v>
      </c>
      <c r="CW62" s="153">
        <v>0</v>
      </c>
      <c r="CX62" s="154">
        <v>0</v>
      </c>
      <c r="CY62" s="155">
        <v>0</v>
      </c>
      <c r="CZ62" s="153">
        <v>0</v>
      </c>
      <c r="DA62" s="153">
        <v>0</v>
      </c>
      <c r="DB62" s="154">
        <v>0</v>
      </c>
      <c r="DC62" s="155">
        <v>0</v>
      </c>
      <c r="DD62" s="153">
        <v>0</v>
      </c>
      <c r="DE62" s="153">
        <v>0</v>
      </c>
      <c r="DF62" s="154">
        <v>0</v>
      </c>
      <c r="DG62" s="155">
        <v>0</v>
      </c>
      <c r="DH62" s="29"/>
      <c r="DI62" s="242"/>
      <c r="DJ62" s="46" t="s">
        <v>11</v>
      </c>
      <c r="DK62" s="56" t="s">
        <v>12</v>
      </c>
      <c r="DL62" s="210">
        <v>0</v>
      </c>
      <c r="DM62" s="211">
        <v>0</v>
      </c>
      <c r="DN62" s="212">
        <v>0</v>
      </c>
      <c r="DO62" s="194">
        <v>0</v>
      </c>
      <c r="DP62" s="210">
        <v>0</v>
      </c>
      <c r="DQ62" s="211">
        <v>0</v>
      </c>
      <c r="DR62" s="212">
        <v>0</v>
      </c>
      <c r="DS62" s="194">
        <v>0</v>
      </c>
      <c r="DT62" s="210">
        <v>0</v>
      </c>
      <c r="DU62" s="211">
        <v>0</v>
      </c>
      <c r="DV62" s="212">
        <v>0</v>
      </c>
      <c r="DW62" s="194">
        <v>0</v>
      </c>
      <c r="DX62" s="29"/>
      <c r="DY62" s="242"/>
      <c r="DZ62" s="46" t="s">
        <v>11</v>
      </c>
      <c r="EA62" s="56" t="s">
        <v>12</v>
      </c>
      <c r="EB62" s="48">
        <v>0</v>
      </c>
      <c r="EC62" s="49">
        <v>0</v>
      </c>
      <c r="ED62" s="50">
        <v>0</v>
      </c>
      <c r="EE62" s="51">
        <v>0</v>
      </c>
      <c r="EF62" s="48">
        <v>0</v>
      </c>
      <c r="EG62" s="49">
        <v>0</v>
      </c>
      <c r="EH62" s="50">
        <v>0</v>
      </c>
      <c r="EI62" s="51">
        <v>0</v>
      </c>
      <c r="EJ62" s="48">
        <v>0</v>
      </c>
      <c r="EK62" s="49">
        <v>0</v>
      </c>
      <c r="EL62" s="50">
        <v>0</v>
      </c>
      <c r="EM62" s="51">
        <v>0</v>
      </c>
      <c r="EN62" s="29"/>
      <c r="EO62" s="242"/>
      <c r="EP62" s="46" t="s">
        <v>11</v>
      </c>
      <c r="EQ62" s="56" t="s">
        <v>12</v>
      </c>
      <c r="ER62" s="48">
        <v>0</v>
      </c>
      <c r="ES62" s="49">
        <v>0</v>
      </c>
      <c r="ET62" s="50">
        <v>0</v>
      </c>
      <c r="EU62" s="51">
        <v>0</v>
      </c>
      <c r="EV62" s="48">
        <v>0</v>
      </c>
      <c r="EW62" s="49">
        <v>0</v>
      </c>
      <c r="EX62" s="50">
        <v>0</v>
      </c>
      <c r="EY62" s="51">
        <v>0</v>
      </c>
      <c r="EZ62" s="48">
        <v>0</v>
      </c>
      <c r="FA62" s="49">
        <v>0</v>
      </c>
      <c r="FB62" s="50">
        <v>0</v>
      </c>
      <c r="FC62" s="51">
        <v>0</v>
      </c>
      <c r="FD62" s="29"/>
      <c r="FE62" s="242"/>
      <c r="FF62" s="46" t="s">
        <v>11</v>
      </c>
      <c r="FG62" s="56" t="s">
        <v>12</v>
      </c>
      <c r="FH62" s="48">
        <v>0</v>
      </c>
      <c r="FI62" s="49">
        <v>0</v>
      </c>
      <c r="FJ62" s="50">
        <v>0</v>
      </c>
      <c r="FK62" s="51">
        <v>0</v>
      </c>
      <c r="FL62" s="48">
        <v>0</v>
      </c>
      <c r="FM62" s="49">
        <v>0</v>
      </c>
      <c r="FN62" s="50">
        <v>0</v>
      </c>
      <c r="FO62" s="51">
        <v>0</v>
      </c>
      <c r="FP62" s="48">
        <v>0</v>
      </c>
      <c r="FQ62" s="49">
        <v>0</v>
      </c>
      <c r="FR62" s="50">
        <v>0</v>
      </c>
      <c r="FS62" s="51">
        <v>0</v>
      </c>
      <c r="FT62" s="29"/>
      <c r="FU62" s="242"/>
      <c r="FV62" s="46" t="s">
        <v>11</v>
      </c>
      <c r="FW62" s="56" t="s">
        <v>12</v>
      </c>
      <c r="FX62" s="48">
        <v>0</v>
      </c>
      <c r="FY62" s="49">
        <v>0</v>
      </c>
      <c r="FZ62" s="50">
        <v>0</v>
      </c>
      <c r="GA62" s="51">
        <v>0</v>
      </c>
      <c r="GB62" s="48">
        <v>0</v>
      </c>
      <c r="GC62" s="49">
        <v>0</v>
      </c>
      <c r="GD62" s="50">
        <v>0</v>
      </c>
      <c r="GE62" s="51">
        <v>0</v>
      </c>
      <c r="GF62" s="48">
        <v>0</v>
      </c>
      <c r="GG62" s="49">
        <v>0</v>
      </c>
      <c r="GH62" s="50">
        <v>0</v>
      </c>
      <c r="GI62" s="51">
        <v>0</v>
      </c>
      <c r="GJ62" s="29"/>
      <c r="GK62" s="242"/>
      <c r="GL62" s="46" t="s">
        <v>11</v>
      </c>
      <c r="GM62" s="56" t="s">
        <v>12</v>
      </c>
      <c r="GN62" s="41">
        <f t="shared" si="226"/>
        <v>0</v>
      </c>
      <c r="GO62" s="41">
        <f t="shared" si="217"/>
        <v>0</v>
      </c>
      <c r="GP62" s="41">
        <f t="shared" si="218"/>
        <v>0</v>
      </c>
      <c r="GQ62" s="41">
        <f t="shared" si="219"/>
        <v>0</v>
      </c>
      <c r="GR62" s="41">
        <f t="shared" si="227"/>
        <v>0</v>
      </c>
      <c r="GS62" s="41">
        <f t="shared" si="220"/>
        <v>0</v>
      </c>
      <c r="GT62" s="41">
        <f t="shared" si="221"/>
        <v>0</v>
      </c>
      <c r="GU62" s="41">
        <f t="shared" si="222"/>
        <v>0</v>
      </c>
      <c r="GV62" s="41">
        <f t="shared" si="228"/>
        <v>0</v>
      </c>
      <c r="GW62" s="41">
        <f t="shared" si="223"/>
        <v>0</v>
      </c>
      <c r="GX62" s="41">
        <f t="shared" si="224"/>
        <v>0</v>
      </c>
      <c r="GY62" s="41">
        <f t="shared" si="225"/>
        <v>0</v>
      </c>
      <c r="GZ62" s="29"/>
      <c r="HA62" s="31"/>
      <c r="HN62" s="31"/>
    </row>
    <row r="63" spans="1:237" ht="15" customHeight="1" thickBot="1" x14ac:dyDescent="0.3">
      <c r="A63" s="242"/>
      <c r="B63" s="233" t="s">
        <v>14</v>
      </c>
      <c r="C63" s="234"/>
      <c r="D63" s="58">
        <f t="shared" ref="D63:O63" si="229">SUM(D59:D62)</f>
        <v>0</v>
      </c>
      <c r="E63" s="59">
        <f t="shared" si="229"/>
        <v>0</v>
      </c>
      <c r="F63" s="60">
        <f t="shared" si="229"/>
        <v>0</v>
      </c>
      <c r="G63" s="61">
        <f t="shared" si="229"/>
        <v>0</v>
      </c>
      <c r="H63" s="58">
        <f t="shared" si="229"/>
        <v>0</v>
      </c>
      <c r="I63" s="59">
        <f t="shared" si="229"/>
        <v>0</v>
      </c>
      <c r="J63" s="60">
        <f t="shared" si="229"/>
        <v>0</v>
      </c>
      <c r="K63" s="61">
        <f t="shared" si="229"/>
        <v>0</v>
      </c>
      <c r="L63" s="58">
        <f t="shared" si="229"/>
        <v>0</v>
      </c>
      <c r="M63" s="59">
        <f t="shared" si="229"/>
        <v>0</v>
      </c>
      <c r="N63" s="60">
        <f t="shared" si="229"/>
        <v>0</v>
      </c>
      <c r="O63" s="61">
        <f t="shared" si="229"/>
        <v>0</v>
      </c>
      <c r="P63" s="29"/>
      <c r="Q63" s="242"/>
      <c r="R63" s="233" t="s">
        <v>14</v>
      </c>
      <c r="S63" s="234"/>
      <c r="T63" s="58">
        <f t="shared" ref="T63:AE63" si="230">SUM(T59:T62)</f>
        <v>0</v>
      </c>
      <c r="U63" s="59">
        <f t="shared" si="230"/>
        <v>0</v>
      </c>
      <c r="V63" s="60">
        <f t="shared" si="230"/>
        <v>0</v>
      </c>
      <c r="W63" s="61">
        <f t="shared" si="230"/>
        <v>0</v>
      </c>
      <c r="X63" s="58">
        <f t="shared" si="230"/>
        <v>0</v>
      </c>
      <c r="Y63" s="59">
        <f t="shared" si="230"/>
        <v>0</v>
      </c>
      <c r="Z63" s="60">
        <f t="shared" si="230"/>
        <v>0</v>
      </c>
      <c r="AA63" s="61">
        <f t="shared" si="230"/>
        <v>0</v>
      </c>
      <c r="AB63" s="58">
        <f t="shared" si="230"/>
        <v>0</v>
      </c>
      <c r="AC63" s="59">
        <f t="shared" si="230"/>
        <v>0</v>
      </c>
      <c r="AD63" s="60">
        <f t="shared" si="230"/>
        <v>0</v>
      </c>
      <c r="AE63" s="61">
        <f t="shared" si="230"/>
        <v>0</v>
      </c>
      <c r="AF63" s="29"/>
      <c r="AG63" s="242"/>
      <c r="AH63" s="233" t="s">
        <v>14</v>
      </c>
      <c r="AI63" s="234"/>
      <c r="AJ63" s="58">
        <f t="shared" ref="AJ63:AU63" si="231">SUM(AJ59:AJ62)</f>
        <v>0</v>
      </c>
      <c r="AK63" s="59">
        <f t="shared" si="231"/>
        <v>0</v>
      </c>
      <c r="AL63" s="60">
        <f t="shared" si="231"/>
        <v>0</v>
      </c>
      <c r="AM63" s="61">
        <f t="shared" si="231"/>
        <v>0</v>
      </c>
      <c r="AN63" s="58">
        <f t="shared" si="231"/>
        <v>0</v>
      </c>
      <c r="AO63" s="59">
        <f t="shared" si="231"/>
        <v>0</v>
      </c>
      <c r="AP63" s="60">
        <f t="shared" si="231"/>
        <v>0</v>
      </c>
      <c r="AQ63" s="61">
        <f t="shared" si="231"/>
        <v>0</v>
      </c>
      <c r="AR63" s="58">
        <f t="shared" si="231"/>
        <v>0</v>
      </c>
      <c r="AS63" s="59">
        <f t="shared" si="231"/>
        <v>0</v>
      </c>
      <c r="AT63" s="60">
        <f t="shared" si="231"/>
        <v>0</v>
      </c>
      <c r="AU63" s="61">
        <f t="shared" si="231"/>
        <v>0</v>
      </c>
      <c r="AV63" s="29"/>
      <c r="AW63" s="242"/>
      <c r="AX63" s="233" t="s">
        <v>14</v>
      </c>
      <c r="AY63" s="234"/>
      <c r="AZ63" s="58">
        <f t="shared" ref="AZ63:BK63" si="232">SUM(AZ59:AZ62)</f>
        <v>0</v>
      </c>
      <c r="BA63" s="59">
        <f t="shared" si="232"/>
        <v>0</v>
      </c>
      <c r="BB63" s="60">
        <f t="shared" si="232"/>
        <v>0</v>
      </c>
      <c r="BC63" s="61">
        <f t="shared" si="232"/>
        <v>0</v>
      </c>
      <c r="BD63" s="58">
        <f t="shared" si="232"/>
        <v>0</v>
      </c>
      <c r="BE63" s="59">
        <f t="shared" si="232"/>
        <v>0</v>
      </c>
      <c r="BF63" s="60">
        <f t="shared" si="232"/>
        <v>0</v>
      </c>
      <c r="BG63" s="61">
        <f t="shared" si="232"/>
        <v>0</v>
      </c>
      <c r="BH63" s="58">
        <f t="shared" si="232"/>
        <v>0</v>
      </c>
      <c r="BI63" s="59">
        <f t="shared" si="232"/>
        <v>0</v>
      </c>
      <c r="BJ63" s="60">
        <f t="shared" si="232"/>
        <v>0</v>
      </c>
      <c r="BK63" s="61">
        <f t="shared" si="232"/>
        <v>0</v>
      </c>
      <c r="BL63" s="29"/>
      <c r="BM63" s="242"/>
      <c r="BN63" s="233" t="s">
        <v>14</v>
      </c>
      <c r="BO63" s="234"/>
      <c r="BP63" s="58">
        <f t="shared" ref="BP63:CA63" si="233">SUM(BP59:BP62)</f>
        <v>0</v>
      </c>
      <c r="BQ63" s="59">
        <f t="shared" si="233"/>
        <v>0</v>
      </c>
      <c r="BR63" s="60">
        <f t="shared" si="233"/>
        <v>0</v>
      </c>
      <c r="BS63" s="61">
        <f t="shared" si="233"/>
        <v>0</v>
      </c>
      <c r="BT63" s="58">
        <f t="shared" si="233"/>
        <v>0</v>
      </c>
      <c r="BU63" s="59">
        <f t="shared" si="233"/>
        <v>0</v>
      </c>
      <c r="BV63" s="60">
        <f t="shared" si="233"/>
        <v>0</v>
      </c>
      <c r="BW63" s="61">
        <f t="shared" si="233"/>
        <v>0</v>
      </c>
      <c r="BX63" s="58">
        <f t="shared" si="233"/>
        <v>0</v>
      </c>
      <c r="BY63" s="59">
        <f t="shared" si="233"/>
        <v>0</v>
      </c>
      <c r="BZ63" s="60">
        <f t="shared" si="233"/>
        <v>0</v>
      </c>
      <c r="CA63" s="61">
        <f t="shared" si="233"/>
        <v>0</v>
      </c>
      <c r="CB63" s="29"/>
      <c r="CC63" s="242"/>
      <c r="CD63" s="233" t="s">
        <v>14</v>
      </c>
      <c r="CE63" s="234"/>
      <c r="CF63" s="58">
        <f t="shared" ref="CF63:CQ63" si="234">SUM(CF59:CF62)</f>
        <v>0</v>
      </c>
      <c r="CG63" s="59">
        <f t="shared" si="234"/>
        <v>0</v>
      </c>
      <c r="CH63" s="60">
        <f t="shared" si="234"/>
        <v>0</v>
      </c>
      <c r="CI63" s="61">
        <f t="shared" si="234"/>
        <v>0</v>
      </c>
      <c r="CJ63" s="58">
        <f t="shared" si="234"/>
        <v>0</v>
      </c>
      <c r="CK63" s="59">
        <f t="shared" si="234"/>
        <v>0</v>
      </c>
      <c r="CL63" s="60">
        <f t="shared" si="234"/>
        <v>0</v>
      </c>
      <c r="CM63" s="61">
        <f t="shared" si="234"/>
        <v>0</v>
      </c>
      <c r="CN63" s="58">
        <f t="shared" si="234"/>
        <v>0</v>
      </c>
      <c r="CO63" s="59">
        <f t="shared" si="234"/>
        <v>0</v>
      </c>
      <c r="CP63" s="60">
        <f t="shared" si="234"/>
        <v>0</v>
      </c>
      <c r="CQ63" s="61">
        <f t="shared" si="234"/>
        <v>0</v>
      </c>
      <c r="CR63" s="29"/>
      <c r="CS63" s="242"/>
      <c r="CT63" s="233" t="s">
        <v>14</v>
      </c>
      <c r="CU63" s="234"/>
      <c r="CV63" s="169">
        <v>0</v>
      </c>
      <c r="CW63" s="170">
        <v>0</v>
      </c>
      <c r="CX63" s="171">
        <v>0</v>
      </c>
      <c r="CY63" s="172">
        <v>0</v>
      </c>
      <c r="CZ63" s="170">
        <v>0</v>
      </c>
      <c r="DA63" s="170">
        <v>0</v>
      </c>
      <c r="DB63" s="171">
        <v>0</v>
      </c>
      <c r="DC63" s="172">
        <v>0</v>
      </c>
      <c r="DD63" s="170">
        <v>0</v>
      </c>
      <c r="DE63" s="170">
        <v>0</v>
      </c>
      <c r="DF63" s="171">
        <v>0</v>
      </c>
      <c r="DG63" s="172">
        <v>0</v>
      </c>
      <c r="DH63" s="29"/>
      <c r="DI63" s="242"/>
      <c r="DJ63" s="233" t="s">
        <v>14</v>
      </c>
      <c r="DK63" s="234"/>
      <c r="DL63" s="199">
        <f t="shared" ref="DL63:DW63" si="235">SUM(DL59:DL62)</f>
        <v>0</v>
      </c>
      <c r="DM63" s="200">
        <f t="shared" si="235"/>
        <v>0</v>
      </c>
      <c r="DN63" s="201">
        <f t="shared" si="235"/>
        <v>0</v>
      </c>
      <c r="DO63" s="202">
        <f t="shared" si="235"/>
        <v>0</v>
      </c>
      <c r="DP63" s="199">
        <f t="shared" si="235"/>
        <v>0</v>
      </c>
      <c r="DQ63" s="200">
        <f t="shared" si="235"/>
        <v>0</v>
      </c>
      <c r="DR63" s="201">
        <f t="shared" si="235"/>
        <v>0</v>
      </c>
      <c r="DS63" s="202">
        <f t="shared" si="235"/>
        <v>0</v>
      </c>
      <c r="DT63" s="199">
        <f t="shared" si="235"/>
        <v>0</v>
      </c>
      <c r="DU63" s="200">
        <f t="shared" si="235"/>
        <v>0</v>
      </c>
      <c r="DV63" s="201">
        <f t="shared" si="235"/>
        <v>0</v>
      </c>
      <c r="DW63" s="202">
        <f t="shared" si="235"/>
        <v>0</v>
      </c>
      <c r="DX63" s="29"/>
      <c r="DY63" s="242"/>
      <c r="DZ63" s="233" t="s">
        <v>14</v>
      </c>
      <c r="EA63" s="234"/>
      <c r="EB63" s="58">
        <f t="shared" ref="EB63:EM63" si="236">SUM(EB59:EB62)</f>
        <v>0</v>
      </c>
      <c r="EC63" s="59">
        <f t="shared" si="236"/>
        <v>0</v>
      </c>
      <c r="ED63" s="60">
        <f t="shared" si="236"/>
        <v>0</v>
      </c>
      <c r="EE63" s="61">
        <f t="shared" si="236"/>
        <v>0</v>
      </c>
      <c r="EF63" s="58">
        <f t="shared" si="236"/>
        <v>0</v>
      </c>
      <c r="EG63" s="59">
        <f t="shared" si="236"/>
        <v>0</v>
      </c>
      <c r="EH63" s="60">
        <f t="shared" si="236"/>
        <v>0</v>
      </c>
      <c r="EI63" s="61">
        <f t="shared" si="236"/>
        <v>0</v>
      </c>
      <c r="EJ63" s="58">
        <f t="shared" si="236"/>
        <v>0</v>
      </c>
      <c r="EK63" s="59">
        <f t="shared" si="236"/>
        <v>0</v>
      </c>
      <c r="EL63" s="60">
        <f t="shared" si="236"/>
        <v>0</v>
      </c>
      <c r="EM63" s="61">
        <f t="shared" si="236"/>
        <v>0</v>
      </c>
      <c r="EN63" s="29"/>
      <c r="EO63" s="242"/>
      <c r="EP63" s="233" t="s">
        <v>14</v>
      </c>
      <c r="EQ63" s="234"/>
      <c r="ER63" s="58">
        <f t="shared" ref="ER63:FC63" si="237">SUM(ER59:ER62)</f>
        <v>0</v>
      </c>
      <c r="ES63" s="59">
        <f t="shared" si="237"/>
        <v>0</v>
      </c>
      <c r="ET63" s="60">
        <f t="shared" si="237"/>
        <v>0</v>
      </c>
      <c r="EU63" s="61">
        <f t="shared" si="237"/>
        <v>0</v>
      </c>
      <c r="EV63" s="58">
        <f t="shared" si="237"/>
        <v>0</v>
      </c>
      <c r="EW63" s="59">
        <f t="shared" si="237"/>
        <v>0</v>
      </c>
      <c r="EX63" s="60">
        <f t="shared" si="237"/>
        <v>0</v>
      </c>
      <c r="EY63" s="61">
        <f t="shared" si="237"/>
        <v>0</v>
      </c>
      <c r="EZ63" s="58">
        <f t="shared" si="237"/>
        <v>0</v>
      </c>
      <c r="FA63" s="59">
        <f t="shared" si="237"/>
        <v>0</v>
      </c>
      <c r="FB63" s="60">
        <f t="shared" si="237"/>
        <v>0</v>
      </c>
      <c r="FC63" s="61">
        <f t="shared" si="237"/>
        <v>0</v>
      </c>
      <c r="FD63" s="29"/>
      <c r="FE63" s="242"/>
      <c r="FF63" s="233" t="s">
        <v>14</v>
      </c>
      <c r="FG63" s="234"/>
      <c r="FH63" s="58">
        <f t="shared" ref="FH63:FS63" si="238">SUM(FH59:FH62)</f>
        <v>0</v>
      </c>
      <c r="FI63" s="59">
        <f t="shared" si="238"/>
        <v>0</v>
      </c>
      <c r="FJ63" s="60">
        <f t="shared" si="238"/>
        <v>0</v>
      </c>
      <c r="FK63" s="61">
        <f t="shared" si="238"/>
        <v>0</v>
      </c>
      <c r="FL63" s="58">
        <f t="shared" si="238"/>
        <v>0</v>
      </c>
      <c r="FM63" s="59">
        <f t="shared" si="238"/>
        <v>0</v>
      </c>
      <c r="FN63" s="60">
        <f t="shared" si="238"/>
        <v>0</v>
      </c>
      <c r="FO63" s="61">
        <f t="shared" si="238"/>
        <v>0</v>
      </c>
      <c r="FP63" s="58">
        <f t="shared" si="238"/>
        <v>0</v>
      </c>
      <c r="FQ63" s="59">
        <f t="shared" si="238"/>
        <v>0</v>
      </c>
      <c r="FR63" s="60">
        <f t="shared" si="238"/>
        <v>0</v>
      </c>
      <c r="FS63" s="61">
        <f t="shared" si="238"/>
        <v>0</v>
      </c>
      <c r="FT63" s="29"/>
      <c r="FU63" s="242"/>
      <c r="FV63" s="233" t="s">
        <v>14</v>
      </c>
      <c r="FW63" s="234"/>
      <c r="FX63" s="58">
        <f t="shared" ref="FX63:GI63" si="239">SUM(FX59:FX62)</f>
        <v>0</v>
      </c>
      <c r="FY63" s="59">
        <f t="shared" si="239"/>
        <v>0</v>
      </c>
      <c r="FZ63" s="60">
        <f t="shared" si="239"/>
        <v>0</v>
      </c>
      <c r="GA63" s="61">
        <f t="shared" si="239"/>
        <v>0</v>
      </c>
      <c r="GB63" s="58">
        <f t="shared" si="239"/>
        <v>0</v>
      </c>
      <c r="GC63" s="59">
        <f t="shared" si="239"/>
        <v>0</v>
      </c>
      <c r="GD63" s="60">
        <f t="shared" si="239"/>
        <v>0</v>
      </c>
      <c r="GE63" s="61">
        <f t="shared" si="239"/>
        <v>0</v>
      </c>
      <c r="GF63" s="58">
        <f t="shared" si="239"/>
        <v>0</v>
      </c>
      <c r="GG63" s="59">
        <f t="shared" si="239"/>
        <v>0</v>
      </c>
      <c r="GH63" s="60">
        <f t="shared" si="239"/>
        <v>0</v>
      </c>
      <c r="GI63" s="61">
        <f t="shared" si="239"/>
        <v>0</v>
      </c>
      <c r="GJ63" s="29"/>
      <c r="GK63" s="242"/>
      <c r="GL63" s="233" t="s">
        <v>14</v>
      </c>
      <c r="GM63" s="234"/>
      <c r="GN63" s="62">
        <f t="shared" ref="GN63:GY63" si="240">SUM(GN59:GN62)</f>
        <v>0</v>
      </c>
      <c r="GO63" s="63">
        <f t="shared" si="240"/>
        <v>0</v>
      </c>
      <c r="GP63" s="64">
        <f t="shared" si="240"/>
        <v>0</v>
      </c>
      <c r="GQ63" s="64">
        <f t="shared" si="240"/>
        <v>0</v>
      </c>
      <c r="GR63" s="62">
        <f t="shared" si="240"/>
        <v>0</v>
      </c>
      <c r="GS63" s="63">
        <f t="shared" si="240"/>
        <v>0</v>
      </c>
      <c r="GT63" s="64">
        <f t="shared" si="240"/>
        <v>0</v>
      </c>
      <c r="GU63" s="64">
        <f t="shared" si="240"/>
        <v>0</v>
      </c>
      <c r="GV63" s="62">
        <f t="shared" si="240"/>
        <v>0</v>
      </c>
      <c r="GW63" s="63">
        <f t="shared" si="240"/>
        <v>0</v>
      </c>
      <c r="GX63" s="64">
        <f t="shared" si="240"/>
        <v>0</v>
      </c>
      <c r="GY63" s="64">
        <f t="shared" si="240"/>
        <v>0</v>
      </c>
      <c r="GZ63" s="29"/>
      <c r="HA63" s="31"/>
      <c r="HN63" s="31"/>
    </row>
    <row r="64" spans="1:237" ht="15" customHeight="1" thickTop="1" thickBot="1" x14ac:dyDescent="0.3">
      <c r="A64" s="243"/>
      <c r="B64" s="65" t="s">
        <v>15</v>
      </c>
      <c r="C64" s="65"/>
      <c r="D64" s="66"/>
      <c r="E64" s="66" t="s">
        <v>2</v>
      </c>
      <c r="F64" s="66"/>
      <c r="G64" s="66">
        <v>0</v>
      </c>
      <c r="H64" s="66"/>
      <c r="I64" s="66" t="s">
        <v>16</v>
      </c>
      <c r="J64" s="66"/>
      <c r="K64" s="66">
        <v>0</v>
      </c>
      <c r="L64" s="66"/>
      <c r="M64" s="66" t="s">
        <v>17</v>
      </c>
      <c r="N64" s="232">
        <v>0</v>
      </c>
      <c r="O64" s="232"/>
      <c r="P64" s="29"/>
      <c r="Q64" s="243"/>
      <c r="R64" s="65" t="s">
        <v>15</v>
      </c>
      <c r="S64" s="65"/>
      <c r="T64" s="66"/>
      <c r="U64" s="66" t="s">
        <v>2</v>
      </c>
      <c r="V64" s="66"/>
      <c r="W64" s="66">
        <v>0</v>
      </c>
      <c r="X64" s="66"/>
      <c r="Y64" s="66" t="s">
        <v>16</v>
      </c>
      <c r="Z64" s="66"/>
      <c r="AA64" s="66">
        <v>0</v>
      </c>
      <c r="AB64" s="66"/>
      <c r="AC64" s="66" t="s">
        <v>17</v>
      </c>
      <c r="AD64" s="232">
        <v>0</v>
      </c>
      <c r="AE64" s="232"/>
      <c r="AF64" s="29"/>
      <c r="AG64" s="243"/>
      <c r="AH64" s="65" t="s">
        <v>15</v>
      </c>
      <c r="AI64" s="65"/>
      <c r="AJ64" s="66"/>
      <c r="AK64" s="66" t="s">
        <v>2</v>
      </c>
      <c r="AL64" s="66"/>
      <c r="AM64" s="66">
        <v>0</v>
      </c>
      <c r="AN64" s="66"/>
      <c r="AO64" s="66" t="s">
        <v>16</v>
      </c>
      <c r="AP64" s="66"/>
      <c r="AQ64" s="66">
        <v>0</v>
      </c>
      <c r="AR64" s="66"/>
      <c r="AS64" s="66" t="s">
        <v>17</v>
      </c>
      <c r="AT64" s="232">
        <v>0</v>
      </c>
      <c r="AU64" s="232"/>
      <c r="AV64" s="29"/>
      <c r="AW64" s="243"/>
      <c r="AX64" s="65" t="s">
        <v>15</v>
      </c>
      <c r="AY64" s="65"/>
      <c r="AZ64" s="66"/>
      <c r="BA64" s="66" t="s">
        <v>2</v>
      </c>
      <c r="BB64" s="66"/>
      <c r="BC64" s="66">
        <v>0</v>
      </c>
      <c r="BD64" s="66"/>
      <c r="BE64" s="66" t="s">
        <v>16</v>
      </c>
      <c r="BF64" s="66"/>
      <c r="BG64" s="66">
        <v>0</v>
      </c>
      <c r="BH64" s="66"/>
      <c r="BI64" s="66" t="s">
        <v>17</v>
      </c>
      <c r="BJ64" s="232">
        <v>0</v>
      </c>
      <c r="BK64" s="232"/>
      <c r="BL64" s="29"/>
      <c r="BM64" s="243"/>
      <c r="BN64" s="65" t="s">
        <v>15</v>
      </c>
      <c r="BO64" s="65"/>
      <c r="BP64" s="66"/>
      <c r="BQ64" s="66" t="s">
        <v>2</v>
      </c>
      <c r="BR64" s="66"/>
      <c r="BS64" s="66">
        <v>0</v>
      </c>
      <c r="BT64" s="66"/>
      <c r="BU64" s="66" t="s">
        <v>16</v>
      </c>
      <c r="BV64" s="66"/>
      <c r="BW64" s="66">
        <v>0</v>
      </c>
      <c r="BX64" s="66"/>
      <c r="BY64" s="66" t="s">
        <v>17</v>
      </c>
      <c r="BZ64" s="232">
        <v>0</v>
      </c>
      <c r="CA64" s="232"/>
      <c r="CB64" s="29"/>
      <c r="CC64" s="243"/>
      <c r="CD64" s="65" t="s">
        <v>15</v>
      </c>
      <c r="CE64" s="65"/>
      <c r="CF64" s="66"/>
      <c r="CG64" s="66" t="s">
        <v>2</v>
      </c>
      <c r="CH64" s="66"/>
      <c r="CI64" s="66">
        <v>0</v>
      </c>
      <c r="CJ64" s="66"/>
      <c r="CK64" s="66" t="s">
        <v>16</v>
      </c>
      <c r="CL64" s="66"/>
      <c r="CM64" s="66">
        <v>0</v>
      </c>
      <c r="CN64" s="66"/>
      <c r="CO64" s="66" t="s">
        <v>17</v>
      </c>
      <c r="CP64" s="232">
        <v>0</v>
      </c>
      <c r="CQ64" s="232"/>
      <c r="CR64" s="29"/>
      <c r="CS64" s="243"/>
      <c r="CT64" s="65" t="s">
        <v>15</v>
      </c>
      <c r="CU64" s="65"/>
      <c r="CV64" s="173"/>
      <c r="CW64" s="174" t="s">
        <v>2</v>
      </c>
      <c r="CX64" s="173"/>
      <c r="CY64" s="175">
        <v>0</v>
      </c>
      <c r="CZ64" s="173"/>
      <c r="DA64" s="174" t="s">
        <v>16</v>
      </c>
      <c r="DB64" s="173"/>
      <c r="DC64" s="175">
        <v>0</v>
      </c>
      <c r="DD64" s="173"/>
      <c r="DE64" s="175" t="s">
        <v>17</v>
      </c>
      <c r="DF64" s="249">
        <v>0</v>
      </c>
      <c r="DG64" s="250"/>
      <c r="DH64" s="29"/>
      <c r="DI64" s="243"/>
      <c r="DJ64" s="65" t="s">
        <v>15</v>
      </c>
      <c r="DK64" s="65"/>
      <c r="DL64" s="203"/>
      <c r="DM64" s="203" t="s">
        <v>2</v>
      </c>
      <c r="DN64" s="203"/>
      <c r="DO64" s="203">
        <v>0</v>
      </c>
      <c r="DP64" s="203"/>
      <c r="DQ64" s="203" t="s">
        <v>16</v>
      </c>
      <c r="DR64" s="203"/>
      <c r="DS64" s="203">
        <v>0</v>
      </c>
      <c r="DT64" s="203"/>
      <c r="DU64" s="203" t="s">
        <v>17</v>
      </c>
      <c r="DV64" s="247">
        <v>0</v>
      </c>
      <c r="DW64" s="248"/>
      <c r="DX64" s="29"/>
      <c r="DY64" s="243"/>
      <c r="DZ64" s="65" t="s">
        <v>15</v>
      </c>
      <c r="EA64" s="65"/>
      <c r="EB64" s="66"/>
      <c r="EC64" s="66" t="s">
        <v>2</v>
      </c>
      <c r="ED64" s="66"/>
      <c r="EE64" s="66">
        <v>0</v>
      </c>
      <c r="EF64" s="66"/>
      <c r="EG64" s="66" t="s">
        <v>16</v>
      </c>
      <c r="EH64" s="66"/>
      <c r="EI64" s="66">
        <v>0</v>
      </c>
      <c r="EJ64" s="66"/>
      <c r="EK64" s="66" t="s">
        <v>17</v>
      </c>
      <c r="EL64" s="232">
        <v>0</v>
      </c>
      <c r="EM64" s="232"/>
      <c r="EN64" s="29"/>
      <c r="EO64" s="243"/>
      <c r="EP64" s="65" t="s">
        <v>15</v>
      </c>
      <c r="EQ64" s="65"/>
      <c r="ER64" s="66"/>
      <c r="ES64" s="66" t="s">
        <v>2</v>
      </c>
      <c r="ET64" s="66"/>
      <c r="EU64" s="66">
        <v>0</v>
      </c>
      <c r="EV64" s="66"/>
      <c r="EW64" s="66" t="s">
        <v>16</v>
      </c>
      <c r="EX64" s="66"/>
      <c r="EY64" s="66">
        <v>0</v>
      </c>
      <c r="EZ64" s="66"/>
      <c r="FA64" s="66" t="s">
        <v>17</v>
      </c>
      <c r="FB64" s="232">
        <v>0</v>
      </c>
      <c r="FC64" s="232"/>
      <c r="FD64" s="29"/>
      <c r="FE64" s="243"/>
      <c r="FF64" s="65" t="s">
        <v>15</v>
      </c>
      <c r="FG64" s="65"/>
      <c r="FH64" s="66"/>
      <c r="FI64" s="66" t="s">
        <v>2</v>
      </c>
      <c r="FJ64" s="66"/>
      <c r="FK64" s="66">
        <v>0</v>
      </c>
      <c r="FL64" s="66"/>
      <c r="FM64" s="66" t="s">
        <v>16</v>
      </c>
      <c r="FN64" s="66"/>
      <c r="FO64" s="66">
        <v>0</v>
      </c>
      <c r="FP64" s="66"/>
      <c r="FQ64" s="66" t="s">
        <v>17</v>
      </c>
      <c r="FR64" s="232">
        <v>0</v>
      </c>
      <c r="FS64" s="232"/>
      <c r="FT64" s="29"/>
      <c r="FU64" s="243"/>
      <c r="FV64" s="65" t="s">
        <v>15</v>
      </c>
      <c r="FW64" s="65"/>
      <c r="FX64" s="66"/>
      <c r="FY64" s="66" t="s">
        <v>2</v>
      </c>
      <c r="FZ64" s="66"/>
      <c r="GA64" s="66">
        <v>0</v>
      </c>
      <c r="GB64" s="66"/>
      <c r="GC64" s="66" t="s">
        <v>16</v>
      </c>
      <c r="GD64" s="66"/>
      <c r="GE64" s="66">
        <v>0</v>
      </c>
      <c r="GF64" s="66"/>
      <c r="GG64" s="66" t="s">
        <v>17</v>
      </c>
      <c r="GH64" s="232">
        <v>0</v>
      </c>
      <c r="GI64" s="232"/>
      <c r="GJ64" s="29"/>
      <c r="GK64" s="243"/>
      <c r="GL64" s="65" t="s">
        <v>15</v>
      </c>
      <c r="GM64" s="65"/>
      <c r="GN64" s="66"/>
      <c r="GO64" s="66" t="s">
        <v>2</v>
      </c>
      <c r="GP64" s="66"/>
      <c r="GQ64" s="66"/>
      <c r="GR64" s="66">
        <f>G64+W64+AM64+BC64+BS64+CI64+CY64+DO64+EE64+EU64+FK64+GA64</f>
        <v>0</v>
      </c>
      <c r="GS64" s="66" t="s">
        <v>16</v>
      </c>
      <c r="GT64" s="66"/>
      <c r="GU64" s="66"/>
      <c r="GV64" s="66">
        <f>K64+AA64+AQ64+BG64+BW64+CM64+DC64+DS64+EI64+EY64+FO64+GE64</f>
        <v>0</v>
      </c>
      <c r="GW64" s="66" t="s">
        <v>17</v>
      </c>
      <c r="GX64" s="66"/>
      <c r="GY64" s="66">
        <f>N64+AD64+AT64+BJ64+BZ64+CP64+DF64+DV64+EL64+FB64+FR64+GH64</f>
        <v>0</v>
      </c>
      <c r="GZ64" s="29"/>
      <c r="HA64" s="31"/>
      <c r="HN64" s="31"/>
    </row>
    <row r="65" spans="1:222" ht="15" customHeight="1" thickBot="1" x14ac:dyDescent="0.3">
      <c r="A65" s="241">
        <v>0</v>
      </c>
      <c r="B65" s="38"/>
      <c r="C65" s="39" t="s">
        <v>10</v>
      </c>
      <c r="D65" s="40">
        <v>0</v>
      </c>
      <c r="E65" s="41">
        <v>0</v>
      </c>
      <c r="F65" s="42">
        <v>0</v>
      </c>
      <c r="G65" s="43">
        <v>0</v>
      </c>
      <c r="H65" s="40">
        <v>0</v>
      </c>
      <c r="I65" s="41">
        <v>0</v>
      </c>
      <c r="J65" s="42">
        <v>0</v>
      </c>
      <c r="K65" s="43">
        <v>0</v>
      </c>
      <c r="L65" s="40">
        <v>0</v>
      </c>
      <c r="M65" s="41">
        <v>0</v>
      </c>
      <c r="N65" s="42">
        <v>0</v>
      </c>
      <c r="O65" s="43">
        <v>0</v>
      </c>
      <c r="P65" s="29"/>
      <c r="Q65" s="241">
        <v>0</v>
      </c>
      <c r="R65" s="38"/>
      <c r="S65" s="39" t="s">
        <v>10</v>
      </c>
      <c r="T65" s="40">
        <v>0</v>
      </c>
      <c r="U65" s="41">
        <v>0</v>
      </c>
      <c r="V65" s="42">
        <v>0</v>
      </c>
      <c r="W65" s="43">
        <v>0</v>
      </c>
      <c r="X65" s="40">
        <v>0</v>
      </c>
      <c r="Y65" s="41">
        <v>0</v>
      </c>
      <c r="Z65" s="42">
        <v>0</v>
      </c>
      <c r="AA65" s="43">
        <v>0</v>
      </c>
      <c r="AB65" s="40">
        <v>0</v>
      </c>
      <c r="AC65" s="41">
        <v>0</v>
      </c>
      <c r="AD65" s="42">
        <v>0</v>
      </c>
      <c r="AE65" s="43">
        <v>0</v>
      </c>
      <c r="AF65" s="29"/>
      <c r="AG65" s="241">
        <v>0</v>
      </c>
      <c r="AH65" s="38"/>
      <c r="AI65" s="39" t="s">
        <v>10</v>
      </c>
      <c r="AJ65" s="40">
        <v>0</v>
      </c>
      <c r="AK65" s="41">
        <v>0</v>
      </c>
      <c r="AL65" s="42">
        <v>0</v>
      </c>
      <c r="AM65" s="43">
        <v>0</v>
      </c>
      <c r="AN65" s="40">
        <v>0</v>
      </c>
      <c r="AO65" s="41">
        <v>0</v>
      </c>
      <c r="AP65" s="42">
        <v>0</v>
      </c>
      <c r="AQ65" s="43">
        <v>0</v>
      </c>
      <c r="AR65" s="40">
        <v>0</v>
      </c>
      <c r="AS65" s="41">
        <v>0</v>
      </c>
      <c r="AT65" s="42">
        <v>0</v>
      </c>
      <c r="AU65" s="43">
        <v>0</v>
      </c>
      <c r="AV65" s="29"/>
      <c r="AW65" s="241">
        <v>0</v>
      </c>
      <c r="AX65" s="38"/>
      <c r="AY65" s="39" t="s">
        <v>10</v>
      </c>
      <c r="AZ65" s="40">
        <v>0</v>
      </c>
      <c r="BA65" s="41">
        <v>0</v>
      </c>
      <c r="BB65" s="42">
        <v>0</v>
      </c>
      <c r="BC65" s="43">
        <v>0</v>
      </c>
      <c r="BD65" s="40">
        <v>0</v>
      </c>
      <c r="BE65" s="41">
        <v>0</v>
      </c>
      <c r="BF65" s="42">
        <v>0</v>
      </c>
      <c r="BG65" s="43">
        <v>0</v>
      </c>
      <c r="BH65" s="40">
        <v>0</v>
      </c>
      <c r="BI65" s="41">
        <v>0</v>
      </c>
      <c r="BJ65" s="42">
        <v>0</v>
      </c>
      <c r="BK65" s="43">
        <v>0</v>
      </c>
      <c r="BL65" s="29"/>
      <c r="BM65" s="241">
        <v>0</v>
      </c>
      <c r="BN65" s="38"/>
      <c r="BO65" s="39" t="s">
        <v>10</v>
      </c>
      <c r="BP65" s="40">
        <v>0</v>
      </c>
      <c r="BQ65" s="41">
        <v>0</v>
      </c>
      <c r="BR65" s="42">
        <v>0</v>
      </c>
      <c r="BS65" s="43">
        <v>0</v>
      </c>
      <c r="BT65" s="40">
        <v>0</v>
      </c>
      <c r="BU65" s="41">
        <v>0</v>
      </c>
      <c r="BV65" s="42">
        <v>0</v>
      </c>
      <c r="BW65" s="43">
        <v>0</v>
      </c>
      <c r="BX65" s="40">
        <v>0</v>
      </c>
      <c r="BY65" s="41">
        <v>0</v>
      </c>
      <c r="BZ65" s="42">
        <v>0</v>
      </c>
      <c r="CA65" s="43">
        <v>0</v>
      </c>
      <c r="CB65" s="29"/>
      <c r="CC65" s="241">
        <v>0</v>
      </c>
      <c r="CD65" s="38"/>
      <c r="CE65" s="39" t="s">
        <v>10</v>
      </c>
      <c r="CF65" s="40">
        <v>0</v>
      </c>
      <c r="CG65" s="41">
        <v>0</v>
      </c>
      <c r="CH65" s="42">
        <v>0</v>
      </c>
      <c r="CI65" s="43">
        <v>0</v>
      </c>
      <c r="CJ65" s="40">
        <v>0</v>
      </c>
      <c r="CK65" s="41">
        <v>0</v>
      </c>
      <c r="CL65" s="42">
        <v>0</v>
      </c>
      <c r="CM65" s="43">
        <v>0</v>
      </c>
      <c r="CN65" s="40">
        <v>0</v>
      </c>
      <c r="CO65" s="41">
        <v>0</v>
      </c>
      <c r="CP65" s="42">
        <v>0</v>
      </c>
      <c r="CQ65" s="43">
        <v>0</v>
      </c>
      <c r="CR65" s="29"/>
      <c r="CS65" s="241">
        <v>0</v>
      </c>
      <c r="CT65" s="38"/>
      <c r="CU65" s="39" t="s">
        <v>10</v>
      </c>
      <c r="CV65" s="156">
        <v>0</v>
      </c>
      <c r="CW65" s="157">
        <v>0</v>
      </c>
      <c r="CX65" s="158">
        <v>0</v>
      </c>
      <c r="CY65" s="159">
        <v>0</v>
      </c>
      <c r="CZ65" s="157">
        <v>0</v>
      </c>
      <c r="DA65" s="157">
        <v>0</v>
      </c>
      <c r="DB65" s="158">
        <v>0</v>
      </c>
      <c r="DC65" s="159">
        <v>0</v>
      </c>
      <c r="DD65" s="157">
        <v>0</v>
      </c>
      <c r="DE65" s="157">
        <v>0</v>
      </c>
      <c r="DF65" s="158">
        <v>0</v>
      </c>
      <c r="DG65" s="159">
        <v>0</v>
      </c>
      <c r="DH65" s="29"/>
      <c r="DI65" s="241">
        <v>0</v>
      </c>
      <c r="DJ65" s="38"/>
      <c r="DK65" s="39" t="s">
        <v>10</v>
      </c>
      <c r="DL65" s="207">
        <v>0</v>
      </c>
      <c r="DM65" s="208">
        <v>0</v>
      </c>
      <c r="DN65" s="209">
        <v>0</v>
      </c>
      <c r="DO65" s="189">
        <v>0</v>
      </c>
      <c r="DP65" s="207">
        <v>0</v>
      </c>
      <c r="DQ65" s="208">
        <v>0</v>
      </c>
      <c r="DR65" s="209">
        <v>0</v>
      </c>
      <c r="DS65" s="189">
        <v>0</v>
      </c>
      <c r="DT65" s="207">
        <v>0</v>
      </c>
      <c r="DU65" s="208">
        <v>0</v>
      </c>
      <c r="DV65" s="209">
        <v>0</v>
      </c>
      <c r="DW65" s="189">
        <v>0</v>
      </c>
      <c r="DX65" s="29"/>
      <c r="DY65" s="241">
        <v>0</v>
      </c>
      <c r="DZ65" s="38"/>
      <c r="EA65" s="39" t="s">
        <v>10</v>
      </c>
      <c r="EB65" s="40">
        <v>0</v>
      </c>
      <c r="EC65" s="41">
        <v>0</v>
      </c>
      <c r="ED65" s="42">
        <v>0</v>
      </c>
      <c r="EE65" s="43">
        <v>0</v>
      </c>
      <c r="EF65" s="40">
        <v>0</v>
      </c>
      <c r="EG65" s="41">
        <v>0</v>
      </c>
      <c r="EH65" s="42">
        <v>0</v>
      </c>
      <c r="EI65" s="43">
        <v>0</v>
      </c>
      <c r="EJ65" s="40">
        <v>0</v>
      </c>
      <c r="EK65" s="41">
        <v>0</v>
      </c>
      <c r="EL65" s="42">
        <v>0</v>
      </c>
      <c r="EM65" s="43">
        <v>0</v>
      </c>
      <c r="EN65" s="29"/>
      <c r="EO65" s="241">
        <v>0</v>
      </c>
      <c r="EP65" s="38"/>
      <c r="EQ65" s="39" t="s">
        <v>10</v>
      </c>
      <c r="ER65" s="40">
        <v>0</v>
      </c>
      <c r="ES65" s="41">
        <v>0</v>
      </c>
      <c r="ET65" s="42">
        <v>0</v>
      </c>
      <c r="EU65" s="43">
        <v>0</v>
      </c>
      <c r="EV65" s="40">
        <v>0</v>
      </c>
      <c r="EW65" s="41">
        <v>0</v>
      </c>
      <c r="EX65" s="42">
        <v>0</v>
      </c>
      <c r="EY65" s="43">
        <v>0</v>
      </c>
      <c r="EZ65" s="40">
        <v>0</v>
      </c>
      <c r="FA65" s="41">
        <v>0</v>
      </c>
      <c r="FB65" s="42">
        <v>0</v>
      </c>
      <c r="FC65" s="43">
        <v>0</v>
      </c>
      <c r="FD65" s="29"/>
      <c r="FE65" s="241">
        <v>0</v>
      </c>
      <c r="FF65" s="38"/>
      <c r="FG65" s="39" t="s">
        <v>10</v>
      </c>
      <c r="FH65" s="40">
        <v>0</v>
      </c>
      <c r="FI65" s="41">
        <v>0</v>
      </c>
      <c r="FJ65" s="42">
        <v>0</v>
      </c>
      <c r="FK65" s="43">
        <v>0</v>
      </c>
      <c r="FL65" s="40">
        <v>0</v>
      </c>
      <c r="FM65" s="41">
        <v>0</v>
      </c>
      <c r="FN65" s="42">
        <v>0</v>
      </c>
      <c r="FO65" s="43">
        <v>0</v>
      </c>
      <c r="FP65" s="40">
        <v>0</v>
      </c>
      <c r="FQ65" s="41">
        <v>0</v>
      </c>
      <c r="FR65" s="42">
        <v>0</v>
      </c>
      <c r="FS65" s="43">
        <v>0</v>
      </c>
      <c r="FT65" s="29"/>
      <c r="FU65" s="241">
        <v>0</v>
      </c>
      <c r="FV65" s="38"/>
      <c r="FW65" s="39" t="s">
        <v>10</v>
      </c>
      <c r="FX65" s="40">
        <v>0</v>
      </c>
      <c r="FY65" s="41">
        <v>0</v>
      </c>
      <c r="FZ65" s="42">
        <v>0</v>
      </c>
      <c r="GA65" s="43">
        <v>0</v>
      </c>
      <c r="GB65" s="40">
        <v>0</v>
      </c>
      <c r="GC65" s="41">
        <v>0</v>
      </c>
      <c r="GD65" s="42">
        <v>0</v>
      </c>
      <c r="GE65" s="43">
        <v>0</v>
      </c>
      <c r="GF65" s="40">
        <v>0</v>
      </c>
      <c r="GG65" s="41">
        <v>0</v>
      </c>
      <c r="GH65" s="42">
        <v>0</v>
      </c>
      <c r="GI65" s="43">
        <v>0</v>
      </c>
      <c r="GJ65" s="29"/>
      <c r="GK65" s="241">
        <f t="shared" ref="GK65" si="241">FU65</f>
        <v>0</v>
      </c>
      <c r="GL65" s="38"/>
      <c r="GM65" s="39" t="s">
        <v>10</v>
      </c>
      <c r="GN65" s="41">
        <f>FX65</f>
        <v>0</v>
      </c>
      <c r="GO65" s="41">
        <f t="shared" ref="GO65:GO68" si="242">E65+U65+AK65+BA65+BQ65+CG65++CW65+DM65+EC65+ES65+FI65+FY65</f>
        <v>0</v>
      </c>
      <c r="GP65" s="41">
        <f t="shared" ref="GP65:GP68" si="243">F65+V65+AL65+BB65+BR65+CH65++CX65+DN65+ED65+ET65+FJ65+FZ65</f>
        <v>0</v>
      </c>
      <c r="GQ65" s="41">
        <f t="shared" ref="GQ65:GQ68" si="244">G65+W65+AM65+BC65+BS65+CI65++CY65+DO65+EE65+EU65+FK65+GA65</f>
        <v>0</v>
      </c>
      <c r="GR65" s="41">
        <f>GB65</f>
        <v>0</v>
      </c>
      <c r="GS65" s="41">
        <f t="shared" ref="GS65:GS68" si="245">I65+Y65+AO65+BE65+BU65+CK65++DA65+DQ65+EG65+EW65+FM65+GC65</f>
        <v>0</v>
      </c>
      <c r="GT65" s="41">
        <f t="shared" ref="GT65:GT68" si="246">J65+Z65+AP65+BF65+BV65+CL65++DB65+DR65+EH65+EX65+FN65+GD65</f>
        <v>0</v>
      </c>
      <c r="GU65" s="41">
        <f t="shared" ref="GU65:GU68" si="247">K65+AA65+AQ65+BG65+BW65+CM65++DC65+DS65+EI65+EY65+FO65+GE65</f>
        <v>0</v>
      </c>
      <c r="GV65" s="41">
        <f>GF65</f>
        <v>0</v>
      </c>
      <c r="GW65" s="41">
        <f t="shared" ref="GW65:GW68" si="248">M65+AC65+AS65+BI65+BY65+CO65++DE65+DU65+EK65+FA65+FQ65+GG65</f>
        <v>0</v>
      </c>
      <c r="GX65" s="41">
        <f t="shared" ref="GX65:GX68" si="249">N65+AD65+AT65+BJ65+BZ65+CP65++DF65+DV65+EL65+FB65+FR65+GH65</f>
        <v>0</v>
      </c>
      <c r="GY65" s="41">
        <f t="shared" ref="GY65:GY68" si="250">O65+AE65+AU65+BK65+CA65+CQ65++DG65+DW65+EM65+FC65+FS65+GI65</f>
        <v>0</v>
      </c>
      <c r="GZ65" s="29"/>
      <c r="HA65" s="31"/>
      <c r="HN65" s="31"/>
    </row>
    <row r="66" spans="1:222" ht="15" customHeight="1" thickBot="1" x14ac:dyDescent="0.3">
      <c r="A66" s="242"/>
      <c r="B66" s="46" t="s">
        <v>11</v>
      </c>
      <c r="C66" s="47" t="s">
        <v>12</v>
      </c>
      <c r="D66" s="48">
        <v>0</v>
      </c>
      <c r="E66" s="49">
        <v>0</v>
      </c>
      <c r="F66" s="50">
        <v>0</v>
      </c>
      <c r="G66" s="51">
        <v>0</v>
      </c>
      <c r="H66" s="48">
        <v>0</v>
      </c>
      <c r="I66" s="49">
        <v>0</v>
      </c>
      <c r="J66" s="50">
        <v>0</v>
      </c>
      <c r="K66" s="51">
        <v>0</v>
      </c>
      <c r="L66" s="48">
        <v>0</v>
      </c>
      <c r="M66" s="49">
        <v>0</v>
      </c>
      <c r="N66" s="50">
        <v>0</v>
      </c>
      <c r="O66" s="51">
        <v>0</v>
      </c>
      <c r="P66" s="29"/>
      <c r="Q66" s="242"/>
      <c r="R66" s="46" t="s">
        <v>11</v>
      </c>
      <c r="S66" s="47" t="s">
        <v>12</v>
      </c>
      <c r="T66" s="48">
        <v>0</v>
      </c>
      <c r="U66" s="49">
        <v>0</v>
      </c>
      <c r="V66" s="50">
        <v>0</v>
      </c>
      <c r="W66" s="51">
        <v>0</v>
      </c>
      <c r="X66" s="48">
        <v>0</v>
      </c>
      <c r="Y66" s="49">
        <v>0</v>
      </c>
      <c r="Z66" s="50">
        <v>0</v>
      </c>
      <c r="AA66" s="51">
        <v>0</v>
      </c>
      <c r="AB66" s="48">
        <v>0</v>
      </c>
      <c r="AC66" s="49">
        <v>0</v>
      </c>
      <c r="AD66" s="50">
        <v>0</v>
      </c>
      <c r="AE66" s="51">
        <v>0</v>
      </c>
      <c r="AF66" s="29"/>
      <c r="AG66" s="242"/>
      <c r="AH66" s="46" t="s">
        <v>11</v>
      </c>
      <c r="AI66" s="47" t="s">
        <v>12</v>
      </c>
      <c r="AJ66" s="48">
        <v>0</v>
      </c>
      <c r="AK66" s="49">
        <v>0</v>
      </c>
      <c r="AL66" s="50">
        <v>0</v>
      </c>
      <c r="AM66" s="51">
        <v>0</v>
      </c>
      <c r="AN66" s="48">
        <v>0</v>
      </c>
      <c r="AO66" s="49">
        <v>0</v>
      </c>
      <c r="AP66" s="50">
        <v>0</v>
      </c>
      <c r="AQ66" s="51">
        <v>0</v>
      </c>
      <c r="AR66" s="48">
        <v>0</v>
      </c>
      <c r="AS66" s="49">
        <v>0</v>
      </c>
      <c r="AT66" s="50">
        <v>0</v>
      </c>
      <c r="AU66" s="51">
        <v>0</v>
      </c>
      <c r="AV66" s="29"/>
      <c r="AW66" s="242"/>
      <c r="AX66" s="46" t="s">
        <v>11</v>
      </c>
      <c r="AY66" s="47" t="s">
        <v>12</v>
      </c>
      <c r="AZ66" s="48">
        <v>0</v>
      </c>
      <c r="BA66" s="49">
        <v>0</v>
      </c>
      <c r="BB66" s="50">
        <v>0</v>
      </c>
      <c r="BC66" s="51">
        <v>0</v>
      </c>
      <c r="BD66" s="48">
        <v>0</v>
      </c>
      <c r="BE66" s="49">
        <v>0</v>
      </c>
      <c r="BF66" s="50">
        <v>0</v>
      </c>
      <c r="BG66" s="51">
        <v>0</v>
      </c>
      <c r="BH66" s="48">
        <v>0</v>
      </c>
      <c r="BI66" s="49">
        <v>0</v>
      </c>
      <c r="BJ66" s="50">
        <v>0</v>
      </c>
      <c r="BK66" s="51">
        <v>0</v>
      </c>
      <c r="BL66" s="29"/>
      <c r="BM66" s="242"/>
      <c r="BN66" s="46" t="s">
        <v>11</v>
      </c>
      <c r="BO66" s="47" t="s">
        <v>12</v>
      </c>
      <c r="BP66" s="48">
        <v>0</v>
      </c>
      <c r="BQ66" s="49">
        <v>0</v>
      </c>
      <c r="BR66" s="50">
        <v>0</v>
      </c>
      <c r="BS66" s="51">
        <v>0</v>
      </c>
      <c r="BT66" s="48">
        <v>0</v>
      </c>
      <c r="BU66" s="49">
        <v>0</v>
      </c>
      <c r="BV66" s="50">
        <v>0</v>
      </c>
      <c r="BW66" s="51">
        <v>0</v>
      </c>
      <c r="BX66" s="48">
        <v>0</v>
      </c>
      <c r="BY66" s="49">
        <v>0</v>
      </c>
      <c r="BZ66" s="50">
        <v>0</v>
      </c>
      <c r="CA66" s="51">
        <v>0</v>
      </c>
      <c r="CB66" s="29"/>
      <c r="CC66" s="242"/>
      <c r="CD66" s="46" t="s">
        <v>11</v>
      </c>
      <c r="CE66" s="47" t="s">
        <v>12</v>
      </c>
      <c r="CF66" s="48">
        <v>0</v>
      </c>
      <c r="CG66" s="49">
        <v>0</v>
      </c>
      <c r="CH66" s="50">
        <v>0</v>
      </c>
      <c r="CI66" s="51">
        <v>0</v>
      </c>
      <c r="CJ66" s="48">
        <v>0</v>
      </c>
      <c r="CK66" s="49">
        <v>0</v>
      </c>
      <c r="CL66" s="50">
        <v>0</v>
      </c>
      <c r="CM66" s="51">
        <v>0</v>
      </c>
      <c r="CN66" s="48">
        <v>0</v>
      </c>
      <c r="CO66" s="49">
        <v>0</v>
      </c>
      <c r="CP66" s="50">
        <v>0</v>
      </c>
      <c r="CQ66" s="51">
        <v>0</v>
      </c>
      <c r="CR66" s="29"/>
      <c r="CS66" s="242"/>
      <c r="CT66" s="46" t="s">
        <v>11</v>
      </c>
      <c r="CU66" s="47" t="s">
        <v>12</v>
      </c>
      <c r="CV66" s="152">
        <v>0</v>
      </c>
      <c r="CW66" s="153">
        <v>0</v>
      </c>
      <c r="CX66" s="154">
        <v>0</v>
      </c>
      <c r="CY66" s="155">
        <v>0</v>
      </c>
      <c r="CZ66" s="153">
        <v>0</v>
      </c>
      <c r="DA66" s="153">
        <v>0</v>
      </c>
      <c r="DB66" s="154">
        <v>0</v>
      </c>
      <c r="DC66" s="155">
        <v>0</v>
      </c>
      <c r="DD66" s="153">
        <v>0</v>
      </c>
      <c r="DE66" s="153">
        <v>0</v>
      </c>
      <c r="DF66" s="154">
        <v>0</v>
      </c>
      <c r="DG66" s="155">
        <v>0</v>
      </c>
      <c r="DH66" s="29"/>
      <c r="DI66" s="242"/>
      <c r="DJ66" s="46" t="s">
        <v>11</v>
      </c>
      <c r="DK66" s="47" t="s">
        <v>12</v>
      </c>
      <c r="DL66" s="210">
        <v>0</v>
      </c>
      <c r="DM66" s="211">
        <v>0</v>
      </c>
      <c r="DN66" s="212">
        <v>0</v>
      </c>
      <c r="DO66" s="194">
        <v>0</v>
      </c>
      <c r="DP66" s="210">
        <v>0</v>
      </c>
      <c r="DQ66" s="211">
        <v>0</v>
      </c>
      <c r="DR66" s="212">
        <v>0</v>
      </c>
      <c r="DS66" s="194">
        <v>0</v>
      </c>
      <c r="DT66" s="210">
        <v>0</v>
      </c>
      <c r="DU66" s="211">
        <v>0</v>
      </c>
      <c r="DV66" s="212">
        <v>0</v>
      </c>
      <c r="DW66" s="194">
        <v>0</v>
      </c>
      <c r="DX66" s="29"/>
      <c r="DY66" s="242"/>
      <c r="DZ66" s="46" t="s">
        <v>11</v>
      </c>
      <c r="EA66" s="47" t="s">
        <v>12</v>
      </c>
      <c r="EB66" s="48">
        <v>0</v>
      </c>
      <c r="EC66" s="49">
        <v>0</v>
      </c>
      <c r="ED66" s="50">
        <v>0</v>
      </c>
      <c r="EE66" s="51">
        <v>0</v>
      </c>
      <c r="EF66" s="48">
        <v>0</v>
      </c>
      <c r="EG66" s="49">
        <v>0</v>
      </c>
      <c r="EH66" s="50">
        <v>0</v>
      </c>
      <c r="EI66" s="51">
        <v>0</v>
      </c>
      <c r="EJ66" s="48">
        <v>0</v>
      </c>
      <c r="EK66" s="49">
        <v>0</v>
      </c>
      <c r="EL66" s="50">
        <v>0</v>
      </c>
      <c r="EM66" s="51">
        <v>0</v>
      </c>
      <c r="EN66" s="29"/>
      <c r="EO66" s="242"/>
      <c r="EP66" s="46" t="s">
        <v>11</v>
      </c>
      <c r="EQ66" s="47" t="s">
        <v>12</v>
      </c>
      <c r="ER66" s="48">
        <v>0</v>
      </c>
      <c r="ES66" s="49">
        <v>0</v>
      </c>
      <c r="ET66" s="50">
        <v>0</v>
      </c>
      <c r="EU66" s="51">
        <v>0</v>
      </c>
      <c r="EV66" s="48">
        <v>0</v>
      </c>
      <c r="EW66" s="49">
        <v>0</v>
      </c>
      <c r="EX66" s="50">
        <v>0</v>
      </c>
      <c r="EY66" s="51">
        <v>0</v>
      </c>
      <c r="EZ66" s="48">
        <v>0</v>
      </c>
      <c r="FA66" s="49">
        <v>0</v>
      </c>
      <c r="FB66" s="50">
        <v>0</v>
      </c>
      <c r="FC66" s="51">
        <v>0</v>
      </c>
      <c r="FD66" s="29"/>
      <c r="FE66" s="242"/>
      <c r="FF66" s="46" t="s">
        <v>11</v>
      </c>
      <c r="FG66" s="47" t="s">
        <v>12</v>
      </c>
      <c r="FH66" s="48">
        <v>0</v>
      </c>
      <c r="FI66" s="49">
        <v>0</v>
      </c>
      <c r="FJ66" s="50">
        <v>0</v>
      </c>
      <c r="FK66" s="51">
        <v>0</v>
      </c>
      <c r="FL66" s="48">
        <v>0</v>
      </c>
      <c r="FM66" s="49">
        <v>0</v>
      </c>
      <c r="FN66" s="50">
        <v>0</v>
      </c>
      <c r="FO66" s="51">
        <v>0</v>
      </c>
      <c r="FP66" s="48">
        <v>0</v>
      </c>
      <c r="FQ66" s="49">
        <v>0</v>
      </c>
      <c r="FR66" s="50">
        <v>0</v>
      </c>
      <c r="FS66" s="51">
        <v>0</v>
      </c>
      <c r="FT66" s="29"/>
      <c r="FU66" s="242"/>
      <c r="FV66" s="46" t="s">
        <v>11</v>
      </c>
      <c r="FW66" s="47" t="s">
        <v>12</v>
      </c>
      <c r="FX66" s="48">
        <v>0</v>
      </c>
      <c r="FY66" s="49">
        <v>0</v>
      </c>
      <c r="FZ66" s="50">
        <v>0</v>
      </c>
      <c r="GA66" s="51">
        <v>0</v>
      </c>
      <c r="GB66" s="48">
        <v>0</v>
      </c>
      <c r="GC66" s="49">
        <v>0</v>
      </c>
      <c r="GD66" s="50">
        <v>0</v>
      </c>
      <c r="GE66" s="51">
        <v>0</v>
      </c>
      <c r="GF66" s="48">
        <v>0</v>
      </c>
      <c r="GG66" s="49">
        <v>0</v>
      </c>
      <c r="GH66" s="50">
        <v>0</v>
      </c>
      <c r="GI66" s="51">
        <v>0</v>
      </c>
      <c r="GJ66" s="29"/>
      <c r="GK66" s="242"/>
      <c r="GL66" s="46" t="s">
        <v>11</v>
      </c>
      <c r="GM66" s="47" t="s">
        <v>12</v>
      </c>
      <c r="GN66" s="41">
        <f t="shared" ref="GN66:GN68" si="251">FX66</f>
        <v>0</v>
      </c>
      <c r="GO66" s="41">
        <f t="shared" si="242"/>
        <v>0</v>
      </c>
      <c r="GP66" s="41">
        <f t="shared" si="243"/>
        <v>0</v>
      </c>
      <c r="GQ66" s="41">
        <f t="shared" si="244"/>
        <v>0</v>
      </c>
      <c r="GR66" s="41">
        <f t="shared" ref="GR66:GR68" si="252">GB66</f>
        <v>0</v>
      </c>
      <c r="GS66" s="41">
        <f t="shared" si="245"/>
        <v>0</v>
      </c>
      <c r="GT66" s="41">
        <f t="shared" si="246"/>
        <v>0</v>
      </c>
      <c r="GU66" s="41">
        <f t="shared" si="247"/>
        <v>0</v>
      </c>
      <c r="GV66" s="41">
        <f t="shared" ref="GV66:GV68" si="253">GF66</f>
        <v>0</v>
      </c>
      <c r="GW66" s="41">
        <f t="shared" si="248"/>
        <v>0</v>
      </c>
      <c r="GX66" s="41">
        <f t="shared" si="249"/>
        <v>0</v>
      </c>
      <c r="GY66" s="41">
        <f t="shared" si="250"/>
        <v>0</v>
      </c>
      <c r="GZ66" s="29"/>
      <c r="HA66" s="31"/>
      <c r="HN66" s="31"/>
    </row>
    <row r="67" spans="1:222" ht="15" customHeight="1" thickBot="1" x14ac:dyDescent="0.3">
      <c r="A67" s="242"/>
      <c r="B67" s="38" t="s">
        <v>13</v>
      </c>
      <c r="C67" s="54" t="s">
        <v>10</v>
      </c>
      <c r="D67" s="40">
        <v>0</v>
      </c>
      <c r="E67" s="41">
        <v>0</v>
      </c>
      <c r="F67" s="42">
        <v>0</v>
      </c>
      <c r="G67" s="43">
        <v>0</v>
      </c>
      <c r="H67" s="40">
        <v>0</v>
      </c>
      <c r="I67" s="41">
        <v>0</v>
      </c>
      <c r="J67" s="42">
        <v>0</v>
      </c>
      <c r="K67" s="43">
        <v>0</v>
      </c>
      <c r="L67" s="40">
        <v>0</v>
      </c>
      <c r="M67" s="41">
        <v>0</v>
      </c>
      <c r="N67" s="42">
        <v>0</v>
      </c>
      <c r="O67" s="43">
        <v>0</v>
      </c>
      <c r="P67" s="29"/>
      <c r="Q67" s="242"/>
      <c r="R67" s="38" t="s">
        <v>13</v>
      </c>
      <c r="S67" s="54" t="s">
        <v>10</v>
      </c>
      <c r="T67" s="40">
        <v>0</v>
      </c>
      <c r="U67" s="41">
        <v>0</v>
      </c>
      <c r="V67" s="42">
        <v>0</v>
      </c>
      <c r="W67" s="43">
        <v>0</v>
      </c>
      <c r="X67" s="40">
        <v>0</v>
      </c>
      <c r="Y67" s="41">
        <v>0</v>
      </c>
      <c r="Z67" s="42">
        <v>0</v>
      </c>
      <c r="AA67" s="43">
        <v>0</v>
      </c>
      <c r="AB67" s="40">
        <v>0</v>
      </c>
      <c r="AC67" s="41">
        <v>0</v>
      </c>
      <c r="AD67" s="42">
        <v>0</v>
      </c>
      <c r="AE67" s="43">
        <v>0</v>
      </c>
      <c r="AF67" s="29"/>
      <c r="AG67" s="242"/>
      <c r="AH67" s="38" t="s">
        <v>13</v>
      </c>
      <c r="AI67" s="54" t="s">
        <v>10</v>
      </c>
      <c r="AJ67" s="40">
        <v>0</v>
      </c>
      <c r="AK67" s="41">
        <v>0</v>
      </c>
      <c r="AL67" s="42">
        <v>0</v>
      </c>
      <c r="AM67" s="43">
        <v>0</v>
      </c>
      <c r="AN67" s="40">
        <v>0</v>
      </c>
      <c r="AO67" s="41">
        <v>0</v>
      </c>
      <c r="AP67" s="42">
        <v>0</v>
      </c>
      <c r="AQ67" s="43">
        <v>0</v>
      </c>
      <c r="AR67" s="40">
        <v>0</v>
      </c>
      <c r="AS67" s="41">
        <v>0</v>
      </c>
      <c r="AT67" s="42">
        <v>0</v>
      </c>
      <c r="AU67" s="43">
        <v>0</v>
      </c>
      <c r="AV67" s="29"/>
      <c r="AW67" s="242"/>
      <c r="AX67" s="38" t="s">
        <v>13</v>
      </c>
      <c r="AY67" s="54" t="s">
        <v>10</v>
      </c>
      <c r="AZ67" s="40">
        <v>0</v>
      </c>
      <c r="BA67" s="41">
        <v>0</v>
      </c>
      <c r="BB67" s="42">
        <v>0</v>
      </c>
      <c r="BC67" s="43">
        <v>0</v>
      </c>
      <c r="BD67" s="40">
        <v>0</v>
      </c>
      <c r="BE67" s="41">
        <v>0</v>
      </c>
      <c r="BF67" s="42">
        <v>0</v>
      </c>
      <c r="BG67" s="43">
        <v>0</v>
      </c>
      <c r="BH67" s="40">
        <v>0</v>
      </c>
      <c r="BI67" s="41">
        <v>0</v>
      </c>
      <c r="BJ67" s="42">
        <v>0</v>
      </c>
      <c r="BK67" s="43">
        <v>0</v>
      </c>
      <c r="BL67" s="29"/>
      <c r="BM67" s="242"/>
      <c r="BN67" s="38" t="s">
        <v>13</v>
      </c>
      <c r="BO67" s="54" t="s">
        <v>10</v>
      </c>
      <c r="BP67" s="40">
        <v>0</v>
      </c>
      <c r="BQ67" s="41">
        <v>0</v>
      </c>
      <c r="BR67" s="42">
        <v>0</v>
      </c>
      <c r="BS67" s="43">
        <v>0</v>
      </c>
      <c r="BT67" s="40">
        <v>0</v>
      </c>
      <c r="BU67" s="41">
        <v>0</v>
      </c>
      <c r="BV67" s="42">
        <v>0</v>
      </c>
      <c r="BW67" s="43">
        <v>0</v>
      </c>
      <c r="BX67" s="40">
        <v>0</v>
      </c>
      <c r="BY67" s="41">
        <v>0</v>
      </c>
      <c r="BZ67" s="42">
        <v>0</v>
      </c>
      <c r="CA67" s="43">
        <v>0</v>
      </c>
      <c r="CB67" s="29"/>
      <c r="CC67" s="242"/>
      <c r="CD67" s="38" t="s">
        <v>13</v>
      </c>
      <c r="CE67" s="54" t="s">
        <v>10</v>
      </c>
      <c r="CF67" s="40">
        <v>0</v>
      </c>
      <c r="CG67" s="41">
        <v>0</v>
      </c>
      <c r="CH67" s="42">
        <v>0</v>
      </c>
      <c r="CI67" s="43">
        <v>0</v>
      </c>
      <c r="CJ67" s="40">
        <v>0</v>
      </c>
      <c r="CK67" s="41">
        <v>0</v>
      </c>
      <c r="CL67" s="42">
        <v>0</v>
      </c>
      <c r="CM67" s="43">
        <v>0</v>
      </c>
      <c r="CN67" s="40">
        <v>0</v>
      </c>
      <c r="CO67" s="41">
        <v>0</v>
      </c>
      <c r="CP67" s="42">
        <v>0</v>
      </c>
      <c r="CQ67" s="43">
        <v>0</v>
      </c>
      <c r="CR67" s="29"/>
      <c r="CS67" s="242"/>
      <c r="CT67" s="38" t="s">
        <v>13</v>
      </c>
      <c r="CU67" s="54" t="s">
        <v>10</v>
      </c>
      <c r="CV67" s="156">
        <v>0</v>
      </c>
      <c r="CW67" s="157">
        <v>0</v>
      </c>
      <c r="CX67" s="158">
        <v>0</v>
      </c>
      <c r="CY67" s="159">
        <v>0</v>
      </c>
      <c r="CZ67" s="157">
        <v>0</v>
      </c>
      <c r="DA67" s="157">
        <v>0</v>
      </c>
      <c r="DB67" s="158">
        <v>0</v>
      </c>
      <c r="DC67" s="159">
        <v>0</v>
      </c>
      <c r="DD67" s="157">
        <v>0</v>
      </c>
      <c r="DE67" s="157">
        <v>0</v>
      </c>
      <c r="DF67" s="158">
        <v>0</v>
      </c>
      <c r="DG67" s="159">
        <v>0</v>
      </c>
      <c r="DH67" s="29"/>
      <c r="DI67" s="242"/>
      <c r="DJ67" s="38" t="s">
        <v>13</v>
      </c>
      <c r="DK67" s="54" t="s">
        <v>10</v>
      </c>
      <c r="DL67" s="207">
        <v>0</v>
      </c>
      <c r="DM67" s="208">
        <v>0</v>
      </c>
      <c r="DN67" s="209">
        <v>0</v>
      </c>
      <c r="DO67" s="189">
        <v>0</v>
      </c>
      <c r="DP67" s="207">
        <v>0</v>
      </c>
      <c r="DQ67" s="208">
        <v>0</v>
      </c>
      <c r="DR67" s="209">
        <v>0</v>
      </c>
      <c r="DS67" s="189">
        <v>0</v>
      </c>
      <c r="DT67" s="207">
        <v>0</v>
      </c>
      <c r="DU67" s="208">
        <v>0</v>
      </c>
      <c r="DV67" s="209">
        <v>0</v>
      </c>
      <c r="DW67" s="189">
        <v>0</v>
      </c>
      <c r="DX67" s="29"/>
      <c r="DY67" s="242"/>
      <c r="DZ67" s="38" t="s">
        <v>13</v>
      </c>
      <c r="EA67" s="54" t="s">
        <v>10</v>
      </c>
      <c r="EB67" s="40">
        <v>0</v>
      </c>
      <c r="EC67" s="41">
        <v>0</v>
      </c>
      <c r="ED67" s="42">
        <v>0</v>
      </c>
      <c r="EE67" s="43">
        <v>0</v>
      </c>
      <c r="EF67" s="40">
        <v>0</v>
      </c>
      <c r="EG67" s="41">
        <v>0</v>
      </c>
      <c r="EH67" s="42">
        <v>0</v>
      </c>
      <c r="EI67" s="43">
        <v>0</v>
      </c>
      <c r="EJ67" s="40">
        <v>0</v>
      </c>
      <c r="EK67" s="41">
        <v>0</v>
      </c>
      <c r="EL67" s="42">
        <v>0</v>
      </c>
      <c r="EM67" s="43">
        <v>0</v>
      </c>
      <c r="EN67" s="29"/>
      <c r="EO67" s="242"/>
      <c r="EP67" s="38" t="s">
        <v>13</v>
      </c>
      <c r="EQ67" s="54" t="s">
        <v>10</v>
      </c>
      <c r="ER67" s="40">
        <v>0</v>
      </c>
      <c r="ES67" s="41">
        <v>0</v>
      </c>
      <c r="ET67" s="42">
        <v>0</v>
      </c>
      <c r="EU67" s="43">
        <v>0</v>
      </c>
      <c r="EV67" s="40">
        <v>0</v>
      </c>
      <c r="EW67" s="41">
        <v>0</v>
      </c>
      <c r="EX67" s="42">
        <v>0</v>
      </c>
      <c r="EY67" s="43">
        <v>0</v>
      </c>
      <c r="EZ67" s="40">
        <v>0</v>
      </c>
      <c r="FA67" s="41">
        <v>0</v>
      </c>
      <c r="FB67" s="42">
        <v>0</v>
      </c>
      <c r="FC67" s="43">
        <v>0</v>
      </c>
      <c r="FD67" s="29"/>
      <c r="FE67" s="242"/>
      <c r="FF67" s="38" t="s">
        <v>13</v>
      </c>
      <c r="FG67" s="54" t="s">
        <v>10</v>
      </c>
      <c r="FH67" s="40">
        <v>0</v>
      </c>
      <c r="FI67" s="41">
        <v>0</v>
      </c>
      <c r="FJ67" s="42">
        <v>0</v>
      </c>
      <c r="FK67" s="43">
        <v>0</v>
      </c>
      <c r="FL67" s="40">
        <v>0</v>
      </c>
      <c r="FM67" s="41">
        <v>0</v>
      </c>
      <c r="FN67" s="42">
        <v>0</v>
      </c>
      <c r="FO67" s="43">
        <v>0</v>
      </c>
      <c r="FP67" s="40">
        <v>0</v>
      </c>
      <c r="FQ67" s="41">
        <v>0</v>
      </c>
      <c r="FR67" s="42">
        <v>0</v>
      </c>
      <c r="FS67" s="43">
        <v>0</v>
      </c>
      <c r="FT67" s="29"/>
      <c r="FU67" s="242"/>
      <c r="FV67" s="38" t="s">
        <v>13</v>
      </c>
      <c r="FW67" s="54" t="s">
        <v>10</v>
      </c>
      <c r="FX67" s="40">
        <v>0</v>
      </c>
      <c r="FY67" s="41">
        <v>0</v>
      </c>
      <c r="FZ67" s="42">
        <v>0</v>
      </c>
      <c r="GA67" s="43">
        <v>0</v>
      </c>
      <c r="GB67" s="40">
        <v>0</v>
      </c>
      <c r="GC67" s="41">
        <v>0</v>
      </c>
      <c r="GD67" s="42">
        <v>0</v>
      </c>
      <c r="GE67" s="43">
        <v>0</v>
      </c>
      <c r="GF67" s="40">
        <v>0</v>
      </c>
      <c r="GG67" s="41">
        <v>0</v>
      </c>
      <c r="GH67" s="42">
        <v>0</v>
      </c>
      <c r="GI67" s="43">
        <v>0</v>
      </c>
      <c r="GJ67" s="29"/>
      <c r="GK67" s="242"/>
      <c r="GL67" s="38" t="s">
        <v>13</v>
      </c>
      <c r="GM67" s="54" t="s">
        <v>10</v>
      </c>
      <c r="GN67" s="41">
        <f t="shared" si="251"/>
        <v>0</v>
      </c>
      <c r="GO67" s="41">
        <f t="shared" si="242"/>
        <v>0</v>
      </c>
      <c r="GP67" s="41">
        <f t="shared" si="243"/>
        <v>0</v>
      </c>
      <c r="GQ67" s="41">
        <f t="shared" si="244"/>
        <v>0</v>
      </c>
      <c r="GR67" s="41">
        <f t="shared" si="252"/>
        <v>0</v>
      </c>
      <c r="GS67" s="41">
        <f t="shared" si="245"/>
        <v>0</v>
      </c>
      <c r="GT67" s="41">
        <f t="shared" si="246"/>
        <v>0</v>
      </c>
      <c r="GU67" s="41">
        <f t="shared" si="247"/>
        <v>0</v>
      </c>
      <c r="GV67" s="41">
        <f t="shared" si="253"/>
        <v>0</v>
      </c>
      <c r="GW67" s="41">
        <f t="shared" si="248"/>
        <v>0</v>
      </c>
      <c r="GX67" s="41">
        <f t="shared" si="249"/>
        <v>0</v>
      </c>
      <c r="GY67" s="41">
        <f t="shared" si="250"/>
        <v>0</v>
      </c>
      <c r="GZ67" s="29"/>
      <c r="HA67" s="31"/>
      <c r="HN67" s="31"/>
    </row>
    <row r="68" spans="1:222" ht="15" customHeight="1" thickBot="1" x14ac:dyDescent="0.3">
      <c r="A68" s="242"/>
      <c r="B68" s="46" t="s">
        <v>11</v>
      </c>
      <c r="C68" s="56" t="s">
        <v>12</v>
      </c>
      <c r="D68" s="48">
        <v>0</v>
      </c>
      <c r="E68" s="49">
        <v>0</v>
      </c>
      <c r="F68" s="50">
        <v>0</v>
      </c>
      <c r="G68" s="51">
        <v>0</v>
      </c>
      <c r="H68" s="48">
        <v>0</v>
      </c>
      <c r="I68" s="49">
        <v>0</v>
      </c>
      <c r="J68" s="50">
        <v>0</v>
      </c>
      <c r="K68" s="51">
        <v>0</v>
      </c>
      <c r="L68" s="48">
        <v>0</v>
      </c>
      <c r="M68" s="49">
        <v>0</v>
      </c>
      <c r="N68" s="50">
        <v>0</v>
      </c>
      <c r="O68" s="51">
        <v>0</v>
      </c>
      <c r="P68" s="29"/>
      <c r="Q68" s="242"/>
      <c r="R68" s="46" t="s">
        <v>11</v>
      </c>
      <c r="S68" s="56" t="s">
        <v>12</v>
      </c>
      <c r="T68" s="48">
        <v>0</v>
      </c>
      <c r="U68" s="49">
        <v>0</v>
      </c>
      <c r="V68" s="50">
        <v>0</v>
      </c>
      <c r="W68" s="51">
        <v>0</v>
      </c>
      <c r="X68" s="48">
        <v>0</v>
      </c>
      <c r="Y68" s="49">
        <v>0</v>
      </c>
      <c r="Z68" s="50">
        <v>0</v>
      </c>
      <c r="AA68" s="51">
        <v>0</v>
      </c>
      <c r="AB68" s="48">
        <v>0</v>
      </c>
      <c r="AC68" s="49">
        <v>0</v>
      </c>
      <c r="AD68" s="50">
        <v>0</v>
      </c>
      <c r="AE68" s="51">
        <v>0</v>
      </c>
      <c r="AF68" s="29"/>
      <c r="AG68" s="242"/>
      <c r="AH68" s="46" t="s">
        <v>11</v>
      </c>
      <c r="AI68" s="56" t="s">
        <v>12</v>
      </c>
      <c r="AJ68" s="48">
        <v>0</v>
      </c>
      <c r="AK68" s="49">
        <v>0</v>
      </c>
      <c r="AL68" s="50">
        <v>0</v>
      </c>
      <c r="AM68" s="51">
        <v>0</v>
      </c>
      <c r="AN68" s="48">
        <v>0</v>
      </c>
      <c r="AO68" s="49">
        <v>0</v>
      </c>
      <c r="AP68" s="50">
        <v>0</v>
      </c>
      <c r="AQ68" s="51">
        <v>0</v>
      </c>
      <c r="AR68" s="48">
        <v>0</v>
      </c>
      <c r="AS68" s="49">
        <v>0</v>
      </c>
      <c r="AT68" s="50">
        <v>0</v>
      </c>
      <c r="AU68" s="51">
        <v>0</v>
      </c>
      <c r="AV68" s="29"/>
      <c r="AW68" s="242"/>
      <c r="AX68" s="46" t="s">
        <v>11</v>
      </c>
      <c r="AY68" s="56" t="s">
        <v>12</v>
      </c>
      <c r="AZ68" s="48">
        <v>0</v>
      </c>
      <c r="BA68" s="49">
        <v>0</v>
      </c>
      <c r="BB68" s="50">
        <v>0</v>
      </c>
      <c r="BC68" s="51">
        <v>0</v>
      </c>
      <c r="BD68" s="48">
        <v>0</v>
      </c>
      <c r="BE68" s="49">
        <v>0</v>
      </c>
      <c r="BF68" s="50">
        <v>0</v>
      </c>
      <c r="BG68" s="51">
        <v>0</v>
      </c>
      <c r="BH68" s="48">
        <v>0</v>
      </c>
      <c r="BI68" s="49">
        <v>0</v>
      </c>
      <c r="BJ68" s="50">
        <v>0</v>
      </c>
      <c r="BK68" s="51">
        <v>0</v>
      </c>
      <c r="BL68" s="29"/>
      <c r="BM68" s="242"/>
      <c r="BN68" s="46" t="s">
        <v>11</v>
      </c>
      <c r="BO68" s="56" t="s">
        <v>12</v>
      </c>
      <c r="BP68" s="48">
        <v>0</v>
      </c>
      <c r="BQ68" s="49">
        <v>0</v>
      </c>
      <c r="BR68" s="50">
        <v>0</v>
      </c>
      <c r="BS68" s="51">
        <v>0</v>
      </c>
      <c r="BT68" s="48">
        <v>0</v>
      </c>
      <c r="BU68" s="49">
        <v>0</v>
      </c>
      <c r="BV68" s="50">
        <v>0</v>
      </c>
      <c r="BW68" s="51">
        <v>0</v>
      </c>
      <c r="BX68" s="48">
        <v>0</v>
      </c>
      <c r="BY68" s="49">
        <v>0</v>
      </c>
      <c r="BZ68" s="50">
        <v>0</v>
      </c>
      <c r="CA68" s="51">
        <v>0</v>
      </c>
      <c r="CB68" s="29"/>
      <c r="CC68" s="242"/>
      <c r="CD68" s="46" t="s">
        <v>11</v>
      </c>
      <c r="CE68" s="56" t="s">
        <v>12</v>
      </c>
      <c r="CF68" s="48">
        <v>0</v>
      </c>
      <c r="CG68" s="49">
        <v>0</v>
      </c>
      <c r="CH68" s="50">
        <v>0</v>
      </c>
      <c r="CI68" s="51">
        <v>0</v>
      </c>
      <c r="CJ68" s="48">
        <v>0</v>
      </c>
      <c r="CK68" s="49">
        <v>0</v>
      </c>
      <c r="CL68" s="50">
        <v>0</v>
      </c>
      <c r="CM68" s="51">
        <v>0</v>
      </c>
      <c r="CN68" s="48">
        <v>0</v>
      </c>
      <c r="CO68" s="49">
        <v>0</v>
      </c>
      <c r="CP68" s="50">
        <v>0</v>
      </c>
      <c r="CQ68" s="51">
        <v>0</v>
      </c>
      <c r="CR68" s="29"/>
      <c r="CS68" s="242"/>
      <c r="CT68" s="46" t="s">
        <v>11</v>
      </c>
      <c r="CU68" s="56" t="s">
        <v>12</v>
      </c>
      <c r="CV68" s="152">
        <v>0</v>
      </c>
      <c r="CW68" s="153">
        <v>0</v>
      </c>
      <c r="CX68" s="154">
        <v>0</v>
      </c>
      <c r="CY68" s="155">
        <v>0</v>
      </c>
      <c r="CZ68" s="153">
        <v>0</v>
      </c>
      <c r="DA68" s="153">
        <v>0</v>
      </c>
      <c r="DB68" s="154">
        <v>0</v>
      </c>
      <c r="DC68" s="155">
        <v>0</v>
      </c>
      <c r="DD68" s="153">
        <v>0</v>
      </c>
      <c r="DE68" s="153">
        <v>0</v>
      </c>
      <c r="DF68" s="154">
        <v>0</v>
      </c>
      <c r="DG68" s="155">
        <v>0</v>
      </c>
      <c r="DH68" s="29"/>
      <c r="DI68" s="242"/>
      <c r="DJ68" s="46" t="s">
        <v>11</v>
      </c>
      <c r="DK68" s="56" t="s">
        <v>12</v>
      </c>
      <c r="DL68" s="210">
        <v>0</v>
      </c>
      <c r="DM68" s="211">
        <v>0</v>
      </c>
      <c r="DN68" s="212">
        <v>0</v>
      </c>
      <c r="DO68" s="194">
        <v>0</v>
      </c>
      <c r="DP68" s="210">
        <v>0</v>
      </c>
      <c r="DQ68" s="211">
        <v>0</v>
      </c>
      <c r="DR68" s="212">
        <v>0</v>
      </c>
      <c r="DS68" s="194">
        <v>0</v>
      </c>
      <c r="DT68" s="210">
        <v>0</v>
      </c>
      <c r="DU68" s="211">
        <v>0</v>
      </c>
      <c r="DV68" s="212">
        <v>0</v>
      </c>
      <c r="DW68" s="194">
        <v>0</v>
      </c>
      <c r="DX68" s="29"/>
      <c r="DY68" s="242"/>
      <c r="DZ68" s="46" t="s">
        <v>11</v>
      </c>
      <c r="EA68" s="56" t="s">
        <v>12</v>
      </c>
      <c r="EB68" s="48">
        <v>0</v>
      </c>
      <c r="EC68" s="49">
        <v>0</v>
      </c>
      <c r="ED68" s="50">
        <v>0</v>
      </c>
      <c r="EE68" s="51">
        <v>0</v>
      </c>
      <c r="EF68" s="48">
        <v>0</v>
      </c>
      <c r="EG68" s="49">
        <v>0</v>
      </c>
      <c r="EH68" s="50">
        <v>0</v>
      </c>
      <c r="EI68" s="51">
        <v>0</v>
      </c>
      <c r="EJ68" s="48">
        <v>0</v>
      </c>
      <c r="EK68" s="49">
        <v>0</v>
      </c>
      <c r="EL68" s="50">
        <v>0</v>
      </c>
      <c r="EM68" s="51">
        <v>0</v>
      </c>
      <c r="EN68" s="29"/>
      <c r="EO68" s="242"/>
      <c r="EP68" s="46" t="s">
        <v>11</v>
      </c>
      <c r="EQ68" s="56" t="s">
        <v>12</v>
      </c>
      <c r="ER68" s="48">
        <v>0</v>
      </c>
      <c r="ES68" s="49">
        <v>0</v>
      </c>
      <c r="ET68" s="50">
        <v>0</v>
      </c>
      <c r="EU68" s="51">
        <v>0</v>
      </c>
      <c r="EV68" s="48">
        <v>0</v>
      </c>
      <c r="EW68" s="49">
        <v>0</v>
      </c>
      <c r="EX68" s="50">
        <v>0</v>
      </c>
      <c r="EY68" s="51">
        <v>0</v>
      </c>
      <c r="EZ68" s="48">
        <v>0</v>
      </c>
      <c r="FA68" s="49">
        <v>0</v>
      </c>
      <c r="FB68" s="50">
        <v>0</v>
      </c>
      <c r="FC68" s="51">
        <v>0</v>
      </c>
      <c r="FD68" s="29"/>
      <c r="FE68" s="242"/>
      <c r="FF68" s="46" t="s">
        <v>11</v>
      </c>
      <c r="FG68" s="56" t="s">
        <v>12</v>
      </c>
      <c r="FH68" s="48">
        <v>0</v>
      </c>
      <c r="FI68" s="49">
        <v>0</v>
      </c>
      <c r="FJ68" s="50">
        <v>0</v>
      </c>
      <c r="FK68" s="51">
        <v>0</v>
      </c>
      <c r="FL68" s="48">
        <v>0</v>
      </c>
      <c r="FM68" s="49">
        <v>0</v>
      </c>
      <c r="FN68" s="50">
        <v>0</v>
      </c>
      <c r="FO68" s="51">
        <v>0</v>
      </c>
      <c r="FP68" s="48">
        <v>0</v>
      </c>
      <c r="FQ68" s="49">
        <v>0</v>
      </c>
      <c r="FR68" s="50">
        <v>0</v>
      </c>
      <c r="FS68" s="51">
        <v>0</v>
      </c>
      <c r="FT68" s="29"/>
      <c r="FU68" s="242"/>
      <c r="FV68" s="46" t="s">
        <v>11</v>
      </c>
      <c r="FW68" s="56" t="s">
        <v>12</v>
      </c>
      <c r="FX68" s="48">
        <v>0</v>
      </c>
      <c r="FY68" s="49">
        <v>0</v>
      </c>
      <c r="FZ68" s="50">
        <v>0</v>
      </c>
      <c r="GA68" s="51">
        <v>0</v>
      </c>
      <c r="GB68" s="48">
        <v>0</v>
      </c>
      <c r="GC68" s="49">
        <v>0</v>
      </c>
      <c r="GD68" s="50">
        <v>0</v>
      </c>
      <c r="GE68" s="51">
        <v>0</v>
      </c>
      <c r="GF68" s="48">
        <v>0</v>
      </c>
      <c r="GG68" s="49">
        <v>0</v>
      </c>
      <c r="GH68" s="50">
        <v>0</v>
      </c>
      <c r="GI68" s="51">
        <v>0</v>
      </c>
      <c r="GJ68" s="29"/>
      <c r="GK68" s="242"/>
      <c r="GL68" s="46" t="s">
        <v>11</v>
      </c>
      <c r="GM68" s="56" t="s">
        <v>12</v>
      </c>
      <c r="GN68" s="41">
        <f t="shared" si="251"/>
        <v>0</v>
      </c>
      <c r="GO68" s="41">
        <f t="shared" si="242"/>
        <v>0</v>
      </c>
      <c r="GP68" s="41">
        <f t="shared" si="243"/>
        <v>0</v>
      </c>
      <c r="GQ68" s="41">
        <f t="shared" si="244"/>
        <v>0</v>
      </c>
      <c r="GR68" s="41">
        <f t="shared" si="252"/>
        <v>0</v>
      </c>
      <c r="GS68" s="41">
        <f t="shared" si="245"/>
        <v>0</v>
      </c>
      <c r="GT68" s="41">
        <f t="shared" si="246"/>
        <v>0</v>
      </c>
      <c r="GU68" s="41">
        <f t="shared" si="247"/>
        <v>0</v>
      </c>
      <c r="GV68" s="41">
        <f t="shared" si="253"/>
        <v>0</v>
      </c>
      <c r="GW68" s="41">
        <f t="shared" si="248"/>
        <v>0</v>
      </c>
      <c r="GX68" s="41">
        <f t="shared" si="249"/>
        <v>0</v>
      </c>
      <c r="GY68" s="41">
        <f t="shared" si="250"/>
        <v>0</v>
      </c>
      <c r="GZ68" s="29"/>
      <c r="HA68" s="31"/>
      <c r="HN68" s="31"/>
    </row>
    <row r="69" spans="1:222" ht="15" customHeight="1" thickBot="1" x14ac:dyDescent="0.3">
      <c r="A69" s="242"/>
      <c r="B69" s="233" t="s">
        <v>14</v>
      </c>
      <c r="C69" s="234"/>
      <c r="D69" s="58">
        <f t="shared" ref="D69:O69" si="254">SUM(D65:D68)</f>
        <v>0</v>
      </c>
      <c r="E69" s="59">
        <f t="shared" si="254"/>
        <v>0</v>
      </c>
      <c r="F69" s="60">
        <f t="shared" si="254"/>
        <v>0</v>
      </c>
      <c r="G69" s="61">
        <f t="shared" si="254"/>
        <v>0</v>
      </c>
      <c r="H69" s="58">
        <f t="shared" si="254"/>
        <v>0</v>
      </c>
      <c r="I69" s="59">
        <f t="shared" si="254"/>
        <v>0</v>
      </c>
      <c r="J69" s="60">
        <f t="shared" si="254"/>
        <v>0</v>
      </c>
      <c r="K69" s="61">
        <f t="shared" si="254"/>
        <v>0</v>
      </c>
      <c r="L69" s="58">
        <f t="shared" si="254"/>
        <v>0</v>
      </c>
      <c r="M69" s="59">
        <f t="shared" si="254"/>
        <v>0</v>
      </c>
      <c r="N69" s="60">
        <f t="shared" si="254"/>
        <v>0</v>
      </c>
      <c r="O69" s="61">
        <f t="shared" si="254"/>
        <v>0</v>
      </c>
      <c r="P69" s="29"/>
      <c r="Q69" s="242"/>
      <c r="R69" s="233" t="s">
        <v>14</v>
      </c>
      <c r="S69" s="234"/>
      <c r="T69" s="58">
        <f t="shared" ref="T69:AE69" si="255">SUM(T65:T68)</f>
        <v>0</v>
      </c>
      <c r="U69" s="59">
        <f t="shared" si="255"/>
        <v>0</v>
      </c>
      <c r="V69" s="60">
        <f t="shared" si="255"/>
        <v>0</v>
      </c>
      <c r="W69" s="61">
        <f t="shared" si="255"/>
        <v>0</v>
      </c>
      <c r="X69" s="58">
        <f t="shared" si="255"/>
        <v>0</v>
      </c>
      <c r="Y69" s="59">
        <f t="shared" si="255"/>
        <v>0</v>
      </c>
      <c r="Z69" s="60">
        <f t="shared" si="255"/>
        <v>0</v>
      </c>
      <c r="AA69" s="61">
        <f t="shared" si="255"/>
        <v>0</v>
      </c>
      <c r="AB69" s="58">
        <f t="shared" si="255"/>
        <v>0</v>
      </c>
      <c r="AC69" s="59">
        <f t="shared" si="255"/>
        <v>0</v>
      </c>
      <c r="AD69" s="60">
        <f t="shared" si="255"/>
        <v>0</v>
      </c>
      <c r="AE69" s="61">
        <f t="shared" si="255"/>
        <v>0</v>
      </c>
      <c r="AF69" s="29"/>
      <c r="AG69" s="242"/>
      <c r="AH69" s="233" t="s">
        <v>14</v>
      </c>
      <c r="AI69" s="234"/>
      <c r="AJ69" s="58">
        <f t="shared" ref="AJ69:AU69" si="256">SUM(AJ65:AJ68)</f>
        <v>0</v>
      </c>
      <c r="AK69" s="59">
        <f t="shared" si="256"/>
        <v>0</v>
      </c>
      <c r="AL69" s="60">
        <f t="shared" si="256"/>
        <v>0</v>
      </c>
      <c r="AM69" s="61">
        <f t="shared" si="256"/>
        <v>0</v>
      </c>
      <c r="AN69" s="58">
        <f t="shared" si="256"/>
        <v>0</v>
      </c>
      <c r="AO69" s="59">
        <f t="shared" si="256"/>
        <v>0</v>
      </c>
      <c r="AP69" s="60">
        <f t="shared" si="256"/>
        <v>0</v>
      </c>
      <c r="AQ69" s="61">
        <f t="shared" si="256"/>
        <v>0</v>
      </c>
      <c r="AR69" s="58">
        <f t="shared" si="256"/>
        <v>0</v>
      </c>
      <c r="AS69" s="59">
        <f t="shared" si="256"/>
        <v>0</v>
      </c>
      <c r="AT69" s="60">
        <f t="shared" si="256"/>
        <v>0</v>
      </c>
      <c r="AU69" s="61">
        <f t="shared" si="256"/>
        <v>0</v>
      </c>
      <c r="AV69" s="29"/>
      <c r="AW69" s="242"/>
      <c r="AX69" s="233" t="s">
        <v>14</v>
      </c>
      <c r="AY69" s="234"/>
      <c r="AZ69" s="58">
        <f t="shared" ref="AZ69:BK69" si="257">SUM(AZ65:AZ68)</f>
        <v>0</v>
      </c>
      <c r="BA69" s="59">
        <f t="shared" si="257"/>
        <v>0</v>
      </c>
      <c r="BB69" s="60">
        <f t="shared" si="257"/>
        <v>0</v>
      </c>
      <c r="BC69" s="61">
        <f t="shared" si="257"/>
        <v>0</v>
      </c>
      <c r="BD69" s="58">
        <f t="shared" si="257"/>
        <v>0</v>
      </c>
      <c r="BE69" s="59">
        <f t="shared" si="257"/>
        <v>0</v>
      </c>
      <c r="BF69" s="60">
        <f t="shared" si="257"/>
        <v>0</v>
      </c>
      <c r="BG69" s="61">
        <f t="shared" si="257"/>
        <v>0</v>
      </c>
      <c r="BH69" s="58">
        <f t="shared" si="257"/>
        <v>0</v>
      </c>
      <c r="BI69" s="59">
        <f t="shared" si="257"/>
        <v>0</v>
      </c>
      <c r="BJ69" s="60">
        <f t="shared" si="257"/>
        <v>0</v>
      </c>
      <c r="BK69" s="61">
        <f t="shared" si="257"/>
        <v>0</v>
      </c>
      <c r="BL69" s="29"/>
      <c r="BM69" s="242"/>
      <c r="BN69" s="233" t="s">
        <v>14</v>
      </c>
      <c r="BO69" s="234"/>
      <c r="BP69" s="58">
        <f t="shared" ref="BP69:CA69" si="258">SUM(BP65:BP68)</f>
        <v>0</v>
      </c>
      <c r="BQ69" s="59">
        <f t="shared" si="258"/>
        <v>0</v>
      </c>
      <c r="BR69" s="60">
        <f t="shared" si="258"/>
        <v>0</v>
      </c>
      <c r="BS69" s="61">
        <f t="shared" si="258"/>
        <v>0</v>
      </c>
      <c r="BT69" s="58">
        <f t="shared" si="258"/>
        <v>0</v>
      </c>
      <c r="BU69" s="59">
        <f t="shared" si="258"/>
        <v>0</v>
      </c>
      <c r="BV69" s="60">
        <f t="shared" si="258"/>
        <v>0</v>
      </c>
      <c r="BW69" s="61">
        <f t="shared" si="258"/>
        <v>0</v>
      </c>
      <c r="BX69" s="58">
        <f t="shared" si="258"/>
        <v>0</v>
      </c>
      <c r="BY69" s="59">
        <f t="shared" si="258"/>
        <v>0</v>
      </c>
      <c r="BZ69" s="60">
        <f t="shared" si="258"/>
        <v>0</v>
      </c>
      <c r="CA69" s="61">
        <f t="shared" si="258"/>
        <v>0</v>
      </c>
      <c r="CB69" s="29"/>
      <c r="CC69" s="242"/>
      <c r="CD69" s="233" t="s">
        <v>14</v>
      </c>
      <c r="CE69" s="234"/>
      <c r="CF69" s="58">
        <f t="shared" ref="CF69:CQ69" si="259">SUM(CF65:CF68)</f>
        <v>0</v>
      </c>
      <c r="CG69" s="59">
        <f t="shared" si="259"/>
        <v>0</v>
      </c>
      <c r="CH69" s="60">
        <f t="shared" si="259"/>
        <v>0</v>
      </c>
      <c r="CI69" s="61">
        <f t="shared" si="259"/>
        <v>0</v>
      </c>
      <c r="CJ69" s="58">
        <f t="shared" si="259"/>
        <v>0</v>
      </c>
      <c r="CK69" s="59">
        <f t="shared" si="259"/>
        <v>0</v>
      </c>
      <c r="CL69" s="60">
        <f t="shared" si="259"/>
        <v>0</v>
      </c>
      <c r="CM69" s="61">
        <f t="shared" si="259"/>
        <v>0</v>
      </c>
      <c r="CN69" s="58">
        <f t="shared" si="259"/>
        <v>0</v>
      </c>
      <c r="CO69" s="59">
        <f t="shared" si="259"/>
        <v>0</v>
      </c>
      <c r="CP69" s="60">
        <f t="shared" si="259"/>
        <v>0</v>
      </c>
      <c r="CQ69" s="61">
        <f t="shared" si="259"/>
        <v>0</v>
      </c>
      <c r="CR69" s="29"/>
      <c r="CS69" s="242"/>
      <c r="CT69" s="233" t="s">
        <v>14</v>
      </c>
      <c r="CU69" s="234"/>
      <c r="CV69" s="169">
        <v>0</v>
      </c>
      <c r="CW69" s="170">
        <v>0</v>
      </c>
      <c r="CX69" s="171">
        <v>0</v>
      </c>
      <c r="CY69" s="172">
        <v>0</v>
      </c>
      <c r="CZ69" s="170">
        <v>0</v>
      </c>
      <c r="DA69" s="170">
        <v>0</v>
      </c>
      <c r="DB69" s="171">
        <v>0</v>
      </c>
      <c r="DC69" s="172">
        <v>0</v>
      </c>
      <c r="DD69" s="170">
        <v>0</v>
      </c>
      <c r="DE69" s="170">
        <v>0</v>
      </c>
      <c r="DF69" s="171">
        <v>0</v>
      </c>
      <c r="DG69" s="172">
        <v>0</v>
      </c>
      <c r="DH69" s="29"/>
      <c r="DI69" s="242"/>
      <c r="DJ69" s="233" t="s">
        <v>14</v>
      </c>
      <c r="DK69" s="234"/>
      <c r="DL69" s="199">
        <f t="shared" ref="DL69:DW69" si="260">SUM(DL65:DL68)</f>
        <v>0</v>
      </c>
      <c r="DM69" s="200">
        <f t="shared" si="260"/>
        <v>0</v>
      </c>
      <c r="DN69" s="201">
        <f t="shared" si="260"/>
        <v>0</v>
      </c>
      <c r="DO69" s="202">
        <f t="shared" si="260"/>
        <v>0</v>
      </c>
      <c r="DP69" s="199">
        <f t="shared" si="260"/>
        <v>0</v>
      </c>
      <c r="DQ69" s="200">
        <f t="shared" si="260"/>
        <v>0</v>
      </c>
      <c r="DR69" s="201">
        <f t="shared" si="260"/>
        <v>0</v>
      </c>
      <c r="DS69" s="202">
        <f t="shared" si="260"/>
        <v>0</v>
      </c>
      <c r="DT69" s="199">
        <f t="shared" si="260"/>
        <v>0</v>
      </c>
      <c r="DU69" s="200">
        <f t="shared" si="260"/>
        <v>0</v>
      </c>
      <c r="DV69" s="201">
        <f t="shared" si="260"/>
        <v>0</v>
      </c>
      <c r="DW69" s="202">
        <f t="shared" si="260"/>
        <v>0</v>
      </c>
      <c r="DX69" s="29"/>
      <c r="DY69" s="242"/>
      <c r="DZ69" s="233" t="s">
        <v>14</v>
      </c>
      <c r="EA69" s="234"/>
      <c r="EB69" s="58">
        <f t="shared" ref="EB69:EM69" si="261">SUM(EB65:EB68)</f>
        <v>0</v>
      </c>
      <c r="EC69" s="59">
        <f t="shared" si="261"/>
        <v>0</v>
      </c>
      <c r="ED69" s="60">
        <f t="shared" si="261"/>
        <v>0</v>
      </c>
      <c r="EE69" s="61">
        <f t="shared" si="261"/>
        <v>0</v>
      </c>
      <c r="EF69" s="58">
        <f t="shared" si="261"/>
        <v>0</v>
      </c>
      <c r="EG69" s="59">
        <f t="shared" si="261"/>
        <v>0</v>
      </c>
      <c r="EH69" s="60">
        <f t="shared" si="261"/>
        <v>0</v>
      </c>
      <c r="EI69" s="61">
        <f t="shared" si="261"/>
        <v>0</v>
      </c>
      <c r="EJ69" s="58">
        <f t="shared" si="261"/>
        <v>0</v>
      </c>
      <c r="EK69" s="59">
        <f t="shared" si="261"/>
        <v>0</v>
      </c>
      <c r="EL69" s="60">
        <f t="shared" si="261"/>
        <v>0</v>
      </c>
      <c r="EM69" s="61">
        <f t="shared" si="261"/>
        <v>0</v>
      </c>
      <c r="EN69" s="29"/>
      <c r="EO69" s="242"/>
      <c r="EP69" s="233" t="s">
        <v>14</v>
      </c>
      <c r="EQ69" s="234"/>
      <c r="ER69" s="58">
        <f t="shared" ref="ER69:FC69" si="262">SUM(ER65:ER68)</f>
        <v>0</v>
      </c>
      <c r="ES69" s="59">
        <f t="shared" si="262"/>
        <v>0</v>
      </c>
      <c r="ET69" s="60">
        <f t="shared" si="262"/>
        <v>0</v>
      </c>
      <c r="EU69" s="61">
        <f t="shared" si="262"/>
        <v>0</v>
      </c>
      <c r="EV69" s="58">
        <f t="shared" si="262"/>
        <v>0</v>
      </c>
      <c r="EW69" s="59">
        <f t="shared" si="262"/>
        <v>0</v>
      </c>
      <c r="EX69" s="60">
        <f t="shared" si="262"/>
        <v>0</v>
      </c>
      <c r="EY69" s="61">
        <f t="shared" si="262"/>
        <v>0</v>
      </c>
      <c r="EZ69" s="58">
        <f t="shared" si="262"/>
        <v>0</v>
      </c>
      <c r="FA69" s="59">
        <f t="shared" si="262"/>
        <v>0</v>
      </c>
      <c r="FB69" s="60">
        <f t="shared" si="262"/>
        <v>0</v>
      </c>
      <c r="FC69" s="61">
        <f t="shared" si="262"/>
        <v>0</v>
      </c>
      <c r="FD69" s="29"/>
      <c r="FE69" s="242"/>
      <c r="FF69" s="233" t="s">
        <v>14</v>
      </c>
      <c r="FG69" s="234"/>
      <c r="FH69" s="58">
        <f t="shared" ref="FH69:FS69" si="263">SUM(FH65:FH68)</f>
        <v>0</v>
      </c>
      <c r="FI69" s="59">
        <f t="shared" si="263"/>
        <v>0</v>
      </c>
      <c r="FJ69" s="60">
        <f t="shared" si="263"/>
        <v>0</v>
      </c>
      <c r="FK69" s="61">
        <f t="shared" si="263"/>
        <v>0</v>
      </c>
      <c r="FL69" s="58">
        <f t="shared" si="263"/>
        <v>0</v>
      </c>
      <c r="FM69" s="59">
        <f t="shared" si="263"/>
        <v>0</v>
      </c>
      <c r="FN69" s="60">
        <f t="shared" si="263"/>
        <v>0</v>
      </c>
      <c r="FO69" s="61">
        <f t="shared" si="263"/>
        <v>0</v>
      </c>
      <c r="FP69" s="58">
        <f t="shared" si="263"/>
        <v>0</v>
      </c>
      <c r="FQ69" s="59">
        <f t="shared" si="263"/>
        <v>0</v>
      </c>
      <c r="FR69" s="60">
        <f t="shared" si="263"/>
        <v>0</v>
      </c>
      <c r="FS69" s="61">
        <f t="shared" si="263"/>
        <v>0</v>
      </c>
      <c r="FT69" s="29"/>
      <c r="FU69" s="242"/>
      <c r="FV69" s="233" t="s">
        <v>14</v>
      </c>
      <c r="FW69" s="234"/>
      <c r="FX69" s="58">
        <f t="shared" ref="FX69:GI69" si="264">SUM(FX65:FX68)</f>
        <v>0</v>
      </c>
      <c r="FY69" s="59">
        <f t="shared" si="264"/>
        <v>0</v>
      </c>
      <c r="FZ69" s="60">
        <f t="shared" si="264"/>
        <v>0</v>
      </c>
      <c r="GA69" s="61">
        <f t="shared" si="264"/>
        <v>0</v>
      </c>
      <c r="GB69" s="58">
        <f t="shared" si="264"/>
        <v>0</v>
      </c>
      <c r="GC69" s="59">
        <f t="shared" si="264"/>
        <v>0</v>
      </c>
      <c r="GD69" s="60">
        <f t="shared" si="264"/>
        <v>0</v>
      </c>
      <c r="GE69" s="61">
        <f t="shared" si="264"/>
        <v>0</v>
      </c>
      <c r="GF69" s="58">
        <f t="shared" si="264"/>
        <v>0</v>
      </c>
      <c r="GG69" s="59">
        <f t="shared" si="264"/>
        <v>0</v>
      </c>
      <c r="GH69" s="60">
        <f t="shared" si="264"/>
        <v>0</v>
      </c>
      <c r="GI69" s="61">
        <f t="shared" si="264"/>
        <v>0</v>
      </c>
      <c r="GJ69" s="29"/>
      <c r="GK69" s="242"/>
      <c r="GL69" s="233" t="s">
        <v>14</v>
      </c>
      <c r="GM69" s="234"/>
      <c r="GN69" s="62">
        <f t="shared" ref="GN69:GY69" si="265">SUM(GN65:GN68)</f>
        <v>0</v>
      </c>
      <c r="GO69" s="63">
        <f t="shared" si="265"/>
        <v>0</v>
      </c>
      <c r="GP69" s="64">
        <f t="shared" si="265"/>
        <v>0</v>
      </c>
      <c r="GQ69" s="64">
        <f t="shared" si="265"/>
        <v>0</v>
      </c>
      <c r="GR69" s="62">
        <f t="shared" si="265"/>
        <v>0</v>
      </c>
      <c r="GS69" s="63">
        <f t="shared" si="265"/>
        <v>0</v>
      </c>
      <c r="GT69" s="64">
        <f t="shared" si="265"/>
        <v>0</v>
      </c>
      <c r="GU69" s="64">
        <f t="shared" si="265"/>
        <v>0</v>
      </c>
      <c r="GV69" s="62">
        <f t="shared" si="265"/>
        <v>0</v>
      </c>
      <c r="GW69" s="63">
        <f t="shared" si="265"/>
        <v>0</v>
      </c>
      <c r="GX69" s="64">
        <f t="shared" si="265"/>
        <v>0</v>
      </c>
      <c r="GY69" s="64">
        <f t="shared" si="265"/>
        <v>0</v>
      </c>
      <c r="GZ69" s="29"/>
      <c r="HA69" s="31"/>
      <c r="HN69" s="31"/>
    </row>
    <row r="70" spans="1:222" ht="15" customHeight="1" thickTop="1" thickBot="1" x14ac:dyDescent="0.3">
      <c r="A70" s="243"/>
      <c r="B70" s="65" t="s">
        <v>15</v>
      </c>
      <c r="C70" s="65"/>
      <c r="D70" s="66"/>
      <c r="E70" s="66" t="s">
        <v>2</v>
      </c>
      <c r="F70" s="66"/>
      <c r="G70" s="66">
        <v>0</v>
      </c>
      <c r="H70" s="66"/>
      <c r="I70" s="66" t="s">
        <v>16</v>
      </c>
      <c r="J70" s="66"/>
      <c r="K70" s="66">
        <v>0</v>
      </c>
      <c r="L70" s="66"/>
      <c r="M70" s="66" t="s">
        <v>17</v>
      </c>
      <c r="N70" s="232">
        <v>0</v>
      </c>
      <c r="O70" s="232"/>
      <c r="P70" s="29"/>
      <c r="Q70" s="243"/>
      <c r="R70" s="65" t="s">
        <v>15</v>
      </c>
      <c r="S70" s="65"/>
      <c r="T70" s="66"/>
      <c r="U70" s="66" t="s">
        <v>2</v>
      </c>
      <c r="V70" s="66"/>
      <c r="W70" s="66">
        <v>0</v>
      </c>
      <c r="X70" s="66"/>
      <c r="Y70" s="66" t="s">
        <v>16</v>
      </c>
      <c r="Z70" s="66"/>
      <c r="AA70" s="66">
        <v>0</v>
      </c>
      <c r="AB70" s="66"/>
      <c r="AC70" s="66" t="s">
        <v>17</v>
      </c>
      <c r="AD70" s="232">
        <v>0</v>
      </c>
      <c r="AE70" s="232"/>
      <c r="AF70" s="29"/>
      <c r="AG70" s="243"/>
      <c r="AH70" s="65" t="s">
        <v>15</v>
      </c>
      <c r="AI70" s="65"/>
      <c r="AJ70" s="66"/>
      <c r="AK70" s="66" t="s">
        <v>2</v>
      </c>
      <c r="AL70" s="66"/>
      <c r="AM70" s="66">
        <v>0</v>
      </c>
      <c r="AN70" s="66"/>
      <c r="AO70" s="66" t="s">
        <v>16</v>
      </c>
      <c r="AP70" s="66"/>
      <c r="AQ70" s="66">
        <v>0</v>
      </c>
      <c r="AR70" s="66"/>
      <c r="AS70" s="66" t="s">
        <v>17</v>
      </c>
      <c r="AT70" s="232">
        <v>0</v>
      </c>
      <c r="AU70" s="232"/>
      <c r="AV70" s="29"/>
      <c r="AW70" s="243"/>
      <c r="AX70" s="65" t="s">
        <v>15</v>
      </c>
      <c r="AY70" s="65"/>
      <c r="AZ70" s="66"/>
      <c r="BA70" s="66" t="s">
        <v>2</v>
      </c>
      <c r="BB70" s="66"/>
      <c r="BC70" s="66">
        <v>0</v>
      </c>
      <c r="BD70" s="66"/>
      <c r="BE70" s="66" t="s">
        <v>16</v>
      </c>
      <c r="BF70" s="66"/>
      <c r="BG70" s="66">
        <v>0</v>
      </c>
      <c r="BH70" s="66"/>
      <c r="BI70" s="66" t="s">
        <v>17</v>
      </c>
      <c r="BJ70" s="232">
        <v>0</v>
      </c>
      <c r="BK70" s="232"/>
      <c r="BL70" s="29"/>
      <c r="BM70" s="243"/>
      <c r="BN70" s="65" t="s">
        <v>15</v>
      </c>
      <c r="BO70" s="65"/>
      <c r="BP70" s="66"/>
      <c r="BQ70" s="66" t="s">
        <v>2</v>
      </c>
      <c r="BR70" s="66"/>
      <c r="BS70" s="66">
        <v>0</v>
      </c>
      <c r="BT70" s="66"/>
      <c r="BU70" s="66" t="s">
        <v>16</v>
      </c>
      <c r="BV70" s="66"/>
      <c r="BW70" s="66">
        <v>0</v>
      </c>
      <c r="BX70" s="66"/>
      <c r="BY70" s="66" t="s">
        <v>17</v>
      </c>
      <c r="BZ70" s="232">
        <v>0</v>
      </c>
      <c r="CA70" s="232"/>
      <c r="CB70" s="29"/>
      <c r="CC70" s="243"/>
      <c r="CD70" s="65" t="s">
        <v>15</v>
      </c>
      <c r="CE70" s="65"/>
      <c r="CF70" s="66"/>
      <c r="CG70" s="66" t="s">
        <v>2</v>
      </c>
      <c r="CH70" s="66"/>
      <c r="CI70" s="66">
        <v>0</v>
      </c>
      <c r="CJ70" s="66"/>
      <c r="CK70" s="66" t="s">
        <v>16</v>
      </c>
      <c r="CL70" s="66"/>
      <c r="CM70" s="66">
        <v>0</v>
      </c>
      <c r="CN70" s="66"/>
      <c r="CO70" s="66" t="s">
        <v>17</v>
      </c>
      <c r="CP70" s="232">
        <v>0</v>
      </c>
      <c r="CQ70" s="232"/>
      <c r="CR70" s="29"/>
      <c r="CS70" s="243"/>
      <c r="CT70" s="65" t="s">
        <v>15</v>
      </c>
      <c r="CU70" s="65"/>
      <c r="CV70" s="173"/>
      <c r="CW70" s="174" t="s">
        <v>2</v>
      </c>
      <c r="CX70" s="173"/>
      <c r="CY70" s="175">
        <v>0</v>
      </c>
      <c r="CZ70" s="173"/>
      <c r="DA70" s="174" t="s">
        <v>16</v>
      </c>
      <c r="DB70" s="173"/>
      <c r="DC70" s="175">
        <v>0</v>
      </c>
      <c r="DD70" s="173"/>
      <c r="DE70" s="175" t="s">
        <v>17</v>
      </c>
      <c r="DF70" s="249">
        <v>0</v>
      </c>
      <c r="DG70" s="250"/>
      <c r="DH70" s="29"/>
      <c r="DI70" s="243"/>
      <c r="DJ70" s="65" t="s">
        <v>15</v>
      </c>
      <c r="DK70" s="65"/>
      <c r="DL70" s="203"/>
      <c r="DM70" s="203" t="s">
        <v>2</v>
      </c>
      <c r="DN70" s="203"/>
      <c r="DO70" s="203">
        <v>0</v>
      </c>
      <c r="DP70" s="203"/>
      <c r="DQ70" s="203" t="s">
        <v>16</v>
      </c>
      <c r="DR70" s="203"/>
      <c r="DS70" s="203">
        <v>0</v>
      </c>
      <c r="DT70" s="203"/>
      <c r="DU70" s="203" t="s">
        <v>17</v>
      </c>
      <c r="DV70" s="247">
        <v>0</v>
      </c>
      <c r="DW70" s="248"/>
      <c r="DX70" s="29"/>
      <c r="DY70" s="243"/>
      <c r="DZ70" s="65" t="s">
        <v>15</v>
      </c>
      <c r="EA70" s="65"/>
      <c r="EB70" s="66"/>
      <c r="EC70" s="66" t="s">
        <v>2</v>
      </c>
      <c r="ED70" s="66"/>
      <c r="EE70" s="66">
        <v>0</v>
      </c>
      <c r="EF70" s="66"/>
      <c r="EG70" s="66" t="s">
        <v>16</v>
      </c>
      <c r="EH70" s="66"/>
      <c r="EI70" s="66">
        <v>0</v>
      </c>
      <c r="EJ70" s="66"/>
      <c r="EK70" s="66" t="s">
        <v>17</v>
      </c>
      <c r="EL70" s="232">
        <v>0</v>
      </c>
      <c r="EM70" s="232"/>
      <c r="EN70" s="29"/>
      <c r="EO70" s="243"/>
      <c r="EP70" s="65" t="s">
        <v>15</v>
      </c>
      <c r="EQ70" s="65"/>
      <c r="ER70" s="66"/>
      <c r="ES70" s="66" t="s">
        <v>2</v>
      </c>
      <c r="ET70" s="66"/>
      <c r="EU70" s="66">
        <v>0</v>
      </c>
      <c r="EV70" s="66"/>
      <c r="EW70" s="66" t="s">
        <v>16</v>
      </c>
      <c r="EX70" s="66"/>
      <c r="EY70" s="66">
        <v>0</v>
      </c>
      <c r="EZ70" s="66"/>
      <c r="FA70" s="66" t="s">
        <v>17</v>
      </c>
      <c r="FB70" s="232">
        <v>0</v>
      </c>
      <c r="FC70" s="232"/>
      <c r="FD70" s="29"/>
      <c r="FE70" s="243"/>
      <c r="FF70" s="65" t="s">
        <v>15</v>
      </c>
      <c r="FG70" s="65"/>
      <c r="FH70" s="66"/>
      <c r="FI70" s="66" t="s">
        <v>2</v>
      </c>
      <c r="FJ70" s="66"/>
      <c r="FK70" s="66">
        <v>0</v>
      </c>
      <c r="FL70" s="66"/>
      <c r="FM70" s="66" t="s">
        <v>16</v>
      </c>
      <c r="FN70" s="66"/>
      <c r="FO70" s="66">
        <v>0</v>
      </c>
      <c r="FP70" s="66"/>
      <c r="FQ70" s="66" t="s">
        <v>17</v>
      </c>
      <c r="FR70" s="232">
        <v>0</v>
      </c>
      <c r="FS70" s="232"/>
      <c r="FT70" s="29"/>
      <c r="FU70" s="243"/>
      <c r="FV70" s="65" t="s">
        <v>15</v>
      </c>
      <c r="FW70" s="65"/>
      <c r="FX70" s="66"/>
      <c r="FY70" s="66" t="s">
        <v>2</v>
      </c>
      <c r="FZ70" s="66"/>
      <c r="GA70" s="66">
        <v>0</v>
      </c>
      <c r="GB70" s="66"/>
      <c r="GC70" s="66" t="s">
        <v>16</v>
      </c>
      <c r="GD70" s="66"/>
      <c r="GE70" s="66">
        <v>0</v>
      </c>
      <c r="GF70" s="66"/>
      <c r="GG70" s="66" t="s">
        <v>17</v>
      </c>
      <c r="GH70" s="232">
        <v>0</v>
      </c>
      <c r="GI70" s="232"/>
      <c r="GJ70" s="29"/>
      <c r="GK70" s="243"/>
      <c r="GL70" s="65" t="s">
        <v>15</v>
      </c>
      <c r="GM70" s="65"/>
      <c r="GN70" s="66"/>
      <c r="GO70" s="66" t="s">
        <v>2</v>
      </c>
      <c r="GP70" s="66"/>
      <c r="GQ70" s="66"/>
      <c r="GR70" s="66">
        <f>G70+W70+AM70+BC70+BS70+CI70+CY70+DO70+EE70+EU70+FK70+GA70</f>
        <v>0</v>
      </c>
      <c r="GS70" s="66" t="s">
        <v>16</v>
      </c>
      <c r="GT70" s="66"/>
      <c r="GU70" s="66"/>
      <c r="GV70" s="66">
        <f>K70+AA70+AQ70+BG70+BW70+CM70+DC70+DS70+EI70+EY70+FO70+GE70</f>
        <v>0</v>
      </c>
      <c r="GW70" s="66" t="s">
        <v>17</v>
      </c>
      <c r="GX70" s="66"/>
      <c r="GY70" s="66">
        <f>N70+AD70+AT70+BJ70+BZ70+CP70+DF70+DV70+EL70+FB70+FR70+GH70</f>
        <v>0</v>
      </c>
      <c r="GZ70" s="29"/>
      <c r="HA70" s="31"/>
      <c r="HN70" s="31"/>
    </row>
    <row r="71" spans="1:222" ht="15" customHeight="1" thickBot="1" x14ac:dyDescent="0.3">
      <c r="A71" s="241">
        <v>0</v>
      </c>
      <c r="B71" s="38"/>
      <c r="C71" s="39" t="s">
        <v>10</v>
      </c>
      <c r="D71" s="40">
        <v>0</v>
      </c>
      <c r="E71" s="41">
        <v>0</v>
      </c>
      <c r="F71" s="42">
        <v>0</v>
      </c>
      <c r="G71" s="43">
        <v>0</v>
      </c>
      <c r="H71" s="40">
        <v>0</v>
      </c>
      <c r="I71" s="41">
        <v>0</v>
      </c>
      <c r="J71" s="42">
        <v>0</v>
      </c>
      <c r="K71" s="43">
        <v>0</v>
      </c>
      <c r="L71" s="40">
        <v>0</v>
      </c>
      <c r="M71" s="41">
        <v>0</v>
      </c>
      <c r="N71" s="42">
        <v>0</v>
      </c>
      <c r="O71" s="43">
        <v>0</v>
      </c>
      <c r="P71" s="29"/>
      <c r="Q71" s="241">
        <v>0</v>
      </c>
      <c r="R71" s="38"/>
      <c r="S71" s="39" t="s">
        <v>10</v>
      </c>
      <c r="T71" s="40">
        <v>0</v>
      </c>
      <c r="U71" s="41">
        <v>0</v>
      </c>
      <c r="V71" s="42">
        <v>0</v>
      </c>
      <c r="W71" s="43">
        <v>0</v>
      </c>
      <c r="X71" s="40">
        <v>0</v>
      </c>
      <c r="Y71" s="41">
        <v>0</v>
      </c>
      <c r="Z71" s="42">
        <v>0</v>
      </c>
      <c r="AA71" s="43">
        <v>0</v>
      </c>
      <c r="AB71" s="40">
        <v>0</v>
      </c>
      <c r="AC71" s="41">
        <v>0</v>
      </c>
      <c r="AD71" s="42">
        <v>0</v>
      </c>
      <c r="AE71" s="43">
        <v>0</v>
      </c>
      <c r="AF71" s="29"/>
      <c r="AG71" s="241">
        <v>0</v>
      </c>
      <c r="AH71" s="38"/>
      <c r="AI71" s="39" t="s">
        <v>10</v>
      </c>
      <c r="AJ71" s="40">
        <v>0</v>
      </c>
      <c r="AK71" s="41">
        <v>0</v>
      </c>
      <c r="AL71" s="42">
        <v>0</v>
      </c>
      <c r="AM71" s="43">
        <v>0</v>
      </c>
      <c r="AN71" s="40">
        <v>0</v>
      </c>
      <c r="AO71" s="41">
        <v>0</v>
      </c>
      <c r="AP71" s="42">
        <v>0</v>
      </c>
      <c r="AQ71" s="43">
        <v>0</v>
      </c>
      <c r="AR71" s="40">
        <v>0</v>
      </c>
      <c r="AS71" s="41">
        <v>0</v>
      </c>
      <c r="AT71" s="42">
        <v>0</v>
      </c>
      <c r="AU71" s="43">
        <v>0</v>
      </c>
      <c r="AV71" s="29"/>
      <c r="AW71" s="241">
        <v>0</v>
      </c>
      <c r="AX71" s="38"/>
      <c r="AY71" s="39" t="s">
        <v>10</v>
      </c>
      <c r="AZ71" s="40">
        <v>0</v>
      </c>
      <c r="BA71" s="41">
        <v>0</v>
      </c>
      <c r="BB71" s="42">
        <v>0</v>
      </c>
      <c r="BC71" s="43">
        <v>0</v>
      </c>
      <c r="BD71" s="40">
        <v>0</v>
      </c>
      <c r="BE71" s="41">
        <v>0</v>
      </c>
      <c r="BF71" s="42">
        <v>0</v>
      </c>
      <c r="BG71" s="43">
        <v>0</v>
      </c>
      <c r="BH71" s="40">
        <v>0</v>
      </c>
      <c r="BI71" s="41">
        <v>0</v>
      </c>
      <c r="BJ71" s="42">
        <v>0</v>
      </c>
      <c r="BK71" s="43">
        <v>0</v>
      </c>
      <c r="BL71" s="29"/>
      <c r="BM71" s="241">
        <v>0</v>
      </c>
      <c r="BN71" s="38"/>
      <c r="BO71" s="39" t="s">
        <v>10</v>
      </c>
      <c r="BP71" s="40">
        <v>0</v>
      </c>
      <c r="BQ71" s="41">
        <v>0</v>
      </c>
      <c r="BR71" s="42">
        <v>0</v>
      </c>
      <c r="BS71" s="43">
        <v>0</v>
      </c>
      <c r="BT71" s="40">
        <v>0</v>
      </c>
      <c r="BU71" s="41">
        <v>0</v>
      </c>
      <c r="BV71" s="42">
        <v>0</v>
      </c>
      <c r="BW71" s="43">
        <v>0</v>
      </c>
      <c r="BX71" s="40">
        <v>0</v>
      </c>
      <c r="BY71" s="41">
        <v>0</v>
      </c>
      <c r="BZ71" s="42">
        <v>0</v>
      </c>
      <c r="CA71" s="43">
        <v>0</v>
      </c>
      <c r="CB71" s="29"/>
      <c r="CC71" s="241">
        <v>0</v>
      </c>
      <c r="CD71" s="38"/>
      <c r="CE71" s="39" t="s">
        <v>10</v>
      </c>
      <c r="CF71" s="40">
        <v>0</v>
      </c>
      <c r="CG71" s="41">
        <v>0</v>
      </c>
      <c r="CH71" s="42">
        <v>0</v>
      </c>
      <c r="CI71" s="43">
        <v>0</v>
      </c>
      <c r="CJ71" s="40">
        <v>0</v>
      </c>
      <c r="CK71" s="41">
        <v>0</v>
      </c>
      <c r="CL71" s="42">
        <v>0</v>
      </c>
      <c r="CM71" s="43">
        <v>0</v>
      </c>
      <c r="CN71" s="40">
        <v>0</v>
      </c>
      <c r="CO71" s="41">
        <v>0</v>
      </c>
      <c r="CP71" s="42">
        <v>0</v>
      </c>
      <c r="CQ71" s="43">
        <v>0</v>
      </c>
      <c r="CR71" s="29"/>
      <c r="CS71" s="241">
        <v>0</v>
      </c>
      <c r="CT71" s="38"/>
      <c r="CU71" s="39" t="s">
        <v>10</v>
      </c>
      <c r="CV71" s="156">
        <v>0</v>
      </c>
      <c r="CW71" s="157">
        <v>0</v>
      </c>
      <c r="CX71" s="158">
        <v>0</v>
      </c>
      <c r="CY71" s="159">
        <v>0</v>
      </c>
      <c r="CZ71" s="157">
        <v>0</v>
      </c>
      <c r="DA71" s="157">
        <v>0</v>
      </c>
      <c r="DB71" s="158">
        <v>0</v>
      </c>
      <c r="DC71" s="159">
        <v>0</v>
      </c>
      <c r="DD71" s="157">
        <v>0</v>
      </c>
      <c r="DE71" s="157">
        <v>0</v>
      </c>
      <c r="DF71" s="158">
        <v>0</v>
      </c>
      <c r="DG71" s="159">
        <v>0</v>
      </c>
      <c r="DH71" s="29"/>
      <c r="DI71" s="241">
        <v>0</v>
      </c>
      <c r="DJ71" s="38"/>
      <c r="DK71" s="39" t="s">
        <v>10</v>
      </c>
      <c r="DL71" s="207">
        <v>0</v>
      </c>
      <c r="DM71" s="208">
        <v>0</v>
      </c>
      <c r="DN71" s="209">
        <v>0</v>
      </c>
      <c r="DO71" s="189">
        <v>0</v>
      </c>
      <c r="DP71" s="207">
        <v>0</v>
      </c>
      <c r="DQ71" s="208">
        <v>0</v>
      </c>
      <c r="DR71" s="209">
        <v>0</v>
      </c>
      <c r="DS71" s="189">
        <v>0</v>
      </c>
      <c r="DT71" s="207">
        <v>0</v>
      </c>
      <c r="DU71" s="208">
        <v>0</v>
      </c>
      <c r="DV71" s="209">
        <v>0</v>
      </c>
      <c r="DW71" s="189">
        <v>0</v>
      </c>
      <c r="DX71" s="29"/>
      <c r="DY71" s="241">
        <v>0</v>
      </c>
      <c r="DZ71" s="38"/>
      <c r="EA71" s="39" t="s">
        <v>10</v>
      </c>
      <c r="EB71" s="40">
        <v>0</v>
      </c>
      <c r="EC71" s="41">
        <v>0</v>
      </c>
      <c r="ED71" s="42">
        <v>0</v>
      </c>
      <c r="EE71" s="43">
        <v>0</v>
      </c>
      <c r="EF71" s="40">
        <v>0</v>
      </c>
      <c r="EG71" s="41">
        <v>0</v>
      </c>
      <c r="EH71" s="42">
        <v>0</v>
      </c>
      <c r="EI71" s="43">
        <v>0</v>
      </c>
      <c r="EJ71" s="40">
        <v>0</v>
      </c>
      <c r="EK71" s="41">
        <v>0</v>
      </c>
      <c r="EL71" s="42">
        <v>0</v>
      </c>
      <c r="EM71" s="43">
        <v>0</v>
      </c>
      <c r="EN71" s="29"/>
      <c r="EO71" s="241">
        <v>0</v>
      </c>
      <c r="EP71" s="38"/>
      <c r="EQ71" s="39" t="s">
        <v>10</v>
      </c>
      <c r="ER71" s="40">
        <v>0</v>
      </c>
      <c r="ES71" s="41">
        <v>0</v>
      </c>
      <c r="ET71" s="42">
        <v>0</v>
      </c>
      <c r="EU71" s="43">
        <v>0</v>
      </c>
      <c r="EV71" s="40">
        <v>0</v>
      </c>
      <c r="EW71" s="41">
        <v>0</v>
      </c>
      <c r="EX71" s="42">
        <v>0</v>
      </c>
      <c r="EY71" s="43">
        <v>0</v>
      </c>
      <c r="EZ71" s="40">
        <v>0</v>
      </c>
      <c r="FA71" s="41">
        <v>0</v>
      </c>
      <c r="FB71" s="42">
        <v>0</v>
      </c>
      <c r="FC71" s="43">
        <v>0</v>
      </c>
      <c r="FD71" s="29"/>
      <c r="FE71" s="241">
        <v>0</v>
      </c>
      <c r="FF71" s="38"/>
      <c r="FG71" s="39" t="s">
        <v>10</v>
      </c>
      <c r="FH71" s="40">
        <v>0</v>
      </c>
      <c r="FI71" s="41">
        <v>0</v>
      </c>
      <c r="FJ71" s="42">
        <v>0</v>
      </c>
      <c r="FK71" s="43">
        <v>0</v>
      </c>
      <c r="FL71" s="40">
        <v>0</v>
      </c>
      <c r="FM71" s="41">
        <v>0</v>
      </c>
      <c r="FN71" s="42">
        <v>0</v>
      </c>
      <c r="FO71" s="43">
        <v>0</v>
      </c>
      <c r="FP71" s="40">
        <v>0</v>
      </c>
      <c r="FQ71" s="41">
        <v>0</v>
      </c>
      <c r="FR71" s="42">
        <v>0</v>
      </c>
      <c r="FS71" s="43">
        <v>0</v>
      </c>
      <c r="FT71" s="29"/>
      <c r="FU71" s="241">
        <v>0</v>
      </c>
      <c r="FV71" s="38"/>
      <c r="FW71" s="39" t="s">
        <v>10</v>
      </c>
      <c r="FX71" s="40">
        <v>0</v>
      </c>
      <c r="FY71" s="41">
        <v>0</v>
      </c>
      <c r="FZ71" s="42">
        <v>0</v>
      </c>
      <c r="GA71" s="43">
        <v>0</v>
      </c>
      <c r="GB71" s="40">
        <v>0</v>
      </c>
      <c r="GC71" s="41">
        <v>0</v>
      </c>
      <c r="GD71" s="42">
        <v>0</v>
      </c>
      <c r="GE71" s="43">
        <v>0</v>
      </c>
      <c r="GF71" s="40">
        <v>0</v>
      </c>
      <c r="GG71" s="41">
        <v>0</v>
      </c>
      <c r="GH71" s="42">
        <v>0</v>
      </c>
      <c r="GI71" s="43">
        <v>0</v>
      </c>
      <c r="GJ71" s="29"/>
      <c r="GK71" s="258">
        <f t="shared" ref="GK71" si="266">FU71</f>
        <v>0</v>
      </c>
      <c r="GL71" s="38"/>
      <c r="GM71" s="39" t="s">
        <v>10</v>
      </c>
      <c r="GN71" s="41">
        <f>FX71</f>
        <v>0</v>
      </c>
      <c r="GO71" s="41">
        <f t="shared" ref="GO71:GO74" si="267">E71+U71+AK71+BA71+BQ71+CG71++CW71+DM71+EC71+ES71+FI71+FY71</f>
        <v>0</v>
      </c>
      <c r="GP71" s="41">
        <f t="shared" ref="GP71:GP74" si="268">F71+V71+AL71+BB71+BR71+CH71++CX71+DN71+ED71+ET71+FJ71+FZ71</f>
        <v>0</v>
      </c>
      <c r="GQ71" s="41">
        <f t="shared" ref="GQ71:GQ74" si="269">G71+W71+AM71+BC71+BS71+CI71++CY71+DO71+EE71+EU71+FK71+GA71</f>
        <v>0</v>
      </c>
      <c r="GR71" s="41">
        <f>GB71</f>
        <v>0</v>
      </c>
      <c r="GS71" s="41">
        <f t="shared" ref="GS71:GS74" si="270">I71+Y71+AO71+BE71+BU71+CK71++DA71+DQ71+EG71+EW71+FM71+GC71</f>
        <v>0</v>
      </c>
      <c r="GT71" s="41">
        <f t="shared" ref="GT71:GT74" si="271">J71+Z71+AP71+BF71+BV71+CL71++DB71+DR71+EH71+EX71+FN71+GD71</f>
        <v>0</v>
      </c>
      <c r="GU71" s="41">
        <f t="shared" ref="GU71:GU74" si="272">K71+AA71+AQ71+BG71+BW71+CM71++DC71+DS71+EI71+EY71+FO71+GE71</f>
        <v>0</v>
      </c>
      <c r="GV71" s="41">
        <f>GF71</f>
        <v>0</v>
      </c>
      <c r="GW71" s="41">
        <f t="shared" ref="GW71:GW74" si="273">M71+AC71+AS71+BI71+BY71+CO71++DE71+DU71+EK71+FA71+FQ71+GG71</f>
        <v>0</v>
      </c>
      <c r="GX71" s="41">
        <f t="shared" ref="GX71:GX74" si="274">N71+AD71+AT71+BJ71+BZ71+CP71++DF71+DV71+EL71+FB71+FR71+GH71</f>
        <v>0</v>
      </c>
      <c r="GY71" s="41">
        <f t="shared" ref="GY71:GY74" si="275">O71+AE71+AU71+BK71+CA71+CQ71++DG71+DW71+EM71+FC71+FS71+GI71</f>
        <v>0</v>
      </c>
      <c r="GZ71" s="29"/>
      <c r="HA71" s="31"/>
      <c r="HN71" s="31"/>
    </row>
    <row r="72" spans="1:222" ht="15" customHeight="1" thickBot="1" x14ac:dyDescent="0.3">
      <c r="A72" s="242"/>
      <c r="B72" s="46" t="s">
        <v>11</v>
      </c>
      <c r="C72" s="47" t="s">
        <v>12</v>
      </c>
      <c r="D72" s="48">
        <v>0</v>
      </c>
      <c r="E72" s="49">
        <v>0</v>
      </c>
      <c r="F72" s="50">
        <v>0</v>
      </c>
      <c r="G72" s="51">
        <v>0</v>
      </c>
      <c r="H72" s="48">
        <v>0</v>
      </c>
      <c r="I72" s="49">
        <v>0</v>
      </c>
      <c r="J72" s="50">
        <v>0</v>
      </c>
      <c r="K72" s="51">
        <v>0</v>
      </c>
      <c r="L72" s="48">
        <v>0</v>
      </c>
      <c r="M72" s="49">
        <v>0</v>
      </c>
      <c r="N72" s="50">
        <v>0</v>
      </c>
      <c r="O72" s="51">
        <v>0</v>
      </c>
      <c r="P72" s="29"/>
      <c r="Q72" s="242"/>
      <c r="R72" s="46" t="s">
        <v>11</v>
      </c>
      <c r="S72" s="47" t="s">
        <v>12</v>
      </c>
      <c r="T72" s="48">
        <v>0</v>
      </c>
      <c r="U72" s="49">
        <v>0</v>
      </c>
      <c r="V72" s="50">
        <v>0</v>
      </c>
      <c r="W72" s="51">
        <v>0</v>
      </c>
      <c r="X72" s="48">
        <v>0</v>
      </c>
      <c r="Y72" s="49">
        <v>0</v>
      </c>
      <c r="Z72" s="50">
        <v>0</v>
      </c>
      <c r="AA72" s="51">
        <v>0</v>
      </c>
      <c r="AB72" s="48">
        <v>0</v>
      </c>
      <c r="AC72" s="49">
        <v>0</v>
      </c>
      <c r="AD72" s="50">
        <v>0</v>
      </c>
      <c r="AE72" s="51">
        <v>0</v>
      </c>
      <c r="AF72" s="29"/>
      <c r="AG72" s="242"/>
      <c r="AH72" s="46" t="s">
        <v>11</v>
      </c>
      <c r="AI72" s="47" t="s">
        <v>12</v>
      </c>
      <c r="AJ72" s="48">
        <v>0</v>
      </c>
      <c r="AK72" s="49">
        <v>0</v>
      </c>
      <c r="AL72" s="50">
        <v>0</v>
      </c>
      <c r="AM72" s="51">
        <v>0</v>
      </c>
      <c r="AN72" s="48">
        <v>0</v>
      </c>
      <c r="AO72" s="49">
        <v>0</v>
      </c>
      <c r="AP72" s="50">
        <v>0</v>
      </c>
      <c r="AQ72" s="51">
        <v>0</v>
      </c>
      <c r="AR72" s="48">
        <v>0</v>
      </c>
      <c r="AS72" s="49">
        <v>0</v>
      </c>
      <c r="AT72" s="50">
        <v>0</v>
      </c>
      <c r="AU72" s="51">
        <v>0</v>
      </c>
      <c r="AV72" s="29"/>
      <c r="AW72" s="242"/>
      <c r="AX72" s="46" t="s">
        <v>11</v>
      </c>
      <c r="AY72" s="47" t="s">
        <v>12</v>
      </c>
      <c r="AZ72" s="48">
        <v>0</v>
      </c>
      <c r="BA72" s="49">
        <v>0</v>
      </c>
      <c r="BB72" s="50">
        <v>0</v>
      </c>
      <c r="BC72" s="51">
        <v>0</v>
      </c>
      <c r="BD72" s="48">
        <v>0</v>
      </c>
      <c r="BE72" s="49">
        <v>0</v>
      </c>
      <c r="BF72" s="50">
        <v>0</v>
      </c>
      <c r="BG72" s="51">
        <v>0</v>
      </c>
      <c r="BH72" s="48">
        <v>0</v>
      </c>
      <c r="BI72" s="49">
        <v>0</v>
      </c>
      <c r="BJ72" s="50">
        <v>0</v>
      </c>
      <c r="BK72" s="51">
        <v>0</v>
      </c>
      <c r="BL72" s="29"/>
      <c r="BM72" s="242"/>
      <c r="BN72" s="46" t="s">
        <v>11</v>
      </c>
      <c r="BO72" s="47" t="s">
        <v>12</v>
      </c>
      <c r="BP72" s="48">
        <v>0</v>
      </c>
      <c r="BQ72" s="49">
        <v>0</v>
      </c>
      <c r="BR72" s="50">
        <v>0</v>
      </c>
      <c r="BS72" s="51">
        <v>0</v>
      </c>
      <c r="BT72" s="48">
        <v>0</v>
      </c>
      <c r="BU72" s="49">
        <v>0</v>
      </c>
      <c r="BV72" s="50">
        <v>0</v>
      </c>
      <c r="BW72" s="51">
        <v>0</v>
      </c>
      <c r="BX72" s="48">
        <v>0</v>
      </c>
      <c r="BY72" s="49">
        <v>0</v>
      </c>
      <c r="BZ72" s="50">
        <v>0</v>
      </c>
      <c r="CA72" s="51">
        <v>0</v>
      </c>
      <c r="CB72" s="29"/>
      <c r="CC72" s="242"/>
      <c r="CD72" s="46" t="s">
        <v>11</v>
      </c>
      <c r="CE72" s="47" t="s">
        <v>12</v>
      </c>
      <c r="CF72" s="48">
        <v>0</v>
      </c>
      <c r="CG72" s="49">
        <v>0</v>
      </c>
      <c r="CH72" s="50">
        <v>0</v>
      </c>
      <c r="CI72" s="51">
        <v>0</v>
      </c>
      <c r="CJ72" s="48">
        <v>0</v>
      </c>
      <c r="CK72" s="49">
        <v>0</v>
      </c>
      <c r="CL72" s="50">
        <v>0</v>
      </c>
      <c r="CM72" s="51">
        <v>0</v>
      </c>
      <c r="CN72" s="48">
        <v>0</v>
      </c>
      <c r="CO72" s="49">
        <v>0</v>
      </c>
      <c r="CP72" s="50">
        <v>0</v>
      </c>
      <c r="CQ72" s="51">
        <v>0</v>
      </c>
      <c r="CR72" s="29"/>
      <c r="CS72" s="242"/>
      <c r="CT72" s="46" t="s">
        <v>11</v>
      </c>
      <c r="CU72" s="47" t="s">
        <v>12</v>
      </c>
      <c r="CV72" s="152">
        <v>0</v>
      </c>
      <c r="CW72" s="153">
        <v>0</v>
      </c>
      <c r="CX72" s="154">
        <v>0</v>
      </c>
      <c r="CY72" s="155">
        <v>0</v>
      </c>
      <c r="CZ72" s="153">
        <v>0</v>
      </c>
      <c r="DA72" s="153">
        <v>0</v>
      </c>
      <c r="DB72" s="154">
        <v>0</v>
      </c>
      <c r="DC72" s="155">
        <v>0</v>
      </c>
      <c r="DD72" s="153">
        <v>0</v>
      </c>
      <c r="DE72" s="153">
        <v>0</v>
      </c>
      <c r="DF72" s="154">
        <v>0</v>
      </c>
      <c r="DG72" s="155">
        <v>0</v>
      </c>
      <c r="DH72" s="29"/>
      <c r="DI72" s="242"/>
      <c r="DJ72" s="46" t="s">
        <v>11</v>
      </c>
      <c r="DK72" s="47" t="s">
        <v>12</v>
      </c>
      <c r="DL72" s="210">
        <v>0</v>
      </c>
      <c r="DM72" s="211">
        <v>0</v>
      </c>
      <c r="DN72" s="212">
        <v>0</v>
      </c>
      <c r="DO72" s="194">
        <v>0</v>
      </c>
      <c r="DP72" s="210">
        <v>0</v>
      </c>
      <c r="DQ72" s="211">
        <v>0</v>
      </c>
      <c r="DR72" s="212">
        <v>0</v>
      </c>
      <c r="DS72" s="194">
        <v>0</v>
      </c>
      <c r="DT72" s="210">
        <v>0</v>
      </c>
      <c r="DU72" s="211">
        <v>0</v>
      </c>
      <c r="DV72" s="212">
        <v>0</v>
      </c>
      <c r="DW72" s="194">
        <v>0</v>
      </c>
      <c r="DX72" s="29"/>
      <c r="DY72" s="242"/>
      <c r="DZ72" s="46" t="s">
        <v>11</v>
      </c>
      <c r="EA72" s="47" t="s">
        <v>12</v>
      </c>
      <c r="EB72" s="48">
        <v>0</v>
      </c>
      <c r="EC72" s="49">
        <v>0</v>
      </c>
      <c r="ED72" s="50">
        <v>0</v>
      </c>
      <c r="EE72" s="51">
        <v>0</v>
      </c>
      <c r="EF72" s="48">
        <v>0</v>
      </c>
      <c r="EG72" s="49">
        <v>0</v>
      </c>
      <c r="EH72" s="50">
        <v>0</v>
      </c>
      <c r="EI72" s="51">
        <v>0</v>
      </c>
      <c r="EJ72" s="48">
        <v>0</v>
      </c>
      <c r="EK72" s="49">
        <v>0</v>
      </c>
      <c r="EL72" s="50">
        <v>0</v>
      </c>
      <c r="EM72" s="51">
        <v>0</v>
      </c>
      <c r="EN72" s="29"/>
      <c r="EO72" s="242"/>
      <c r="EP72" s="46" t="s">
        <v>11</v>
      </c>
      <c r="EQ72" s="47" t="s">
        <v>12</v>
      </c>
      <c r="ER72" s="48">
        <v>0</v>
      </c>
      <c r="ES72" s="49">
        <v>0</v>
      </c>
      <c r="ET72" s="50">
        <v>0</v>
      </c>
      <c r="EU72" s="51">
        <v>0</v>
      </c>
      <c r="EV72" s="48">
        <v>0</v>
      </c>
      <c r="EW72" s="49">
        <v>0</v>
      </c>
      <c r="EX72" s="50">
        <v>0</v>
      </c>
      <c r="EY72" s="51">
        <v>0</v>
      </c>
      <c r="EZ72" s="48">
        <v>0</v>
      </c>
      <c r="FA72" s="49">
        <v>0</v>
      </c>
      <c r="FB72" s="50">
        <v>0</v>
      </c>
      <c r="FC72" s="51">
        <v>0</v>
      </c>
      <c r="FD72" s="29"/>
      <c r="FE72" s="242"/>
      <c r="FF72" s="46" t="s">
        <v>11</v>
      </c>
      <c r="FG72" s="47" t="s">
        <v>12</v>
      </c>
      <c r="FH72" s="48">
        <v>0</v>
      </c>
      <c r="FI72" s="49">
        <v>0</v>
      </c>
      <c r="FJ72" s="50">
        <v>0</v>
      </c>
      <c r="FK72" s="51">
        <v>0</v>
      </c>
      <c r="FL72" s="48">
        <v>0</v>
      </c>
      <c r="FM72" s="49">
        <v>0</v>
      </c>
      <c r="FN72" s="50">
        <v>0</v>
      </c>
      <c r="FO72" s="51">
        <v>0</v>
      </c>
      <c r="FP72" s="48">
        <v>0</v>
      </c>
      <c r="FQ72" s="49">
        <v>0</v>
      </c>
      <c r="FR72" s="50">
        <v>0</v>
      </c>
      <c r="FS72" s="51">
        <v>0</v>
      </c>
      <c r="FT72" s="29"/>
      <c r="FU72" s="242"/>
      <c r="FV72" s="46" t="s">
        <v>11</v>
      </c>
      <c r="FW72" s="47" t="s">
        <v>12</v>
      </c>
      <c r="FX72" s="48">
        <v>0</v>
      </c>
      <c r="FY72" s="49">
        <v>0</v>
      </c>
      <c r="FZ72" s="50">
        <v>0</v>
      </c>
      <c r="GA72" s="51">
        <v>0</v>
      </c>
      <c r="GB72" s="48">
        <v>0</v>
      </c>
      <c r="GC72" s="49">
        <v>0</v>
      </c>
      <c r="GD72" s="50">
        <v>0</v>
      </c>
      <c r="GE72" s="51">
        <v>0</v>
      </c>
      <c r="GF72" s="48">
        <v>0</v>
      </c>
      <c r="GG72" s="49">
        <v>0</v>
      </c>
      <c r="GH72" s="50">
        <v>0</v>
      </c>
      <c r="GI72" s="51">
        <v>0</v>
      </c>
      <c r="GJ72" s="29"/>
      <c r="GK72" s="259"/>
      <c r="GL72" s="46" t="s">
        <v>11</v>
      </c>
      <c r="GM72" s="47" t="s">
        <v>12</v>
      </c>
      <c r="GN72" s="41">
        <f t="shared" ref="GN72:GN74" si="276">FX72</f>
        <v>0</v>
      </c>
      <c r="GO72" s="41">
        <f t="shared" si="267"/>
        <v>0</v>
      </c>
      <c r="GP72" s="41">
        <f t="shared" si="268"/>
        <v>0</v>
      </c>
      <c r="GQ72" s="41">
        <f t="shared" si="269"/>
        <v>0</v>
      </c>
      <c r="GR72" s="41">
        <f t="shared" ref="GR72:GR74" si="277">GB72</f>
        <v>0</v>
      </c>
      <c r="GS72" s="41">
        <f t="shared" si="270"/>
        <v>0</v>
      </c>
      <c r="GT72" s="41">
        <f t="shared" si="271"/>
        <v>0</v>
      </c>
      <c r="GU72" s="41">
        <f t="shared" si="272"/>
        <v>0</v>
      </c>
      <c r="GV72" s="41">
        <f t="shared" ref="GV72:GV74" si="278">GF72</f>
        <v>0</v>
      </c>
      <c r="GW72" s="41">
        <f t="shared" si="273"/>
        <v>0</v>
      </c>
      <c r="GX72" s="41">
        <f t="shared" si="274"/>
        <v>0</v>
      </c>
      <c r="GY72" s="41">
        <f t="shared" si="275"/>
        <v>0</v>
      </c>
      <c r="GZ72" s="29"/>
      <c r="HA72" s="31"/>
      <c r="HN72" s="31"/>
    </row>
    <row r="73" spans="1:222" ht="15" customHeight="1" thickBot="1" x14ac:dyDescent="0.3">
      <c r="A73" s="242"/>
      <c r="B73" s="38" t="s">
        <v>13</v>
      </c>
      <c r="C73" s="54" t="s">
        <v>10</v>
      </c>
      <c r="D73" s="40">
        <v>0</v>
      </c>
      <c r="E73" s="41">
        <v>0</v>
      </c>
      <c r="F73" s="42">
        <v>0</v>
      </c>
      <c r="G73" s="43">
        <v>0</v>
      </c>
      <c r="H73" s="40">
        <v>0</v>
      </c>
      <c r="I73" s="41">
        <v>0</v>
      </c>
      <c r="J73" s="42">
        <v>0</v>
      </c>
      <c r="K73" s="43">
        <v>0</v>
      </c>
      <c r="L73" s="40">
        <v>0</v>
      </c>
      <c r="M73" s="41">
        <v>0</v>
      </c>
      <c r="N73" s="42">
        <v>0</v>
      </c>
      <c r="O73" s="43">
        <v>0</v>
      </c>
      <c r="P73" s="29"/>
      <c r="Q73" s="242"/>
      <c r="R73" s="38" t="s">
        <v>13</v>
      </c>
      <c r="S73" s="54" t="s">
        <v>10</v>
      </c>
      <c r="T73" s="40">
        <v>0</v>
      </c>
      <c r="U73" s="41">
        <v>0</v>
      </c>
      <c r="V73" s="42">
        <v>0</v>
      </c>
      <c r="W73" s="43">
        <v>0</v>
      </c>
      <c r="X73" s="40">
        <v>0</v>
      </c>
      <c r="Y73" s="41">
        <v>0</v>
      </c>
      <c r="Z73" s="42">
        <v>0</v>
      </c>
      <c r="AA73" s="43">
        <v>0</v>
      </c>
      <c r="AB73" s="40">
        <v>0</v>
      </c>
      <c r="AC73" s="41">
        <v>0</v>
      </c>
      <c r="AD73" s="42">
        <v>0</v>
      </c>
      <c r="AE73" s="43">
        <v>0</v>
      </c>
      <c r="AF73" s="29"/>
      <c r="AG73" s="242"/>
      <c r="AH73" s="38" t="s">
        <v>13</v>
      </c>
      <c r="AI73" s="54" t="s">
        <v>10</v>
      </c>
      <c r="AJ73" s="40">
        <v>0</v>
      </c>
      <c r="AK73" s="41">
        <v>0</v>
      </c>
      <c r="AL73" s="42">
        <v>0</v>
      </c>
      <c r="AM73" s="43">
        <v>0</v>
      </c>
      <c r="AN73" s="40">
        <v>0</v>
      </c>
      <c r="AO73" s="41">
        <v>0</v>
      </c>
      <c r="AP73" s="42">
        <v>0</v>
      </c>
      <c r="AQ73" s="43">
        <v>0</v>
      </c>
      <c r="AR73" s="40">
        <v>0</v>
      </c>
      <c r="AS73" s="41">
        <v>0</v>
      </c>
      <c r="AT73" s="42">
        <v>0</v>
      </c>
      <c r="AU73" s="43">
        <v>0</v>
      </c>
      <c r="AV73" s="29"/>
      <c r="AW73" s="242"/>
      <c r="AX73" s="38" t="s">
        <v>13</v>
      </c>
      <c r="AY73" s="54" t="s">
        <v>10</v>
      </c>
      <c r="AZ73" s="40">
        <v>0</v>
      </c>
      <c r="BA73" s="41">
        <v>0</v>
      </c>
      <c r="BB73" s="42">
        <v>0</v>
      </c>
      <c r="BC73" s="43">
        <v>0</v>
      </c>
      <c r="BD73" s="40">
        <v>0</v>
      </c>
      <c r="BE73" s="41">
        <v>0</v>
      </c>
      <c r="BF73" s="42">
        <v>0</v>
      </c>
      <c r="BG73" s="43">
        <v>0</v>
      </c>
      <c r="BH73" s="40">
        <v>0</v>
      </c>
      <c r="BI73" s="41">
        <v>0</v>
      </c>
      <c r="BJ73" s="42">
        <v>0</v>
      </c>
      <c r="BK73" s="43">
        <v>0</v>
      </c>
      <c r="BL73" s="29"/>
      <c r="BM73" s="242"/>
      <c r="BN73" s="38" t="s">
        <v>13</v>
      </c>
      <c r="BO73" s="54" t="s">
        <v>10</v>
      </c>
      <c r="BP73" s="40">
        <v>0</v>
      </c>
      <c r="BQ73" s="41">
        <v>0</v>
      </c>
      <c r="BR73" s="42">
        <v>0</v>
      </c>
      <c r="BS73" s="43">
        <v>0</v>
      </c>
      <c r="BT73" s="40">
        <v>0</v>
      </c>
      <c r="BU73" s="41">
        <v>0</v>
      </c>
      <c r="BV73" s="42">
        <v>0</v>
      </c>
      <c r="BW73" s="43">
        <v>0</v>
      </c>
      <c r="BX73" s="40">
        <v>0</v>
      </c>
      <c r="BY73" s="41">
        <v>0</v>
      </c>
      <c r="BZ73" s="42">
        <v>0</v>
      </c>
      <c r="CA73" s="43">
        <v>0</v>
      </c>
      <c r="CB73" s="29"/>
      <c r="CC73" s="242"/>
      <c r="CD73" s="38" t="s">
        <v>13</v>
      </c>
      <c r="CE73" s="54" t="s">
        <v>10</v>
      </c>
      <c r="CF73" s="40">
        <v>0</v>
      </c>
      <c r="CG73" s="41">
        <v>0</v>
      </c>
      <c r="CH73" s="42">
        <v>0</v>
      </c>
      <c r="CI73" s="43">
        <v>0</v>
      </c>
      <c r="CJ73" s="40">
        <v>0</v>
      </c>
      <c r="CK73" s="41">
        <v>0</v>
      </c>
      <c r="CL73" s="42">
        <v>0</v>
      </c>
      <c r="CM73" s="43">
        <v>0</v>
      </c>
      <c r="CN73" s="40">
        <v>0</v>
      </c>
      <c r="CO73" s="41">
        <v>0</v>
      </c>
      <c r="CP73" s="42">
        <v>0</v>
      </c>
      <c r="CQ73" s="43">
        <v>0</v>
      </c>
      <c r="CR73" s="29"/>
      <c r="CS73" s="242"/>
      <c r="CT73" s="38" t="s">
        <v>13</v>
      </c>
      <c r="CU73" s="54" t="s">
        <v>10</v>
      </c>
      <c r="CV73" s="156">
        <v>0</v>
      </c>
      <c r="CW73" s="157">
        <v>0</v>
      </c>
      <c r="CX73" s="158">
        <v>0</v>
      </c>
      <c r="CY73" s="159">
        <v>0</v>
      </c>
      <c r="CZ73" s="157">
        <v>0</v>
      </c>
      <c r="DA73" s="157">
        <v>0</v>
      </c>
      <c r="DB73" s="158">
        <v>0</v>
      </c>
      <c r="DC73" s="159">
        <v>0</v>
      </c>
      <c r="DD73" s="157">
        <v>0</v>
      </c>
      <c r="DE73" s="157">
        <v>0</v>
      </c>
      <c r="DF73" s="158">
        <v>0</v>
      </c>
      <c r="DG73" s="159">
        <v>0</v>
      </c>
      <c r="DH73" s="29"/>
      <c r="DI73" s="242"/>
      <c r="DJ73" s="38" t="s">
        <v>13</v>
      </c>
      <c r="DK73" s="54" t="s">
        <v>10</v>
      </c>
      <c r="DL73" s="207">
        <v>0</v>
      </c>
      <c r="DM73" s="208">
        <v>0</v>
      </c>
      <c r="DN73" s="209">
        <v>0</v>
      </c>
      <c r="DO73" s="189">
        <v>0</v>
      </c>
      <c r="DP73" s="207">
        <v>0</v>
      </c>
      <c r="DQ73" s="208">
        <v>0</v>
      </c>
      <c r="DR73" s="209">
        <v>0</v>
      </c>
      <c r="DS73" s="189">
        <v>0</v>
      </c>
      <c r="DT73" s="207">
        <v>0</v>
      </c>
      <c r="DU73" s="208">
        <v>0</v>
      </c>
      <c r="DV73" s="209">
        <v>0</v>
      </c>
      <c r="DW73" s="189">
        <v>0</v>
      </c>
      <c r="DX73" s="29"/>
      <c r="DY73" s="242"/>
      <c r="DZ73" s="38" t="s">
        <v>13</v>
      </c>
      <c r="EA73" s="54" t="s">
        <v>10</v>
      </c>
      <c r="EB73" s="40">
        <v>0</v>
      </c>
      <c r="EC73" s="41">
        <v>0</v>
      </c>
      <c r="ED73" s="42">
        <v>0</v>
      </c>
      <c r="EE73" s="43">
        <v>0</v>
      </c>
      <c r="EF73" s="40">
        <v>0</v>
      </c>
      <c r="EG73" s="41">
        <v>0</v>
      </c>
      <c r="EH73" s="42">
        <v>0</v>
      </c>
      <c r="EI73" s="43">
        <v>0</v>
      </c>
      <c r="EJ73" s="40">
        <v>0</v>
      </c>
      <c r="EK73" s="41">
        <v>0</v>
      </c>
      <c r="EL73" s="42">
        <v>0</v>
      </c>
      <c r="EM73" s="43">
        <v>0</v>
      </c>
      <c r="EN73" s="29"/>
      <c r="EO73" s="242"/>
      <c r="EP73" s="38" t="s">
        <v>13</v>
      </c>
      <c r="EQ73" s="54" t="s">
        <v>10</v>
      </c>
      <c r="ER73" s="40">
        <v>0</v>
      </c>
      <c r="ES73" s="41">
        <v>0</v>
      </c>
      <c r="ET73" s="42">
        <v>0</v>
      </c>
      <c r="EU73" s="43">
        <v>0</v>
      </c>
      <c r="EV73" s="40">
        <v>0</v>
      </c>
      <c r="EW73" s="41">
        <v>0</v>
      </c>
      <c r="EX73" s="42">
        <v>0</v>
      </c>
      <c r="EY73" s="43">
        <v>0</v>
      </c>
      <c r="EZ73" s="40">
        <v>0</v>
      </c>
      <c r="FA73" s="41">
        <v>0</v>
      </c>
      <c r="FB73" s="42">
        <v>0</v>
      </c>
      <c r="FC73" s="43">
        <v>0</v>
      </c>
      <c r="FD73" s="29"/>
      <c r="FE73" s="242"/>
      <c r="FF73" s="38" t="s">
        <v>13</v>
      </c>
      <c r="FG73" s="54" t="s">
        <v>10</v>
      </c>
      <c r="FH73" s="40">
        <v>0</v>
      </c>
      <c r="FI73" s="41">
        <v>0</v>
      </c>
      <c r="FJ73" s="42">
        <v>0</v>
      </c>
      <c r="FK73" s="43">
        <v>0</v>
      </c>
      <c r="FL73" s="40">
        <v>0</v>
      </c>
      <c r="FM73" s="41">
        <v>0</v>
      </c>
      <c r="FN73" s="42">
        <v>0</v>
      </c>
      <c r="FO73" s="43">
        <v>0</v>
      </c>
      <c r="FP73" s="40">
        <v>0</v>
      </c>
      <c r="FQ73" s="41">
        <v>0</v>
      </c>
      <c r="FR73" s="42">
        <v>0</v>
      </c>
      <c r="FS73" s="43">
        <v>0</v>
      </c>
      <c r="FT73" s="29"/>
      <c r="FU73" s="242"/>
      <c r="FV73" s="38" t="s">
        <v>13</v>
      </c>
      <c r="FW73" s="54" t="s">
        <v>10</v>
      </c>
      <c r="FX73" s="40">
        <v>0</v>
      </c>
      <c r="FY73" s="41">
        <v>0</v>
      </c>
      <c r="FZ73" s="42">
        <v>0</v>
      </c>
      <c r="GA73" s="43">
        <v>0</v>
      </c>
      <c r="GB73" s="40">
        <v>0</v>
      </c>
      <c r="GC73" s="41">
        <v>0</v>
      </c>
      <c r="GD73" s="42">
        <v>0</v>
      </c>
      <c r="GE73" s="43">
        <v>0</v>
      </c>
      <c r="GF73" s="40">
        <v>0</v>
      </c>
      <c r="GG73" s="41">
        <v>0</v>
      </c>
      <c r="GH73" s="42">
        <v>0</v>
      </c>
      <c r="GI73" s="43">
        <v>0</v>
      </c>
      <c r="GJ73" s="29"/>
      <c r="GK73" s="259"/>
      <c r="GL73" s="38" t="s">
        <v>13</v>
      </c>
      <c r="GM73" s="54" t="s">
        <v>10</v>
      </c>
      <c r="GN73" s="41">
        <f t="shared" si="276"/>
        <v>0</v>
      </c>
      <c r="GO73" s="41">
        <f t="shared" si="267"/>
        <v>0</v>
      </c>
      <c r="GP73" s="41">
        <f t="shared" si="268"/>
        <v>0</v>
      </c>
      <c r="GQ73" s="41">
        <f t="shared" si="269"/>
        <v>0</v>
      </c>
      <c r="GR73" s="41">
        <f t="shared" si="277"/>
        <v>0</v>
      </c>
      <c r="GS73" s="41">
        <f t="shared" si="270"/>
        <v>0</v>
      </c>
      <c r="GT73" s="41">
        <f t="shared" si="271"/>
        <v>0</v>
      </c>
      <c r="GU73" s="41">
        <f t="shared" si="272"/>
        <v>0</v>
      </c>
      <c r="GV73" s="41">
        <f t="shared" si="278"/>
        <v>0</v>
      </c>
      <c r="GW73" s="41">
        <f t="shared" si="273"/>
        <v>0</v>
      </c>
      <c r="GX73" s="41">
        <f t="shared" si="274"/>
        <v>0</v>
      </c>
      <c r="GY73" s="41">
        <f t="shared" si="275"/>
        <v>0</v>
      </c>
      <c r="GZ73" s="29"/>
      <c r="HA73" s="31"/>
      <c r="HN73" s="31"/>
    </row>
    <row r="74" spans="1:222" ht="15" customHeight="1" thickBot="1" x14ac:dyDescent="0.3">
      <c r="A74" s="242"/>
      <c r="B74" s="46" t="s">
        <v>11</v>
      </c>
      <c r="C74" s="56">
        <v>0</v>
      </c>
      <c r="D74" s="48">
        <v>0</v>
      </c>
      <c r="E74" s="49">
        <v>0</v>
      </c>
      <c r="F74" s="50">
        <v>0</v>
      </c>
      <c r="G74" s="51">
        <v>0</v>
      </c>
      <c r="H74" s="48">
        <v>0</v>
      </c>
      <c r="I74" s="49">
        <v>0</v>
      </c>
      <c r="J74" s="50">
        <v>0</v>
      </c>
      <c r="K74" s="51">
        <v>0</v>
      </c>
      <c r="L74" s="48">
        <v>0</v>
      </c>
      <c r="M74" s="49">
        <v>0</v>
      </c>
      <c r="N74" s="50">
        <v>0</v>
      </c>
      <c r="O74" s="51">
        <v>0</v>
      </c>
      <c r="P74" s="29"/>
      <c r="Q74" s="242"/>
      <c r="R74" s="46" t="s">
        <v>11</v>
      </c>
      <c r="S74" s="56">
        <v>0</v>
      </c>
      <c r="T74" s="48">
        <v>0</v>
      </c>
      <c r="U74" s="49">
        <v>0</v>
      </c>
      <c r="V74" s="50">
        <v>0</v>
      </c>
      <c r="W74" s="51">
        <v>0</v>
      </c>
      <c r="X74" s="48">
        <v>0</v>
      </c>
      <c r="Y74" s="49">
        <v>0</v>
      </c>
      <c r="Z74" s="50">
        <v>0</v>
      </c>
      <c r="AA74" s="51">
        <v>0</v>
      </c>
      <c r="AB74" s="48">
        <v>0</v>
      </c>
      <c r="AC74" s="49">
        <v>0</v>
      </c>
      <c r="AD74" s="50">
        <v>0</v>
      </c>
      <c r="AE74" s="51">
        <v>0</v>
      </c>
      <c r="AF74" s="29"/>
      <c r="AG74" s="242"/>
      <c r="AH74" s="46" t="s">
        <v>11</v>
      </c>
      <c r="AI74" s="56">
        <v>0</v>
      </c>
      <c r="AJ74" s="48">
        <v>0</v>
      </c>
      <c r="AK74" s="49">
        <v>0</v>
      </c>
      <c r="AL74" s="50">
        <v>0</v>
      </c>
      <c r="AM74" s="51">
        <v>0</v>
      </c>
      <c r="AN74" s="48">
        <v>0</v>
      </c>
      <c r="AO74" s="49">
        <v>0</v>
      </c>
      <c r="AP74" s="50">
        <v>0</v>
      </c>
      <c r="AQ74" s="51">
        <v>0</v>
      </c>
      <c r="AR74" s="48">
        <v>0</v>
      </c>
      <c r="AS74" s="49">
        <v>0</v>
      </c>
      <c r="AT74" s="50">
        <v>0</v>
      </c>
      <c r="AU74" s="51">
        <v>0</v>
      </c>
      <c r="AV74" s="29"/>
      <c r="AW74" s="242"/>
      <c r="AX74" s="46" t="s">
        <v>11</v>
      </c>
      <c r="AY74" s="56">
        <v>0</v>
      </c>
      <c r="AZ74" s="48">
        <v>0</v>
      </c>
      <c r="BA74" s="49">
        <v>0</v>
      </c>
      <c r="BB74" s="50">
        <v>0</v>
      </c>
      <c r="BC74" s="51">
        <v>0</v>
      </c>
      <c r="BD74" s="48">
        <v>0</v>
      </c>
      <c r="BE74" s="49">
        <v>0</v>
      </c>
      <c r="BF74" s="50">
        <v>0</v>
      </c>
      <c r="BG74" s="51">
        <v>0</v>
      </c>
      <c r="BH74" s="48">
        <v>0</v>
      </c>
      <c r="BI74" s="49">
        <v>0</v>
      </c>
      <c r="BJ74" s="50">
        <v>0</v>
      </c>
      <c r="BK74" s="51">
        <v>0</v>
      </c>
      <c r="BL74" s="29"/>
      <c r="BM74" s="242"/>
      <c r="BN74" s="46" t="s">
        <v>11</v>
      </c>
      <c r="BO74" s="56">
        <v>0</v>
      </c>
      <c r="BP74" s="48">
        <v>0</v>
      </c>
      <c r="BQ74" s="49">
        <v>0</v>
      </c>
      <c r="BR74" s="50">
        <v>0</v>
      </c>
      <c r="BS74" s="51">
        <v>0</v>
      </c>
      <c r="BT74" s="48">
        <v>0</v>
      </c>
      <c r="BU74" s="49">
        <v>0</v>
      </c>
      <c r="BV74" s="50">
        <v>0</v>
      </c>
      <c r="BW74" s="51">
        <v>0</v>
      </c>
      <c r="BX74" s="48">
        <v>0</v>
      </c>
      <c r="BY74" s="49">
        <v>0</v>
      </c>
      <c r="BZ74" s="50">
        <v>0</v>
      </c>
      <c r="CA74" s="51">
        <v>0</v>
      </c>
      <c r="CB74" s="29"/>
      <c r="CC74" s="242"/>
      <c r="CD74" s="46" t="s">
        <v>11</v>
      </c>
      <c r="CE74" s="56">
        <v>0</v>
      </c>
      <c r="CF74" s="48">
        <v>0</v>
      </c>
      <c r="CG74" s="49">
        <v>0</v>
      </c>
      <c r="CH74" s="50">
        <v>0</v>
      </c>
      <c r="CI74" s="51">
        <v>0</v>
      </c>
      <c r="CJ74" s="48">
        <v>0</v>
      </c>
      <c r="CK74" s="49">
        <v>0</v>
      </c>
      <c r="CL74" s="50">
        <v>0</v>
      </c>
      <c r="CM74" s="51">
        <v>0</v>
      </c>
      <c r="CN74" s="48">
        <v>0</v>
      </c>
      <c r="CO74" s="49">
        <v>0</v>
      </c>
      <c r="CP74" s="50">
        <v>0</v>
      </c>
      <c r="CQ74" s="51">
        <v>0</v>
      </c>
      <c r="CR74" s="29"/>
      <c r="CS74" s="242"/>
      <c r="CT74" s="46" t="s">
        <v>11</v>
      </c>
      <c r="CU74" s="56">
        <v>0</v>
      </c>
      <c r="CV74" s="152">
        <v>0</v>
      </c>
      <c r="CW74" s="153">
        <v>0</v>
      </c>
      <c r="CX74" s="154">
        <v>0</v>
      </c>
      <c r="CY74" s="155">
        <v>0</v>
      </c>
      <c r="CZ74" s="153">
        <v>0</v>
      </c>
      <c r="DA74" s="153">
        <v>0</v>
      </c>
      <c r="DB74" s="154">
        <v>0</v>
      </c>
      <c r="DC74" s="155">
        <v>0</v>
      </c>
      <c r="DD74" s="153">
        <v>0</v>
      </c>
      <c r="DE74" s="153">
        <v>0</v>
      </c>
      <c r="DF74" s="154">
        <v>0</v>
      </c>
      <c r="DG74" s="155">
        <v>0</v>
      </c>
      <c r="DH74" s="29"/>
      <c r="DI74" s="242"/>
      <c r="DJ74" s="46" t="s">
        <v>11</v>
      </c>
      <c r="DK74" s="56">
        <v>0</v>
      </c>
      <c r="DL74" s="210">
        <v>0</v>
      </c>
      <c r="DM74" s="211">
        <v>0</v>
      </c>
      <c r="DN74" s="212">
        <v>0</v>
      </c>
      <c r="DO74" s="194">
        <v>0</v>
      </c>
      <c r="DP74" s="210">
        <v>0</v>
      </c>
      <c r="DQ74" s="211">
        <v>0</v>
      </c>
      <c r="DR74" s="212">
        <v>0</v>
      </c>
      <c r="DS74" s="194">
        <v>0</v>
      </c>
      <c r="DT74" s="210">
        <v>0</v>
      </c>
      <c r="DU74" s="211">
        <v>0</v>
      </c>
      <c r="DV74" s="212">
        <v>0</v>
      </c>
      <c r="DW74" s="194">
        <v>0</v>
      </c>
      <c r="DX74" s="29"/>
      <c r="DY74" s="242"/>
      <c r="DZ74" s="46" t="s">
        <v>11</v>
      </c>
      <c r="EA74" s="56">
        <v>0</v>
      </c>
      <c r="EB74" s="48">
        <v>0</v>
      </c>
      <c r="EC74" s="49">
        <v>0</v>
      </c>
      <c r="ED74" s="50">
        <v>0</v>
      </c>
      <c r="EE74" s="51">
        <v>0</v>
      </c>
      <c r="EF74" s="48">
        <v>0</v>
      </c>
      <c r="EG74" s="49">
        <v>0</v>
      </c>
      <c r="EH74" s="50">
        <v>0</v>
      </c>
      <c r="EI74" s="51">
        <v>0</v>
      </c>
      <c r="EJ74" s="48">
        <v>0</v>
      </c>
      <c r="EK74" s="49">
        <v>0</v>
      </c>
      <c r="EL74" s="50">
        <v>0</v>
      </c>
      <c r="EM74" s="51">
        <v>0</v>
      </c>
      <c r="EN74" s="29"/>
      <c r="EO74" s="242"/>
      <c r="EP74" s="46" t="s">
        <v>11</v>
      </c>
      <c r="EQ74" s="56">
        <v>0</v>
      </c>
      <c r="ER74" s="48">
        <v>0</v>
      </c>
      <c r="ES74" s="49">
        <v>0</v>
      </c>
      <c r="ET74" s="50">
        <v>0</v>
      </c>
      <c r="EU74" s="51">
        <v>0</v>
      </c>
      <c r="EV74" s="48">
        <v>0</v>
      </c>
      <c r="EW74" s="49">
        <v>0</v>
      </c>
      <c r="EX74" s="50">
        <v>0</v>
      </c>
      <c r="EY74" s="51">
        <v>0</v>
      </c>
      <c r="EZ74" s="48">
        <v>0</v>
      </c>
      <c r="FA74" s="49">
        <v>0</v>
      </c>
      <c r="FB74" s="50">
        <v>0</v>
      </c>
      <c r="FC74" s="51">
        <v>0</v>
      </c>
      <c r="FD74" s="29"/>
      <c r="FE74" s="242"/>
      <c r="FF74" s="46" t="s">
        <v>11</v>
      </c>
      <c r="FG74" s="56">
        <v>0</v>
      </c>
      <c r="FH74" s="48">
        <v>0</v>
      </c>
      <c r="FI74" s="49">
        <v>0</v>
      </c>
      <c r="FJ74" s="50">
        <v>0</v>
      </c>
      <c r="FK74" s="51">
        <v>0</v>
      </c>
      <c r="FL74" s="48">
        <v>0</v>
      </c>
      <c r="FM74" s="49">
        <v>0</v>
      </c>
      <c r="FN74" s="50">
        <v>0</v>
      </c>
      <c r="FO74" s="51">
        <v>0</v>
      </c>
      <c r="FP74" s="48">
        <v>0</v>
      </c>
      <c r="FQ74" s="49">
        <v>0</v>
      </c>
      <c r="FR74" s="50">
        <v>0</v>
      </c>
      <c r="FS74" s="51">
        <v>0</v>
      </c>
      <c r="FT74" s="29"/>
      <c r="FU74" s="242"/>
      <c r="FV74" s="46" t="s">
        <v>11</v>
      </c>
      <c r="FW74" s="56">
        <v>0</v>
      </c>
      <c r="FX74" s="48">
        <v>0</v>
      </c>
      <c r="FY74" s="49">
        <v>0</v>
      </c>
      <c r="FZ74" s="50">
        <v>0</v>
      </c>
      <c r="GA74" s="51">
        <v>0</v>
      </c>
      <c r="GB74" s="48">
        <v>0</v>
      </c>
      <c r="GC74" s="49">
        <v>0</v>
      </c>
      <c r="GD74" s="50">
        <v>0</v>
      </c>
      <c r="GE74" s="51">
        <v>0</v>
      </c>
      <c r="GF74" s="48">
        <v>0</v>
      </c>
      <c r="GG74" s="49">
        <v>0</v>
      </c>
      <c r="GH74" s="50">
        <v>0</v>
      </c>
      <c r="GI74" s="51">
        <v>0</v>
      </c>
      <c r="GJ74" s="29"/>
      <c r="GK74" s="259"/>
      <c r="GL74" s="46" t="s">
        <v>11</v>
      </c>
      <c r="GM74" s="56">
        <v>0</v>
      </c>
      <c r="GN74" s="41">
        <f t="shared" si="276"/>
        <v>0</v>
      </c>
      <c r="GO74" s="41">
        <f t="shared" si="267"/>
        <v>0</v>
      </c>
      <c r="GP74" s="41">
        <f t="shared" si="268"/>
        <v>0</v>
      </c>
      <c r="GQ74" s="41">
        <f t="shared" si="269"/>
        <v>0</v>
      </c>
      <c r="GR74" s="41">
        <f t="shared" si="277"/>
        <v>0</v>
      </c>
      <c r="GS74" s="41">
        <f t="shared" si="270"/>
        <v>0</v>
      </c>
      <c r="GT74" s="41">
        <f t="shared" si="271"/>
        <v>0</v>
      </c>
      <c r="GU74" s="41">
        <f t="shared" si="272"/>
        <v>0</v>
      </c>
      <c r="GV74" s="41">
        <f t="shared" si="278"/>
        <v>0</v>
      </c>
      <c r="GW74" s="41">
        <f t="shared" si="273"/>
        <v>0</v>
      </c>
      <c r="GX74" s="41">
        <f t="shared" si="274"/>
        <v>0</v>
      </c>
      <c r="GY74" s="41">
        <f t="shared" si="275"/>
        <v>0</v>
      </c>
      <c r="GZ74" s="29"/>
      <c r="HA74" s="31"/>
      <c r="HN74" s="31"/>
    </row>
    <row r="75" spans="1:222" ht="15" customHeight="1" thickBot="1" x14ac:dyDescent="0.3">
      <c r="A75" s="242"/>
      <c r="B75" s="233" t="s">
        <v>14</v>
      </c>
      <c r="C75" s="234"/>
      <c r="D75" s="58">
        <f t="shared" ref="D75:O75" si="279">SUM(D71:D74)</f>
        <v>0</v>
      </c>
      <c r="E75" s="59">
        <f t="shared" si="279"/>
        <v>0</v>
      </c>
      <c r="F75" s="60">
        <f t="shared" si="279"/>
        <v>0</v>
      </c>
      <c r="G75" s="61">
        <f t="shared" si="279"/>
        <v>0</v>
      </c>
      <c r="H75" s="58">
        <f t="shared" si="279"/>
        <v>0</v>
      </c>
      <c r="I75" s="59">
        <f t="shared" si="279"/>
        <v>0</v>
      </c>
      <c r="J75" s="60">
        <f t="shared" si="279"/>
        <v>0</v>
      </c>
      <c r="K75" s="61">
        <f t="shared" si="279"/>
        <v>0</v>
      </c>
      <c r="L75" s="58">
        <f t="shared" si="279"/>
        <v>0</v>
      </c>
      <c r="M75" s="59">
        <f t="shared" si="279"/>
        <v>0</v>
      </c>
      <c r="N75" s="60">
        <f t="shared" si="279"/>
        <v>0</v>
      </c>
      <c r="O75" s="61">
        <f t="shared" si="279"/>
        <v>0</v>
      </c>
      <c r="P75" s="29"/>
      <c r="Q75" s="242"/>
      <c r="R75" s="233" t="s">
        <v>14</v>
      </c>
      <c r="S75" s="234"/>
      <c r="T75" s="58">
        <f t="shared" ref="T75:AE75" si="280">SUM(T71:T74)</f>
        <v>0</v>
      </c>
      <c r="U75" s="59">
        <f t="shared" si="280"/>
        <v>0</v>
      </c>
      <c r="V75" s="60">
        <f t="shared" si="280"/>
        <v>0</v>
      </c>
      <c r="W75" s="61">
        <f t="shared" si="280"/>
        <v>0</v>
      </c>
      <c r="X75" s="58">
        <f t="shared" si="280"/>
        <v>0</v>
      </c>
      <c r="Y75" s="59">
        <f t="shared" si="280"/>
        <v>0</v>
      </c>
      <c r="Z75" s="60">
        <f t="shared" si="280"/>
        <v>0</v>
      </c>
      <c r="AA75" s="61">
        <f t="shared" si="280"/>
        <v>0</v>
      </c>
      <c r="AB75" s="58">
        <f t="shared" si="280"/>
        <v>0</v>
      </c>
      <c r="AC75" s="59">
        <f t="shared" si="280"/>
        <v>0</v>
      </c>
      <c r="AD75" s="60">
        <f t="shared" si="280"/>
        <v>0</v>
      </c>
      <c r="AE75" s="61">
        <f t="shared" si="280"/>
        <v>0</v>
      </c>
      <c r="AF75" s="29"/>
      <c r="AG75" s="242"/>
      <c r="AH75" s="233" t="s">
        <v>14</v>
      </c>
      <c r="AI75" s="234"/>
      <c r="AJ75" s="58">
        <f t="shared" ref="AJ75:AU75" si="281">SUM(AJ71:AJ74)</f>
        <v>0</v>
      </c>
      <c r="AK75" s="59">
        <f t="shared" si="281"/>
        <v>0</v>
      </c>
      <c r="AL75" s="60">
        <f t="shared" si="281"/>
        <v>0</v>
      </c>
      <c r="AM75" s="61">
        <f t="shared" si="281"/>
        <v>0</v>
      </c>
      <c r="AN75" s="58">
        <f t="shared" si="281"/>
        <v>0</v>
      </c>
      <c r="AO75" s="59">
        <f t="shared" si="281"/>
        <v>0</v>
      </c>
      <c r="AP75" s="60">
        <f t="shared" si="281"/>
        <v>0</v>
      </c>
      <c r="AQ75" s="61">
        <f t="shared" si="281"/>
        <v>0</v>
      </c>
      <c r="AR75" s="58">
        <f t="shared" si="281"/>
        <v>0</v>
      </c>
      <c r="AS75" s="59">
        <f t="shared" si="281"/>
        <v>0</v>
      </c>
      <c r="AT75" s="60">
        <f t="shared" si="281"/>
        <v>0</v>
      </c>
      <c r="AU75" s="61">
        <f t="shared" si="281"/>
        <v>0</v>
      </c>
      <c r="AV75" s="29"/>
      <c r="AW75" s="242"/>
      <c r="AX75" s="233" t="s">
        <v>14</v>
      </c>
      <c r="AY75" s="234"/>
      <c r="AZ75" s="58">
        <f t="shared" ref="AZ75:BK75" si="282">SUM(AZ71:AZ74)</f>
        <v>0</v>
      </c>
      <c r="BA75" s="59">
        <f t="shared" si="282"/>
        <v>0</v>
      </c>
      <c r="BB75" s="60">
        <f t="shared" si="282"/>
        <v>0</v>
      </c>
      <c r="BC75" s="61">
        <f t="shared" si="282"/>
        <v>0</v>
      </c>
      <c r="BD75" s="58">
        <f t="shared" si="282"/>
        <v>0</v>
      </c>
      <c r="BE75" s="59">
        <f t="shared" si="282"/>
        <v>0</v>
      </c>
      <c r="BF75" s="60">
        <f t="shared" si="282"/>
        <v>0</v>
      </c>
      <c r="BG75" s="61">
        <f t="shared" si="282"/>
        <v>0</v>
      </c>
      <c r="BH75" s="58">
        <f t="shared" si="282"/>
        <v>0</v>
      </c>
      <c r="BI75" s="59">
        <f t="shared" si="282"/>
        <v>0</v>
      </c>
      <c r="BJ75" s="60">
        <f t="shared" si="282"/>
        <v>0</v>
      </c>
      <c r="BK75" s="61">
        <f t="shared" si="282"/>
        <v>0</v>
      </c>
      <c r="BL75" s="29"/>
      <c r="BM75" s="242"/>
      <c r="BN75" s="233" t="s">
        <v>14</v>
      </c>
      <c r="BO75" s="234"/>
      <c r="BP75" s="58">
        <f t="shared" ref="BP75:CA75" si="283">SUM(BP71:BP74)</f>
        <v>0</v>
      </c>
      <c r="BQ75" s="59">
        <f t="shared" si="283"/>
        <v>0</v>
      </c>
      <c r="BR75" s="60">
        <f t="shared" si="283"/>
        <v>0</v>
      </c>
      <c r="BS75" s="61">
        <f t="shared" si="283"/>
        <v>0</v>
      </c>
      <c r="BT75" s="58">
        <f t="shared" si="283"/>
        <v>0</v>
      </c>
      <c r="BU75" s="59">
        <f t="shared" si="283"/>
        <v>0</v>
      </c>
      <c r="BV75" s="60">
        <f t="shared" si="283"/>
        <v>0</v>
      </c>
      <c r="BW75" s="61">
        <f t="shared" si="283"/>
        <v>0</v>
      </c>
      <c r="BX75" s="58">
        <f t="shared" si="283"/>
        <v>0</v>
      </c>
      <c r="BY75" s="59">
        <f t="shared" si="283"/>
        <v>0</v>
      </c>
      <c r="BZ75" s="60">
        <f t="shared" si="283"/>
        <v>0</v>
      </c>
      <c r="CA75" s="61">
        <f t="shared" si="283"/>
        <v>0</v>
      </c>
      <c r="CB75" s="29"/>
      <c r="CC75" s="242"/>
      <c r="CD75" s="233" t="s">
        <v>14</v>
      </c>
      <c r="CE75" s="234"/>
      <c r="CF75" s="58">
        <f t="shared" ref="CF75:CQ75" si="284">SUM(CF71:CF74)</f>
        <v>0</v>
      </c>
      <c r="CG75" s="59">
        <f t="shared" si="284"/>
        <v>0</v>
      </c>
      <c r="CH75" s="60">
        <f t="shared" si="284"/>
        <v>0</v>
      </c>
      <c r="CI75" s="61">
        <f t="shared" si="284"/>
        <v>0</v>
      </c>
      <c r="CJ75" s="58">
        <f t="shared" si="284"/>
        <v>0</v>
      </c>
      <c r="CK75" s="59">
        <f t="shared" si="284"/>
        <v>0</v>
      </c>
      <c r="CL75" s="60">
        <f t="shared" si="284"/>
        <v>0</v>
      </c>
      <c r="CM75" s="61">
        <f t="shared" si="284"/>
        <v>0</v>
      </c>
      <c r="CN75" s="58">
        <f t="shared" si="284"/>
        <v>0</v>
      </c>
      <c r="CO75" s="59">
        <f t="shared" si="284"/>
        <v>0</v>
      </c>
      <c r="CP75" s="60">
        <f t="shared" si="284"/>
        <v>0</v>
      </c>
      <c r="CQ75" s="61">
        <f t="shared" si="284"/>
        <v>0</v>
      </c>
      <c r="CR75" s="29"/>
      <c r="CS75" s="242"/>
      <c r="CT75" s="233" t="s">
        <v>14</v>
      </c>
      <c r="CU75" s="234"/>
      <c r="CV75" s="58">
        <f t="shared" ref="CV75:DG75" si="285">SUM(CV71:CV74)</f>
        <v>0</v>
      </c>
      <c r="CW75" s="59">
        <f t="shared" si="285"/>
        <v>0</v>
      </c>
      <c r="CX75" s="60">
        <f t="shared" si="285"/>
        <v>0</v>
      </c>
      <c r="CY75" s="61">
        <f t="shared" si="285"/>
        <v>0</v>
      </c>
      <c r="CZ75" s="58">
        <f t="shared" si="285"/>
        <v>0</v>
      </c>
      <c r="DA75" s="59">
        <f t="shared" si="285"/>
        <v>0</v>
      </c>
      <c r="DB75" s="60">
        <f t="shared" si="285"/>
        <v>0</v>
      </c>
      <c r="DC75" s="61">
        <f t="shared" si="285"/>
        <v>0</v>
      </c>
      <c r="DD75" s="58">
        <f t="shared" si="285"/>
        <v>0</v>
      </c>
      <c r="DE75" s="59">
        <f t="shared" si="285"/>
        <v>0</v>
      </c>
      <c r="DF75" s="60">
        <f t="shared" si="285"/>
        <v>0</v>
      </c>
      <c r="DG75" s="61">
        <f t="shared" si="285"/>
        <v>0</v>
      </c>
      <c r="DH75" s="29"/>
      <c r="DI75" s="242"/>
      <c r="DJ75" s="233" t="s">
        <v>14</v>
      </c>
      <c r="DK75" s="234"/>
      <c r="DL75" s="58">
        <f t="shared" ref="DL75:DW75" si="286">SUM(DL71:DL74)</f>
        <v>0</v>
      </c>
      <c r="DM75" s="59">
        <f t="shared" si="286"/>
        <v>0</v>
      </c>
      <c r="DN75" s="60">
        <f t="shared" si="286"/>
        <v>0</v>
      </c>
      <c r="DO75" s="61">
        <f t="shared" si="286"/>
        <v>0</v>
      </c>
      <c r="DP75" s="58">
        <f t="shared" si="286"/>
        <v>0</v>
      </c>
      <c r="DQ75" s="59">
        <f t="shared" si="286"/>
        <v>0</v>
      </c>
      <c r="DR75" s="60">
        <f t="shared" si="286"/>
        <v>0</v>
      </c>
      <c r="DS75" s="61">
        <f t="shared" si="286"/>
        <v>0</v>
      </c>
      <c r="DT75" s="58">
        <f t="shared" si="286"/>
        <v>0</v>
      </c>
      <c r="DU75" s="59">
        <f t="shared" si="286"/>
        <v>0</v>
      </c>
      <c r="DV75" s="60">
        <f t="shared" si="286"/>
        <v>0</v>
      </c>
      <c r="DW75" s="61">
        <f t="shared" si="286"/>
        <v>0</v>
      </c>
      <c r="DX75" s="29"/>
      <c r="DY75" s="242"/>
      <c r="DZ75" s="233" t="s">
        <v>14</v>
      </c>
      <c r="EA75" s="234"/>
      <c r="EB75" s="58">
        <f t="shared" ref="EB75:EM75" si="287">SUM(EB71:EB74)</f>
        <v>0</v>
      </c>
      <c r="EC75" s="59">
        <f t="shared" si="287"/>
        <v>0</v>
      </c>
      <c r="ED75" s="60">
        <f t="shared" si="287"/>
        <v>0</v>
      </c>
      <c r="EE75" s="61">
        <f t="shared" si="287"/>
        <v>0</v>
      </c>
      <c r="EF75" s="58">
        <f t="shared" si="287"/>
        <v>0</v>
      </c>
      <c r="EG75" s="59">
        <f t="shared" si="287"/>
        <v>0</v>
      </c>
      <c r="EH75" s="60">
        <f t="shared" si="287"/>
        <v>0</v>
      </c>
      <c r="EI75" s="61">
        <f t="shared" si="287"/>
        <v>0</v>
      </c>
      <c r="EJ75" s="58">
        <f t="shared" si="287"/>
        <v>0</v>
      </c>
      <c r="EK75" s="59">
        <f t="shared" si="287"/>
        <v>0</v>
      </c>
      <c r="EL75" s="60">
        <f t="shared" si="287"/>
        <v>0</v>
      </c>
      <c r="EM75" s="61">
        <f t="shared" si="287"/>
        <v>0</v>
      </c>
      <c r="EN75" s="29"/>
      <c r="EO75" s="242"/>
      <c r="EP75" s="233" t="s">
        <v>14</v>
      </c>
      <c r="EQ75" s="234"/>
      <c r="ER75" s="58">
        <f t="shared" ref="ER75:FC75" si="288">SUM(ER71:ER74)</f>
        <v>0</v>
      </c>
      <c r="ES75" s="59">
        <f t="shared" si="288"/>
        <v>0</v>
      </c>
      <c r="ET75" s="60">
        <f t="shared" si="288"/>
        <v>0</v>
      </c>
      <c r="EU75" s="61">
        <f t="shared" si="288"/>
        <v>0</v>
      </c>
      <c r="EV75" s="58">
        <f t="shared" si="288"/>
        <v>0</v>
      </c>
      <c r="EW75" s="59">
        <f t="shared" si="288"/>
        <v>0</v>
      </c>
      <c r="EX75" s="60">
        <f t="shared" si="288"/>
        <v>0</v>
      </c>
      <c r="EY75" s="61">
        <f t="shared" si="288"/>
        <v>0</v>
      </c>
      <c r="EZ75" s="58">
        <f t="shared" si="288"/>
        <v>0</v>
      </c>
      <c r="FA75" s="59">
        <f t="shared" si="288"/>
        <v>0</v>
      </c>
      <c r="FB75" s="60">
        <f t="shared" si="288"/>
        <v>0</v>
      </c>
      <c r="FC75" s="61">
        <f t="shared" si="288"/>
        <v>0</v>
      </c>
      <c r="FD75" s="29"/>
      <c r="FE75" s="242"/>
      <c r="FF75" s="233" t="s">
        <v>14</v>
      </c>
      <c r="FG75" s="234"/>
      <c r="FH75" s="58">
        <f t="shared" ref="FH75:FS75" si="289">SUM(FH71:FH74)</f>
        <v>0</v>
      </c>
      <c r="FI75" s="59">
        <f t="shared" si="289"/>
        <v>0</v>
      </c>
      <c r="FJ75" s="60">
        <f t="shared" si="289"/>
        <v>0</v>
      </c>
      <c r="FK75" s="61">
        <f t="shared" si="289"/>
        <v>0</v>
      </c>
      <c r="FL75" s="58">
        <f t="shared" si="289"/>
        <v>0</v>
      </c>
      <c r="FM75" s="59">
        <f t="shared" si="289"/>
        <v>0</v>
      </c>
      <c r="FN75" s="60">
        <f t="shared" si="289"/>
        <v>0</v>
      </c>
      <c r="FO75" s="61">
        <f t="shared" si="289"/>
        <v>0</v>
      </c>
      <c r="FP75" s="58">
        <f t="shared" si="289"/>
        <v>0</v>
      </c>
      <c r="FQ75" s="59">
        <f t="shared" si="289"/>
        <v>0</v>
      </c>
      <c r="FR75" s="60">
        <f t="shared" si="289"/>
        <v>0</v>
      </c>
      <c r="FS75" s="61">
        <f t="shared" si="289"/>
        <v>0</v>
      </c>
      <c r="FT75" s="29"/>
      <c r="FU75" s="242"/>
      <c r="FV75" s="233" t="s">
        <v>14</v>
      </c>
      <c r="FW75" s="234"/>
      <c r="FX75" s="58">
        <f t="shared" ref="FX75:GI75" si="290">SUM(FX71:FX74)</f>
        <v>0</v>
      </c>
      <c r="FY75" s="59">
        <f t="shared" si="290"/>
        <v>0</v>
      </c>
      <c r="FZ75" s="60">
        <f t="shared" si="290"/>
        <v>0</v>
      </c>
      <c r="GA75" s="61">
        <f t="shared" si="290"/>
        <v>0</v>
      </c>
      <c r="GB75" s="58">
        <f t="shared" si="290"/>
        <v>0</v>
      </c>
      <c r="GC75" s="59">
        <f t="shared" si="290"/>
        <v>0</v>
      </c>
      <c r="GD75" s="60">
        <f t="shared" si="290"/>
        <v>0</v>
      </c>
      <c r="GE75" s="61">
        <f t="shared" si="290"/>
        <v>0</v>
      </c>
      <c r="GF75" s="58">
        <f t="shared" si="290"/>
        <v>0</v>
      </c>
      <c r="GG75" s="59">
        <f t="shared" si="290"/>
        <v>0</v>
      </c>
      <c r="GH75" s="60">
        <f t="shared" si="290"/>
        <v>0</v>
      </c>
      <c r="GI75" s="61">
        <f t="shared" si="290"/>
        <v>0</v>
      </c>
      <c r="GJ75" s="29"/>
      <c r="GK75" s="259"/>
      <c r="GL75" s="233" t="s">
        <v>14</v>
      </c>
      <c r="GM75" s="234"/>
      <c r="GN75" s="62">
        <f t="shared" ref="GN75:GY75" si="291">SUM(GN71:GN74)</f>
        <v>0</v>
      </c>
      <c r="GO75" s="63">
        <f t="shared" si="291"/>
        <v>0</v>
      </c>
      <c r="GP75" s="64">
        <f t="shared" si="291"/>
        <v>0</v>
      </c>
      <c r="GQ75" s="64">
        <f t="shared" si="291"/>
        <v>0</v>
      </c>
      <c r="GR75" s="62">
        <f t="shared" si="291"/>
        <v>0</v>
      </c>
      <c r="GS75" s="63">
        <f t="shared" si="291"/>
        <v>0</v>
      </c>
      <c r="GT75" s="64">
        <f t="shared" si="291"/>
        <v>0</v>
      </c>
      <c r="GU75" s="64">
        <f t="shared" si="291"/>
        <v>0</v>
      </c>
      <c r="GV75" s="62">
        <f t="shared" si="291"/>
        <v>0</v>
      </c>
      <c r="GW75" s="63">
        <f t="shared" si="291"/>
        <v>0</v>
      </c>
      <c r="GX75" s="64">
        <f t="shared" si="291"/>
        <v>0</v>
      </c>
      <c r="GY75" s="64">
        <f t="shared" si="291"/>
        <v>0</v>
      </c>
      <c r="GZ75" s="29"/>
      <c r="HA75" s="31"/>
      <c r="HN75" s="31"/>
    </row>
    <row r="76" spans="1:222" ht="15" customHeight="1" thickBot="1" x14ac:dyDescent="0.3">
      <c r="A76" s="243"/>
      <c r="B76" s="65" t="s">
        <v>15</v>
      </c>
      <c r="C76" s="65"/>
      <c r="D76" s="66"/>
      <c r="E76" s="66" t="s">
        <v>2</v>
      </c>
      <c r="F76" s="66"/>
      <c r="G76" s="66">
        <v>0</v>
      </c>
      <c r="H76" s="66"/>
      <c r="I76" s="66" t="s">
        <v>16</v>
      </c>
      <c r="J76" s="66"/>
      <c r="K76" s="66">
        <v>0</v>
      </c>
      <c r="L76" s="66"/>
      <c r="M76" s="66" t="s">
        <v>17</v>
      </c>
      <c r="N76" s="232">
        <v>0</v>
      </c>
      <c r="O76" s="232"/>
      <c r="P76" s="29"/>
      <c r="Q76" s="243"/>
      <c r="R76" s="65" t="s">
        <v>15</v>
      </c>
      <c r="S76" s="65"/>
      <c r="T76" s="66"/>
      <c r="U76" s="66" t="s">
        <v>2</v>
      </c>
      <c r="V76" s="66"/>
      <c r="W76" s="66">
        <v>0</v>
      </c>
      <c r="X76" s="66"/>
      <c r="Y76" s="66" t="s">
        <v>16</v>
      </c>
      <c r="Z76" s="66"/>
      <c r="AA76" s="66">
        <v>0</v>
      </c>
      <c r="AB76" s="66"/>
      <c r="AC76" s="66" t="s">
        <v>17</v>
      </c>
      <c r="AD76" s="232">
        <v>0</v>
      </c>
      <c r="AE76" s="232"/>
      <c r="AF76" s="29"/>
      <c r="AG76" s="243"/>
      <c r="AH76" s="65" t="s">
        <v>15</v>
      </c>
      <c r="AI76" s="65"/>
      <c r="AJ76" s="66"/>
      <c r="AK76" s="66" t="s">
        <v>2</v>
      </c>
      <c r="AL76" s="66"/>
      <c r="AM76" s="66">
        <v>0</v>
      </c>
      <c r="AN76" s="66"/>
      <c r="AO76" s="66" t="s">
        <v>16</v>
      </c>
      <c r="AP76" s="66"/>
      <c r="AQ76" s="66">
        <v>0</v>
      </c>
      <c r="AR76" s="66"/>
      <c r="AS76" s="66" t="s">
        <v>17</v>
      </c>
      <c r="AT76" s="232">
        <v>0</v>
      </c>
      <c r="AU76" s="232"/>
      <c r="AV76" s="29"/>
      <c r="AW76" s="243"/>
      <c r="AX76" s="65" t="s">
        <v>15</v>
      </c>
      <c r="AY76" s="65"/>
      <c r="AZ76" s="66"/>
      <c r="BA76" s="66" t="s">
        <v>2</v>
      </c>
      <c r="BB76" s="66"/>
      <c r="BC76" s="66">
        <v>0</v>
      </c>
      <c r="BD76" s="66"/>
      <c r="BE76" s="66" t="s">
        <v>16</v>
      </c>
      <c r="BF76" s="66"/>
      <c r="BG76" s="66">
        <v>0</v>
      </c>
      <c r="BH76" s="66"/>
      <c r="BI76" s="66" t="s">
        <v>17</v>
      </c>
      <c r="BJ76" s="232">
        <v>0</v>
      </c>
      <c r="BK76" s="232"/>
      <c r="BL76" s="29"/>
      <c r="BM76" s="243"/>
      <c r="BN76" s="65" t="s">
        <v>15</v>
      </c>
      <c r="BO76" s="65"/>
      <c r="BP76" s="66"/>
      <c r="BQ76" s="66" t="s">
        <v>2</v>
      </c>
      <c r="BR76" s="66"/>
      <c r="BS76" s="66">
        <v>0</v>
      </c>
      <c r="BT76" s="66"/>
      <c r="BU76" s="66" t="s">
        <v>16</v>
      </c>
      <c r="BV76" s="66"/>
      <c r="BW76" s="66">
        <v>0</v>
      </c>
      <c r="BX76" s="66"/>
      <c r="BY76" s="66" t="s">
        <v>17</v>
      </c>
      <c r="BZ76" s="232">
        <v>0</v>
      </c>
      <c r="CA76" s="232"/>
      <c r="CB76" s="29"/>
      <c r="CC76" s="243"/>
      <c r="CD76" s="65" t="s">
        <v>15</v>
      </c>
      <c r="CE76" s="65"/>
      <c r="CF76" s="66"/>
      <c r="CG76" s="66" t="s">
        <v>2</v>
      </c>
      <c r="CH76" s="66"/>
      <c r="CI76" s="66">
        <v>0</v>
      </c>
      <c r="CJ76" s="66"/>
      <c r="CK76" s="66" t="s">
        <v>16</v>
      </c>
      <c r="CL76" s="66"/>
      <c r="CM76" s="66">
        <v>0</v>
      </c>
      <c r="CN76" s="66"/>
      <c r="CO76" s="66" t="s">
        <v>17</v>
      </c>
      <c r="CP76" s="232">
        <v>0</v>
      </c>
      <c r="CQ76" s="232"/>
      <c r="CR76" s="29"/>
      <c r="CS76" s="243"/>
      <c r="CT76" s="65" t="s">
        <v>15</v>
      </c>
      <c r="CU76" s="65"/>
      <c r="CV76" s="66"/>
      <c r="CW76" s="66" t="s">
        <v>2</v>
      </c>
      <c r="CX76" s="66"/>
      <c r="CY76" s="66">
        <v>0</v>
      </c>
      <c r="CZ76" s="66"/>
      <c r="DA76" s="66" t="s">
        <v>16</v>
      </c>
      <c r="DB76" s="66"/>
      <c r="DC76" s="66">
        <v>0</v>
      </c>
      <c r="DD76" s="66"/>
      <c r="DE76" s="66" t="s">
        <v>17</v>
      </c>
      <c r="DF76" s="232">
        <v>0</v>
      </c>
      <c r="DG76" s="232"/>
      <c r="DH76" s="29"/>
      <c r="DI76" s="243"/>
      <c r="DJ76" s="65" t="s">
        <v>15</v>
      </c>
      <c r="DK76" s="65"/>
      <c r="DL76" s="66"/>
      <c r="DM76" s="66" t="s">
        <v>2</v>
      </c>
      <c r="DN76" s="66"/>
      <c r="DO76" s="66">
        <v>0</v>
      </c>
      <c r="DP76" s="66"/>
      <c r="DQ76" s="66" t="s">
        <v>16</v>
      </c>
      <c r="DR76" s="66"/>
      <c r="DS76" s="66">
        <v>0</v>
      </c>
      <c r="DT76" s="66"/>
      <c r="DU76" s="66" t="s">
        <v>17</v>
      </c>
      <c r="DV76" s="232">
        <v>0</v>
      </c>
      <c r="DW76" s="232"/>
      <c r="DX76" s="29"/>
      <c r="DY76" s="243"/>
      <c r="DZ76" s="65" t="s">
        <v>15</v>
      </c>
      <c r="EA76" s="65"/>
      <c r="EB76" s="66"/>
      <c r="EC76" s="66" t="s">
        <v>2</v>
      </c>
      <c r="ED76" s="66"/>
      <c r="EE76" s="66">
        <v>0</v>
      </c>
      <c r="EF76" s="66"/>
      <c r="EG76" s="66" t="s">
        <v>16</v>
      </c>
      <c r="EH76" s="66"/>
      <c r="EI76" s="66">
        <v>0</v>
      </c>
      <c r="EJ76" s="66"/>
      <c r="EK76" s="66" t="s">
        <v>17</v>
      </c>
      <c r="EL76" s="232">
        <v>0</v>
      </c>
      <c r="EM76" s="232"/>
      <c r="EN76" s="29"/>
      <c r="EO76" s="243"/>
      <c r="EP76" s="65" t="s">
        <v>15</v>
      </c>
      <c r="EQ76" s="65"/>
      <c r="ER76" s="66"/>
      <c r="ES76" s="66" t="s">
        <v>2</v>
      </c>
      <c r="ET76" s="66"/>
      <c r="EU76" s="66">
        <v>0</v>
      </c>
      <c r="EV76" s="66"/>
      <c r="EW76" s="66" t="s">
        <v>16</v>
      </c>
      <c r="EX76" s="66"/>
      <c r="EY76" s="66">
        <v>0</v>
      </c>
      <c r="EZ76" s="66"/>
      <c r="FA76" s="66" t="s">
        <v>17</v>
      </c>
      <c r="FB76" s="232">
        <v>0</v>
      </c>
      <c r="FC76" s="232"/>
      <c r="FD76" s="29"/>
      <c r="FE76" s="243"/>
      <c r="FF76" s="65" t="s">
        <v>15</v>
      </c>
      <c r="FG76" s="65"/>
      <c r="FH76" s="66"/>
      <c r="FI76" s="66" t="s">
        <v>2</v>
      </c>
      <c r="FJ76" s="66"/>
      <c r="FK76" s="66">
        <v>0</v>
      </c>
      <c r="FL76" s="66"/>
      <c r="FM76" s="66" t="s">
        <v>16</v>
      </c>
      <c r="FN76" s="66"/>
      <c r="FO76" s="66">
        <v>0</v>
      </c>
      <c r="FP76" s="66"/>
      <c r="FQ76" s="66" t="s">
        <v>17</v>
      </c>
      <c r="FR76" s="232">
        <v>0</v>
      </c>
      <c r="FS76" s="232"/>
      <c r="FT76" s="29"/>
      <c r="FU76" s="243"/>
      <c r="FV76" s="65" t="s">
        <v>15</v>
      </c>
      <c r="FW76" s="65"/>
      <c r="FX76" s="66"/>
      <c r="FY76" s="66" t="s">
        <v>2</v>
      </c>
      <c r="FZ76" s="66"/>
      <c r="GA76" s="66">
        <v>0</v>
      </c>
      <c r="GB76" s="66"/>
      <c r="GC76" s="66" t="s">
        <v>16</v>
      </c>
      <c r="GD76" s="66"/>
      <c r="GE76" s="66">
        <v>0</v>
      </c>
      <c r="GF76" s="66"/>
      <c r="GG76" s="66" t="s">
        <v>17</v>
      </c>
      <c r="GH76" s="232">
        <v>0</v>
      </c>
      <c r="GI76" s="232"/>
      <c r="GJ76" s="29"/>
      <c r="GK76" s="260"/>
      <c r="GL76" s="65" t="s">
        <v>15</v>
      </c>
      <c r="GM76" s="65"/>
      <c r="GN76" s="66"/>
      <c r="GO76" s="66" t="s">
        <v>2</v>
      </c>
      <c r="GP76" s="66"/>
      <c r="GQ76" s="66"/>
      <c r="GR76" s="66">
        <f>G76+W76+AM76+BC76+BS76+CI76+CY76+DO76+EE76+EU76+FK76+GA76</f>
        <v>0</v>
      </c>
      <c r="GS76" s="66" t="s">
        <v>16</v>
      </c>
      <c r="GT76" s="66"/>
      <c r="GU76" s="66"/>
      <c r="GV76" s="66">
        <f>K76+AA76+AQ76+BG76+BW76+CM76+DC76+DS76+EI76+EY76+FO76+GE76</f>
        <v>0</v>
      </c>
      <c r="GW76" s="66" t="s">
        <v>17</v>
      </c>
      <c r="GX76" s="66"/>
      <c r="GY76" s="66">
        <f>N76+AD76+AT76+BJ76+BZ76+CP76+DF76+DV76+EL76+FB76+FR76+GH76</f>
        <v>0</v>
      </c>
      <c r="GZ76" s="29"/>
      <c r="HA76" s="31"/>
      <c r="HN76" s="31"/>
    </row>
    <row r="77" spans="1:222" s="139" customFormat="1" ht="15" customHeight="1" thickBot="1" x14ac:dyDescent="0.25">
      <c r="A77" s="138"/>
      <c r="Q77" s="138"/>
      <c r="AG77" s="138"/>
      <c r="AW77" s="138"/>
      <c r="BM77" s="138"/>
      <c r="CC77" s="138"/>
      <c r="CS77" s="138"/>
      <c r="DI77" s="138"/>
      <c r="DY77" s="138"/>
      <c r="EO77" s="138"/>
      <c r="FE77" s="138"/>
      <c r="FU77" s="138"/>
    </row>
    <row r="78" spans="1:222" s="68" customFormat="1" ht="15" customHeight="1" thickBot="1" x14ac:dyDescent="0.3">
      <c r="A78" s="67" t="s">
        <v>33</v>
      </c>
      <c r="B78" s="67"/>
      <c r="D78" s="69" t="s">
        <v>0</v>
      </c>
      <c r="E78" s="70">
        <f>SUM(G2)</f>
        <v>1</v>
      </c>
      <c r="F78" s="70" t="s">
        <v>19</v>
      </c>
      <c r="G78" s="246">
        <f>SUM(I2)</f>
        <v>1447</v>
      </c>
      <c r="H78" s="246"/>
      <c r="L78" s="68" t="s">
        <v>1</v>
      </c>
      <c r="P78" s="29"/>
      <c r="Q78" s="67" t="s">
        <v>33</v>
      </c>
      <c r="R78" s="67"/>
      <c r="T78" s="69" t="s">
        <v>0</v>
      </c>
      <c r="U78" s="70">
        <f>SUM(W2)</f>
        <v>2</v>
      </c>
      <c r="V78" s="70" t="s">
        <v>19</v>
      </c>
      <c r="W78" s="246">
        <f>SUM(Y2)</f>
        <v>1447</v>
      </c>
      <c r="X78" s="246"/>
      <c r="AB78" s="68" t="s">
        <v>1</v>
      </c>
      <c r="AF78" s="29"/>
      <c r="AG78" s="67" t="s">
        <v>33</v>
      </c>
      <c r="AH78" s="67"/>
      <c r="AJ78" s="69" t="s">
        <v>0</v>
      </c>
      <c r="AK78" s="70">
        <f>SUM(AM2)</f>
        <v>3</v>
      </c>
      <c r="AL78" s="70" t="s">
        <v>19</v>
      </c>
      <c r="AM78" s="246">
        <f>SUM(AO2)</f>
        <v>1447</v>
      </c>
      <c r="AN78" s="246"/>
      <c r="AR78" s="68" t="s">
        <v>1</v>
      </c>
      <c r="AV78" s="29"/>
      <c r="AW78" s="67" t="s">
        <v>33</v>
      </c>
      <c r="AX78" s="67"/>
      <c r="AZ78" s="69" t="s">
        <v>0</v>
      </c>
      <c r="BA78" s="70">
        <f>SUM(BC2)</f>
        <v>4</v>
      </c>
      <c r="BB78" s="70" t="s">
        <v>19</v>
      </c>
      <c r="BC78" s="246">
        <f>SUM(BE2)</f>
        <v>1447</v>
      </c>
      <c r="BD78" s="246"/>
      <c r="BH78" s="68" t="s">
        <v>1</v>
      </c>
      <c r="BL78" s="29"/>
      <c r="BM78" s="67" t="s">
        <v>33</v>
      </c>
      <c r="BN78" s="67"/>
      <c r="BP78" s="69" t="s">
        <v>0</v>
      </c>
      <c r="BQ78" s="70">
        <f>SUM(BS2)</f>
        <v>5</v>
      </c>
      <c r="BR78" s="70" t="s">
        <v>19</v>
      </c>
      <c r="BS78" s="246">
        <f>SUM(BU2)</f>
        <v>1447</v>
      </c>
      <c r="BT78" s="246"/>
      <c r="BX78" s="68" t="s">
        <v>1</v>
      </c>
      <c r="CB78" s="29"/>
      <c r="CC78" s="67" t="s">
        <v>33</v>
      </c>
      <c r="CD78" s="67"/>
      <c r="CF78" s="69" t="s">
        <v>0</v>
      </c>
      <c r="CG78" s="70">
        <f>SUM(CI2)</f>
        <v>6</v>
      </c>
      <c r="CH78" s="70" t="s">
        <v>19</v>
      </c>
      <c r="CI78" s="246">
        <f>SUM(CK2)</f>
        <v>1447</v>
      </c>
      <c r="CJ78" s="246"/>
      <c r="CN78" s="68" t="s">
        <v>1</v>
      </c>
      <c r="CR78" s="29"/>
      <c r="CS78" s="67" t="s">
        <v>33</v>
      </c>
      <c r="CT78" s="67"/>
      <c r="CV78" s="69" t="s">
        <v>0</v>
      </c>
      <c r="CW78" s="70">
        <f>SUM(CY2)</f>
        <v>7</v>
      </c>
      <c r="CX78" s="70" t="s">
        <v>19</v>
      </c>
      <c r="CY78" s="246">
        <f>SUM(DA2)</f>
        <v>1447</v>
      </c>
      <c r="CZ78" s="246"/>
      <c r="DD78" s="68" t="s">
        <v>1</v>
      </c>
      <c r="DH78" s="29"/>
      <c r="DI78" s="67" t="s">
        <v>33</v>
      </c>
      <c r="DJ78" s="67"/>
      <c r="DL78" s="69" t="s">
        <v>0</v>
      </c>
      <c r="DM78" s="70">
        <f>SUM(DO2)</f>
        <v>8</v>
      </c>
      <c r="DN78" s="70" t="s">
        <v>19</v>
      </c>
      <c r="DO78" s="246">
        <f>SUM(DQ2)</f>
        <v>1447</v>
      </c>
      <c r="DP78" s="246"/>
      <c r="DT78" s="68" t="s">
        <v>1</v>
      </c>
      <c r="DX78" s="29"/>
      <c r="DY78" s="67" t="s">
        <v>33</v>
      </c>
      <c r="DZ78" s="67"/>
      <c r="EB78" s="69" t="s">
        <v>0</v>
      </c>
      <c r="EC78" s="70">
        <f>SUM(EE2)</f>
        <v>9</v>
      </c>
      <c r="ED78" s="70" t="s">
        <v>19</v>
      </c>
      <c r="EE78" s="246">
        <f>SUM(EG2)</f>
        <v>1447</v>
      </c>
      <c r="EF78" s="246"/>
      <c r="EJ78" s="68" t="s">
        <v>1</v>
      </c>
      <c r="EN78" s="29"/>
      <c r="EO78" s="67" t="s">
        <v>33</v>
      </c>
      <c r="EP78" s="67"/>
      <c r="ER78" s="69" t="s">
        <v>0</v>
      </c>
      <c r="ES78" s="70">
        <f>SUM(EU2)</f>
        <v>10</v>
      </c>
      <c r="ET78" s="70" t="s">
        <v>19</v>
      </c>
      <c r="EU78" s="246">
        <f>SUM(EW2)</f>
        <v>1447</v>
      </c>
      <c r="EV78" s="246"/>
      <c r="EZ78" s="68" t="s">
        <v>1</v>
      </c>
      <c r="FD78" s="29"/>
      <c r="FE78" s="67" t="s">
        <v>33</v>
      </c>
      <c r="FF78" s="67"/>
      <c r="FH78" s="69" t="s">
        <v>0</v>
      </c>
      <c r="FI78" s="70">
        <f>SUM(FK2)</f>
        <v>11</v>
      </c>
      <c r="FJ78" s="70" t="s">
        <v>19</v>
      </c>
      <c r="FK78" s="246">
        <f>SUM(FM2)</f>
        <v>1447</v>
      </c>
      <c r="FL78" s="246"/>
      <c r="FP78" s="68" t="s">
        <v>1</v>
      </c>
      <c r="FT78" s="29"/>
      <c r="FU78" s="67" t="s">
        <v>33</v>
      </c>
      <c r="FV78" s="67"/>
      <c r="FX78" s="69" t="s">
        <v>0</v>
      </c>
      <c r="FY78" s="70">
        <f>SUM(GA2)</f>
        <v>12</v>
      </c>
      <c r="FZ78" s="70" t="s">
        <v>19</v>
      </c>
      <c r="GA78" s="246">
        <f>SUM(GC2)</f>
        <v>1447</v>
      </c>
      <c r="GB78" s="246"/>
      <c r="GF78" s="68" t="s">
        <v>1</v>
      </c>
      <c r="GJ78" s="29"/>
      <c r="GK78" s="130" t="s">
        <v>33</v>
      </c>
      <c r="GL78" s="131"/>
      <c r="GM78" s="131"/>
      <c r="GN78" s="132"/>
      <c r="GO78" s="133"/>
      <c r="GP78" s="134"/>
      <c r="GQ78" s="134" t="s">
        <v>19</v>
      </c>
      <c r="GR78" s="133">
        <f>SUM(GT2)</f>
        <v>1447</v>
      </c>
      <c r="GS78" s="133"/>
      <c r="GT78" s="132"/>
      <c r="GU78" s="132"/>
      <c r="GV78" s="132"/>
      <c r="GW78" s="133" t="s">
        <v>1</v>
      </c>
      <c r="GX78" s="135"/>
      <c r="GY78" s="136"/>
      <c r="GZ78" s="95"/>
      <c r="HA78" s="31"/>
      <c r="HB78" s="32"/>
      <c r="HC78" s="32"/>
      <c r="HD78" s="32"/>
      <c r="HE78" s="32"/>
      <c r="HF78" s="32"/>
      <c r="HG78" s="32"/>
      <c r="HH78" s="32"/>
      <c r="HI78" s="32"/>
      <c r="HJ78" s="32"/>
      <c r="HK78" s="32"/>
      <c r="HL78" s="32"/>
      <c r="HM78" s="32"/>
      <c r="HN78" s="31"/>
    </row>
    <row r="79" spans="1:222" s="80" customFormat="1" ht="15" customHeight="1" thickBot="1" x14ac:dyDescent="0.25">
      <c r="A79" s="244" t="s">
        <v>20</v>
      </c>
      <c r="B79" s="111"/>
      <c r="C79" s="111"/>
      <c r="D79" s="235" t="s">
        <v>2</v>
      </c>
      <c r="E79" s="236"/>
      <c r="F79" s="236"/>
      <c r="G79" s="237"/>
      <c r="H79" s="235" t="s">
        <v>3</v>
      </c>
      <c r="I79" s="236"/>
      <c r="J79" s="236"/>
      <c r="K79" s="237"/>
      <c r="L79" s="235" t="s">
        <v>4</v>
      </c>
      <c r="M79" s="236"/>
      <c r="N79" s="236"/>
      <c r="O79" s="237"/>
      <c r="P79" s="77"/>
      <c r="Q79" s="244" t="s">
        <v>20</v>
      </c>
      <c r="R79" s="111"/>
      <c r="S79" s="111"/>
      <c r="T79" s="235" t="s">
        <v>2</v>
      </c>
      <c r="U79" s="236"/>
      <c r="V79" s="236"/>
      <c r="W79" s="237"/>
      <c r="X79" s="235" t="s">
        <v>3</v>
      </c>
      <c r="Y79" s="236"/>
      <c r="Z79" s="236"/>
      <c r="AA79" s="237"/>
      <c r="AB79" s="235" t="s">
        <v>4</v>
      </c>
      <c r="AC79" s="236"/>
      <c r="AD79" s="236"/>
      <c r="AE79" s="237"/>
      <c r="AF79" s="77"/>
      <c r="AG79" s="244" t="s">
        <v>20</v>
      </c>
      <c r="AH79" s="111"/>
      <c r="AI79" s="111"/>
      <c r="AJ79" s="235" t="s">
        <v>2</v>
      </c>
      <c r="AK79" s="236"/>
      <c r="AL79" s="236"/>
      <c r="AM79" s="237"/>
      <c r="AN79" s="235" t="s">
        <v>3</v>
      </c>
      <c r="AO79" s="236"/>
      <c r="AP79" s="236"/>
      <c r="AQ79" s="237"/>
      <c r="AR79" s="235" t="s">
        <v>4</v>
      </c>
      <c r="AS79" s="236"/>
      <c r="AT79" s="236"/>
      <c r="AU79" s="237"/>
      <c r="AV79" s="77"/>
      <c r="AW79" s="244" t="s">
        <v>20</v>
      </c>
      <c r="AX79" s="111"/>
      <c r="AY79" s="111"/>
      <c r="AZ79" s="235" t="s">
        <v>2</v>
      </c>
      <c r="BA79" s="236"/>
      <c r="BB79" s="236"/>
      <c r="BC79" s="237"/>
      <c r="BD79" s="235" t="s">
        <v>3</v>
      </c>
      <c r="BE79" s="236"/>
      <c r="BF79" s="236"/>
      <c r="BG79" s="237"/>
      <c r="BH79" s="235" t="s">
        <v>4</v>
      </c>
      <c r="BI79" s="236"/>
      <c r="BJ79" s="236"/>
      <c r="BK79" s="237"/>
      <c r="BL79" s="77"/>
      <c r="BM79" s="244" t="s">
        <v>20</v>
      </c>
      <c r="BN79" s="111"/>
      <c r="BO79" s="111"/>
      <c r="BP79" s="235" t="s">
        <v>2</v>
      </c>
      <c r="BQ79" s="236"/>
      <c r="BR79" s="236"/>
      <c r="BS79" s="237"/>
      <c r="BT79" s="235" t="s">
        <v>3</v>
      </c>
      <c r="BU79" s="236"/>
      <c r="BV79" s="236"/>
      <c r="BW79" s="237"/>
      <c r="BX79" s="235" t="s">
        <v>4</v>
      </c>
      <c r="BY79" s="236"/>
      <c r="BZ79" s="236"/>
      <c r="CA79" s="237"/>
      <c r="CB79" s="77"/>
      <c r="CC79" s="244" t="s">
        <v>20</v>
      </c>
      <c r="CD79" s="111"/>
      <c r="CE79" s="111"/>
      <c r="CF79" s="235" t="s">
        <v>2</v>
      </c>
      <c r="CG79" s="236"/>
      <c r="CH79" s="236"/>
      <c r="CI79" s="237"/>
      <c r="CJ79" s="235" t="s">
        <v>3</v>
      </c>
      <c r="CK79" s="236"/>
      <c r="CL79" s="236"/>
      <c r="CM79" s="237"/>
      <c r="CN79" s="235" t="s">
        <v>4</v>
      </c>
      <c r="CO79" s="236"/>
      <c r="CP79" s="236"/>
      <c r="CQ79" s="237"/>
      <c r="CR79" s="77"/>
      <c r="CS79" s="244" t="s">
        <v>20</v>
      </c>
      <c r="CT79" s="111"/>
      <c r="CU79" s="111"/>
      <c r="CV79" s="235" t="s">
        <v>2</v>
      </c>
      <c r="CW79" s="236"/>
      <c r="CX79" s="236"/>
      <c r="CY79" s="237"/>
      <c r="CZ79" s="235" t="s">
        <v>3</v>
      </c>
      <c r="DA79" s="236"/>
      <c r="DB79" s="236"/>
      <c r="DC79" s="237"/>
      <c r="DD79" s="235" t="s">
        <v>4</v>
      </c>
      <c r="DE79" s="236"/>
      <c r="DF79" s="236"/>
      <c r="DG79" s="237"/>
      <c r="DH79" s="77"/>
      <c r="DI79" s="244" t="s">
        <v>20</v>
      </c>
      <c r="DJ79" s="111"/>
      <c r="DK79" s="111"/>
      <c r="DL79" s="235" t="s">
        <v>2</v>
      </c>
      <c r="DM79" s="236"/>
      <c r="DN79" s="236"/>
      <c r="DO79" s="237"/>
      <c r="DP79" s="235" t="s">
        <v>3</v>
      </c>
      <c r="DQ79" s="236"/>
      <c r="DR79" s="236"/>
      <c r="DS79" s="237"/>
      <c r="DT79" s="235" t="s">
        <v>4</v>
      </c>
      <c r="DU79" s="236"/>
      <c r="DV79" s="236"/>
      <c r="DW79" s="237"/>
      <c r="DX79" s="77"/>
      <c r="DY79" s="244" t="s">
        <v>20</v>
      </c>
      <c r="DZ79" s="111"/>
      <c r="EA79" s="111"/>
      <c r="EB79" s="235" t="s">
        <v>2</v>
      </c>
      <c r="EC79" s="236"/>
      <c r="ED79" s="236"/>
      <c r="EE79" s="237"/>
      <c r="EF79" s="235" t="s">
        <v>3</v>
      </c>
      <c r="EG79" s="236"/>
      <c r="EH79" s="236"/>
      <c r="EI79" s="237"/>
      <c r="EJ79" s="235" t="s">
        <v>4</v>
      </c>
      <c r="EK79" s="236"/>
      <c r="EL79" s="236"/>
      <c r="EM79" s="237"/>
      <c r="EN79" s="77"/>
      <c r="EO79" s="244" t="s">
        <v>20</v>
      </c>
      <c r="EP79" s="111"/>
      <c r="EQ79" s="111"/>
      <c r="ER79" s="235" t="s">
        <v>2</v>
      </c>
      <c r="ES79" s="236"/>
      <c r="ET79" s="236"/>
      <c r="EU79" s="237"/>
      <c r="EV79" s="235" t="s">
        <v>3</v>
      </c>
      <c r="EW79" s="236"/>
      <c r="EX79" s="236"/>
      <c r="EY79" s="237"/>
      <c r="EZ79" s="235" t="s">
        <v>4</v>
      </c>
      <c r="FA79" s="236"/>
      <c r="FB79" s="236"/>
      <c r="FC79" s="237"/>
      <c r="FD79" s="77"/>
      <c r="FE79" s="244" t="s">
        <v>20</v>
      </c>
      <c r="FF79" s="111"/>
      <c r="FG79" s="111"/>
      <c r="FH79" s="235" t="s">
        <v>2</v>
      </c>
      <c r="FI79" s="236"/>
      <c r="FJ79" s="236"/>
      <c r="FK79" s="237"/>
      <c r="FL79" s="235" t="s">
        <v>3</v>
      </c>
      <c r="FM79" s="236"/>
      <c r="FN79" s="236"/>
      <c r="FO79" s="237"/>
      <c r="FP79" s="235" t="s">
        <v>4</v>
      </c>
      <c r="FQ79" s="236"/>
      <c r="FR79" s="236"/>
      <c r="FS79" s="237"/>
      <c r="FT79" s="77"/>
      <c r="FU79" s="244" t="s">
        <v>20</v>
      </c>
      <c r="FV79" s="111"/>
      <c r="FW79" s="111"/>
      <c r="FX79" s="235" t="s">
        <v>2</v>
      </c>
      <c r="FY79" s="236"/>
      <c r="FZ79" s="236"/>
      <c r="GA79" s="237"/>
      <c r="GB79" s="235" t="s">
        <v>3</v>
      </c>
      <c r="GC79" s="236"/>
      <c r="GD79" s="236"/>
      <c r="GE79" s="237"/>
      <c r="GF79" s="235" t="s">
        <v>4</v>
      </c>
      <c r="GG79" s="236"/>
      <c r="GH79" s="236"/>
      <c r="GI79" s="237"/>
      <c r="GJ79" s="77"/>
      <c r="GK79" s="244" t="s">
        <v>20</v>
      </c>
      <c r="GL79" s="112"/>
      <c r="GM79" s="113"/>
      <c r="GN79" s="235" t="s">
        <v>2</v>
      </c>
      <c r="GO79" s="236"/>
      <c r="GP79" s="236"/>
      <c r="GQ79" s="237"/>
      <c r="GR79" s="235" t="s">
        <v>3</v>
      </c>
      <c r="GS79" s="236"/>
      <c r="GT79" s="236"/>
      <c r="GU79" s="237"/>
      <c r="GV79" s="235" t="s">
        <v>4</v>
      </c>
      <c r="GW79" s="236"/>
      <c r="GX79" s="236"/>
      <c r="GY79" s="237"/>
      <c r="GZ79" s="114"/>
      <c r="HA79" s="78"/>
      <c r="HB79" s="79"/>
      <c r="HC79" s="79"/>
      <c r="HD79" s="79"/>
      <c r="HE79" s="79"/>
      <c r="HF79" s="79"/>
      <c r="HG79" s="79"/>
      <c r="HH79" s="79"/>
      <c r="HI79" s="79"/>
      <c r="HJ79" s="79"/>
      <c r="HK79" s="79"/>
      <c r="HL79" s="79"/>
      <c r="HM79" s="79"/>
      <c r="HN79" s="78"/>
    </row>
    <row r="80" spans="1:222" s="80" customFormat="1" ht="15" customHeight="1" thickBot="1" x14ac:dyDescent="0.25">
      <c r="A80" s="245"/>
      <c r="B80" s="9" t="s">
        <v>5</v>
      </c>
      <c r="C80" s="9" t="s">
        <v>6</v>
      </c>
      <c r="D80" s="115" t="s">
        <v>7</v>
      </c>
      <c r="E80" s="116" t="s">
        <v>8</v>
      </c>
      <c r="F80" s="117" t="s">
        <v>9</v>
      </c>
      <c r="G80" s="117" t="s">
        <v>30</v>
      </c>
      <c r="H80" s="118" t="s">
        <v>7</v>
      </c>
      <c r="I80" s="116" t="s">
        <v>8</v>
      </c>
      <c r="J80" s="117" t="s">
        <v>9</v>
      </c>
      <c r="K80" s="117" t="s">
        <v>30</v>
      </c>
      <c r="L80" s="118" t="s">
        <v>7</v>
      </c>
      <c r="M80" s="116" t="s">
        <v>8</v>
      </c>
      <c r="N80" s="117" t="s">
        <v>9</v>
      </c>
      <c r="O80" s="117" t="s">
        <v>30</v>
      </c>
      <c r="P80" s="77"/>
      <c r="Q80" s="245"/>
      <c r="R80" s="9" t="s">
        <v>5</v>
      </c>
      <c r="S80" s="9" t="s">
        <v>6</v>
      </c>
      <c r="T80" s="115" t="s">
        <v>7</v>
      </c>
      <c r="U80" s="116" t="s">
        <v>8</v>
      </c>
      <c r="V80" s="117" t="s">
        <v>9</v>
      </c>
      <c r="W80" s="117" t="s">
        <v>30</v>
      </c>
      <c r="X80" s="118" t="s">
        <v>7</v>
      </c>
      <c r="Y80" s="116" t="s">
        <v>8</v>
      </c>
      <c r="Z80" s="117" t="s">
        <v>9</v>
      </c>
      <c r="AA80" s="117" t="s">
        <v>30</v>
      </c>
      <c r="AB80" s="118" t="s">
        <v>7</v>
      </c>
      <c r="AC80" s="116" t="s">
        <v>8</v>
      </c>
      <c r="AD80" s="117" t="s">
        <v>9</v>
      </c>
      <c r="AE80" s="117" t="s">
        <v>30</v>
      </c>
      <c r="AF80" s="77"/>
      <c r="AG80" s="245"/>
      <c r="AH80" s="9" t="s">
        <v>5</v>
      </c>
      <c r="AI80" s="9" t="s">
        <v>6</v>
      </c>
      <c r="AJ80" s="115" t="s">
        <v>7</v>
      </c>
      <c r="AK80" s="116" t="s">
        <v>8</v>
      </c>
      <c r="AL80" s="117" t="s">
        <v>9</v>
      </c>
      <c r="AM80" s="117" t="s">
        <v>30</v>
      </c>
      <c r="AN80" s="118" t="s">
        <v>7</v>
      </c>
      <c r="AO80" s="116" t="s">
        <v>8</v>
      </c>
      <c r="AP80" s="117" t="s">
        <v>9</v>
      </c>
      <c r="AQ80" s="117" t="s">
        <v>30</v>
      </c>
      <c r="AR80" s="118" t="s">
        <v>7</v>
      </c>
      <c r="AS80" s="116" t="s">
        <v>8</v>
      </c>
      <c r="AT80" s="117" t="s">
        <v>9</v>
      </c>
      <c r="AU80" s="117" t="s">
        <v>30</v>
      </c>
      <c r="AV80" s="77"/>
      <c r="AW80" s="245"/>
      <c r="AX80" s="9" t="s">
        <v>5</v>
      </c>
      <c r="AY80" s="9" t="s">
        <v>6</v>
      </c>
      <c r="AZ80" s="115" t="s">
        <v>7</v>
      </c>
      <c r="BA80" s="116" t="s">
        <v>8</v>
      </c>
      <c r="BB80" s="117" t="s">
        <v>9</v>
      </c>
      <c r="BC80" s="117" t="s">
        <v>30</v>
      </c>
      <c r="BD80" s="118" t="s">
        <v>7</v>
      </c>
      <c r="BE80" s="116" t="s">
        <v>8</v>
      </c>
      <c r="BF80" s="117" t="s">
        <v>9</v>
      </c>
      <c r="BG80" s="117" t="s">
        <v>30</v>
      </c>
      <c r="BH80" s="118" t="s">
        <v>7</v>
      </c>
      <c r="BI80" s="116" t="s">
        <v>8</v>
      </c>
      <c r="BJ80" s="117" t="s">
        <v>9</v>
      </c>
      <c r="BK80" s="117" t="s">
        <v>30</v>
      </c>
      <c r="BL80" s="77"/>
      <c r="BM80" s="245"/>
      <c r="BN80" s="9" t="s">
        <v>5</v>
      </c>
      <c r="BO80" s="9" t="s">
        <v>6</v>
      </c>
      <c r="BP80" s="115" t="s">
        <v>7</v>
      </c>
      <c r="BQ80" s="116" t="s">
        <v>8</v>
      </c>
      <c r="BR80" s="117" t="s">
        <v>9</v>
      </c>
      <c r="BS80" s="117" t="s">
        <v>30</v>
      </c>
      <c r="BT80" s="118" t="s">
        <v>7</v>
      </c>
      <c r="BU80" s="116" t="s">
        <v>8</v>
      </c>
      <c r="BV80" s="117" t="s">
        <v>9</v>
      </c>
      <c r="BW80" s="117" t="s">
        <v>30</v>
      </c>
      <c r="BX80" s="118" t="s">
        <v>7</v>
      </c>
      <c r="BY80" s="116" t="s">
        <v>8</v>
      </c>
      <c r="BZ80" s="117" t="s">
        <v>9</v>
      </c>
      <c r="CA80" s="117" t="s">
        <v>30</v>
      </c>
      <c r="CB80" s="77"/>
      <c r="CC80" s="245"/>
      <c r="CD80" s="9" t="s">
        <v>5</v>
      </c>
      <c r="CE80" s="9" t="s">
        <v>6</v>
      </c>
      <c r="CF80" s="115" t="s">
        <v>7</v>
      </c>
      <c r="CG80" s="116" t="s">
        <v>8</v>
      </c>
      <c r="CH80" s="117" t="s">
        <v>9</v>
      </c>
      <c r="CI80" s="117" t="s">
        <v>30</v>
      </c>
      <c r="CJ80" s="118" t="s">
        <v>7</v>
      </c>
      <c r="CK80" s="116" t="s">
        <v>8</v>
      </c>
      <c r="CL80" s="117" t="s">
        <v>9</v>
      </c>
      <c r="CM80" s="117" t="s">
        <v>30</v>
      </c>
      <c r="CN80" s="118" t="s">
        <v>7</v>
      </c>
      <c r="CO80" s="116" t="s">
        <v>8</v>
      </c>
      <c r="CP80" s="117" t="s">
        <v>9</v>
      </c>
      <c r="CQ80" s="117" t="s">
        <v>30</v>
      </c>
      <c r="CR80" s="77"/>
      <c r="CS80" s="245"/>
      <c r="CT80" s="9" t="s">
        <v>5</v>
      </c>
      <c r="CU80" s="9" t="s">
        <v>6</v>
      </c>
      <c r="CV80" s="115" t="s">
        <v>7</v>
      </c>
      <c r="CW80" s="116" t="s">
        <v>8</v>
      </c>
      <c r="CX80" s="117" t="s">
        <v>9</v>
      </c>
      <c r="CY80" s="117" t="s">
        <v>30</v>
      </c>
      <c r="CZ80" s="118" t="s">
        <v>7</v>
      </c>
      <c r="DA80" s="116" t="s">
        <v>8</v>
      </c>
      <c r="DB80" s="117" t="s">
        <v>9</v>
      </c>
      <c r="DC80" s="117" t="s">
        <v>30</v>
      </c>
      <c r="DD80" s="118" t="s">
        <v>7</v>
      </c>
      <c r="DE80" s="116" t="s">
        <v>8</v>
      </c>
      <c r="DF80" s="117" t="s">
        <v>9</v>
      </c>
      <c r="DG80" s="117" t="s">
        <v>30</v>
      </c>
      <c r="DH80" s="77"/>
      <c r="DI80" s="245"/>
      <c r="DJ80" s="9" t="s">
        <v>5</v>
      </c>
      <c r="DK80" s="9" t="s">
        <v>6</v>
      </c>
      <c r="DL80" s="115" t="s">
        <v>7</v>
      </c>
      <c r="DM80" s="116" t="s">
        <v>8</v>
      </c>
      <c r="DN80" s="117" t="s">
        <v>9</v>
      </c>
      <c r="DO80" s="117" t="s">
        <v>30</v>
      </c>
      <c r="DP80" s="118" t="s">
        <v>7</v>
      </c>
      <c r="DQ80" s="116" t="s">
        <v>8</v>
      </c>
      <c r="DR80" s="117" t="s">
        <v>9</v>
      </c>
      <c r="DS80" s="117" t="s">
        <v>30</v>
      </c>
      <c r="DT80" s="118" t="s">
        <v>7</v>
      </c>
      <c r="DU80" s="116" t="s">
        <v>8</v>
      </c>
      <c r="DV80" s="117" t="s">
        <v>9</v>
      </c>
      <c r="DW80" s="117" t="s">
        <v>30</v>
      </c>
      <c r="DX80" s="77"/>
      <c r="DY80" s="245"/>
      <c r="DZ80" s="9" t="s">
        <v>5</v>
      </c>
      <c r="EA80" s="9" t="s">
        <v>6</v>
      </c>
      <c r="EB80" s="115" t="s">
        <v>7</v>
      </c>
      <c r="EC80" s="116" t="s">
        <v>8</v>
      </c>
      <c r="ED80" s="117" t="s">
        <v>9</v>
      </c>
      <c r="EE80" s="117" t="s">
        <v>30</v>
      </c>
      <c r="EF80" s="118" t="s">
        <v>7</v>
      </c>
      <c r="EG80" s="116" t="s">
        <v>8</v>
      </c>
      <c r="EH80" s="117" t="s">
        <v>9</v>
      </c>
      <c r="EI80" s="117" t="s">
        <v>30</v>
      </c>
      <c r="EJ80" s="118" t="s">
        <v>7</v>
      </c>
      <c r="EK80" s="116" t="s">
        <v>8</v>
      </c>
      <c r="EL80" s="117" t="s">
        <v>9</v>
      </c>
      <c r="EM80" s="117" t="s">
        <v>30</v>
      </c>
      <c r="EN80" s="77"/>
      <c r="EO80" s="245"/>
      <c r="EP80" s="9" t="s">
        <v>5</v>
      </c>
      <c r="EQ80" s="9" t="s">
        <v>6</v>
      </c>
      <c r="ER80" s="115" t="s">
        <v>7</v>
      </c>
      <c r="ES80" s="116" t="s">
        <v>8</v>
      </c>
      <c r="ET80" s="117" t="s">
        <v>9</v>
      </c>
      <c r="EU80" s="117" t="s">
        <v>30</v>
      </c>
      <c r="EV80" s="118" t="s">
        <v>7</v>
      </c>
      <c r="EW80" s="116" t="s">
        <v>8</v>
      </c>
      <c r="EX80" s="117" t="s">
        <v>9</v>
      </c>
      <c r="EY80" s="117" t="s">
        <v>30</v>
      </c>
      <c r="EZ80" s="118" t="s">
        <v>7</v>
      </c>
      <c r="FA80" s="116" t="s">
        <v>8</v>
      </c>
      <c r="FB80" s="117" t="s">
        <v>9</v>
      </c>
      <c r="FC80" s="117" t="s">
        <v>30</v>
      </c>
      <c r="FD80" s="77"/>
      <c r="FE80" s="245"/>
      <c r="FF80" s="9" t="s">
        <v>5</v>
      </c>
      <c r="FG80" s="9" t="s">
        <v>6</v>
      </c>
      <c r="FH80" s="115" t="s">
        <v>7</v>
      </c>
      <c r="FI80" s="116" t="s">
        <v>8</v>
      </c>
      <c r="FJ80" s="117" t="s">
        <v>9</v>
      </c>
      <c r="FK80" s="117" t="s">
        <v>30</v>
      </c>
      <c r="FL80" s="118" t="s">
        <v>7</v>
      </c>
      <c r="FM80" s="116" t="s">
        <v>8</v>
      </c>
      <c r="FN80" s="117" t="s">
        <v>9</v>
      </c>
      <c r="FO80" s="117" t="s">
        <v>30</v>
      </c>
      <c r="FP80" s="118" t="s">
        <v>7</v>
      </c>
      <c r="FQ80" s="116" t="s">
        <v>8</v>
      </c>
      <c r="FR80" s="117" t="s">
        <v>9</v>
      </c>
      <c r="FS80" s="117" t="s">
        <v>30</v>
      </c>
      <c r="FT80" s="77"/>
      <c r="FU80" s="245"/>
      <c r="FV80" s="9" t="s">
        <v>5</v>
      </c>
      <c r="FW80" s="9" t="s">
        <v>6</v>
      </c>
      <c r="FX80" s="115" t="s">
        <v>7</v>
      </c>
      <c r="FY80" s="116" t="s">
        <v>8</v>
      </c>
      <c r="FZ80" s="117" t="s">
        <v>9</v>
      </c>
      <c r="GA80" s="117" t="s">
        <v>30</v>
      </c>
      <c r="GB80" s="118" t="s">
        <v>7</v>
      </c>
      <c r="GC80" s="116" t="s">
        <v>8</v>
      </c>
      <c r="GD80" s="117" t="s">
        <v>9</v>
      </c>
      <c r="GE80" s="117" t="s">
        <v>30</v>
      </c>
      <c r="GF80" s="118" t="s">
        <v>7</v>
      </c>
      <c r="GG80" s="116" t="s">
        <v>8</v>
      </c>
      <c r="GH80" s="117" t="s">
        <v>9</v>
      </c>
      <c r="GI80" s="117" t="s">
        <v>30</v>
      </c>
      <c r="GJ80" s="77"/>
      <c r="GK80" s="245"/>
      <c r="GL80" s="119" t="s">
        <v>5</v>
      </c>
      <c r="GM80" s="120" t="s">
        <v>6</v>
      </c>
      <c r="GN80" s="115" t="s">
        <v>7</v>
      </c>
      <c r="GO80" s="116" t="s">
        <v>8</v>
      </c>
      <c r="GP80" s="117" t="s">
        <v>9</v>
      </c>
      <c r="GQ80" s="117" t="s">
        <v>30</v>
      </c>
      <c r="GR80" s="118" t="s">
        <v>7</v>
      </c>
      <c r="GS80" s="116" t="s">
        <v>8</v>
      </c>
      <c r="GT80" s="117" t="s">
        <v>9</v>
      </c>
      <c r="GU80" s="117" t="s">
        <v>30</v>
      </c>
      <c r="GV80" s="118" t="s">
        <v>7</v>
      </c>
      <c r="GW80" s="116" t="s">
        <v>8</v>
      </c>
      <c r="GX80" s="117" t="s">
        <v>9</v>
      </c>
      <c r="GY80" s="117" t="s">
        <v>30</v>
      </c>
      <c r="GZ80" s="114"/>
      <c r="HA80" s="78"/>
      <c r="HB80" s="79"/>
      <c r="HC80" s="79"/>
      <c r="HD80" s="79"/>
      <c r="HE80" s="79"/>
      <c r="HF80" s="79"/>
      <c r="HG80" s="79"/>
      <c r="HH80" s="79"/>
      <c r="HI80" s="79"/>
      <c r="HJ80" s="79"/>
      <c r="HK80" s="79"/>
      <c r="HL80" s="79"/>
      <c r="HM80" s="79"/>
      <c r="HN80" s="78"/>
    </row>
    <row r="81" spans="1:222" ht="15" customHeight="1" thickBot="1" x14ac:dyDescent="0.3">
      <c r="A81" s="238" t="s">
        <v>33</v>
      </c>
      <c r="B81" s="38"/>
      <c r="C81" s="39" t="s">
        <v>10</v>
      </c>
      <c r="D81" s="40">
        <f>D5+D11+D17+D23+D29+D35+D41+D47+D53+D59+D65+D71</f>
        <v>1971</v>
      </c>
      <c r="E81" s="40">
        <f t="shared" ref="E81:O81" si="292">E5+E11+E17+E23+E29+E35+E41+E47+E53+E59+E65+E71</f>
        <v>38</v>
      </c>
      <c r="F81" s="40">
        <f t="shared" si="292"/>
        <v>77</v>
      </c>
      <c r="G81" s="40">
        <f t="shared" si="292"/>
        <v>981</v>
      </c>
      <c r="H81" s="40">
        <f t="shared" si="292"/>
        <v>1982</v>
      </c>
      <c r="I81" s="40">
        <f t="shared" si="292"/>
        <v>17</v>
      </c>
      <c r="J81" s="40">
        <f t="shared" si="292"/>
        <v>44</v>
      </c>
      <c r="K81" s="40">
        <f t="shared" si="292"/>
        <v>682</v>
      </c>
      <c r="L81" s="40">
        <f t="shared" si="292"/>
        <v>29</v>
      </c>
      <c r="M81" s="40">
        <f t="shared" si="292"/>
        <v>21</v>
      </c>
      <c r="N81" s="40">
        <f t="shared" si="292"/>
        <v>0</v>
      </c>
      <c r="O81" s="141">
        <f t="shared" si="292"/>
        <v>0</v>
      </c>
      <c r="P81" s="29"/>
      <c r="Q81" s="238" t="s">
        <v>33</v>
      </c>
      <c r="R81" s="38"/>
      <c r="S81" s="39" t="s">
        <v>10</v>
      </c>
      <c r="T81" s="40">
        <f>T5+T11+T17+T23+T29+T35+T41+T47+T53+T59+T65+T71</f>
        <v>1888</v>
      </c>
      <c r="U81" s="40">
        <f t="shared" ref="U81:AE81" si="293">U5+U11+U17+U23+U29+U35+U41+U47+U53+U59+U65+U71</f>
        <v>19</v>
      </c>
      <c r="V81" s="40">
        <f t="shared" si="293"/>
        <v>52</v>
      </c>
      <c r="W81" s="40">
        <f t="shared" si="293"/>
        <v>605</v>
      </c>
      <c r="X81" s="40">
        <f t="shared" si="293"/>
        <v>1821</v>
      </c>
      <c r="Y81" s="40">
        <f t="shared" si="293"/>
        <v>9</v>
      </c>
      <c r="Z81" s="40">
        <f t="shared" si="293"/>
        <v>57</v>
      </c>
      <c r="AA81" s="40">
        <f t="shared" si="293"/>
        <v>453</v>
      </c>
      <c r="AB81" s="40">
        <f t="shared" si="293"/>
        <v>59</v>
      </c>
      <c r="AC81" s="40">
        <f t="shared" si="293"/>
        <v>1</v>
      </c>
      <c r="AD81" s="40">
        <f t="shared" si="293"/>
        <v>352</v>
      </c>
      <c r="AE81" s="141">
        <f t="shared" si="293"/>
        <v>29</v>
      </c>
      <c r="AF81" s="29"/>
      <c r="AG81" s="238" t="s">
        <v>33</v>
      </c>
      <c r="AH81" s="38"/>
      <c r="AI81" s="39" t="s">
        <v>10</v>
      </c>
      <c r="AJ81" s="40">
        <f>AJ5+AJ11+AJ17+AJ23+AJ29+AJ35+AJ41+AJ47+AJ53+AJ59+AJ65+AJ71</f>
        <v>1792</v>
      </c>
      <c r="AK81" s="40">
        <f t="shared" ref="AK81:AU81" si="294">AK5+AK11+AK17+AK23+AK29+AK35+AK41+AK47+AK53+AK59+AK65+AK71</f>
        <v>7</v>
      </c>
      <c r="AL81" s="40">
        <f t="shared" si="294"/>
        <v>20</v>
      </c>
      <c r="AM81" s="40">
        <f t="shared" si="294"/>
        <v>711</v>
      </c>
      <c r="AN81" s="40">
        <f t="shared" si="294"/>
        <v>1339</v>
      </c>
      <c r="AO81" s="40">
        <f t="shared" si="294"/>
        <v>2</v>
      </c>
      <c r="AP81" s="40">
        <f t="shared" si="294"/>
        <v>25</v>
      </c>
      <c r="AQ81" s="40">
        <f t="shared" si="294"/>
        <v>530</v>
      </c>
      <c r="AR81" s="40">
        <f t="shared" si="294"/>
        <v>90</v>
      </c>
      <c r="AS81" s="40">
        <f t="shared" si="294"/>
        <v>2</v>
      </c>
      <c r="AT81" s="40">
        <f t="shared" si="294"/>
        <v>0</v>
      </c>
      <c r="AU81" s="141">
        <f t="shared" si="294"/>
        <v>35</v>
      </c>
      <c r="AV81" s="29"/>
      <c r="AW81" s="238" t="s">
        <v>33</v>
      </c>
      <c r="AX81" s="38"/>
      <c r="AY81" s="39" t="s">
        <v>10</v>
      </c>
      <c r="AZ81" s="40">
        <f>AZ5+AZ11+AZ17+AZ23+AZ29+AZ35+AZ41+AZ47+AZ53+AZ59+AZ65+AZ71</f>
        <v>2314</v>
      </c>
      <c r="BA81" s="40">
        <f t="shared" ref="BA81:BK81" si="295">BA5+BA11+BA17+BA23+BA29+BA35+BA41+BA47+BA53+BA59+BA65+BA71</f>
        <v>38</v>
      </c>
      <c r="BB81" s="40">
        <f t="shared" si="295"/>
        <v>141</v>
      </c>
      <c r="BC81" s="40">
        <f t="shared" si="295"/>
        <v>1029</v>
      </c>
      <c r="BD81" s="40">
        <f t="shared" si="295"/>
        <v>1897</v>
      </c>
      <c r="BE81" s="40">
        <f t="shared" si="295"/>
        <v>16</v>
      </c>
      <c r="BF81" s="40">
        <f t="shared" si="295"/>
        <v>57</v>
      </c>
      <c r="BG81" s="40">
        <f t="shared" si="295"/>
        <v>843</v>
      </c>
      <c r="BH81" s="40">
        <f t="shared" si="295"/>
        <v>60</v>
      </c>
      <c r="BI81" s="40">
        <f t="shared" si="295"/>
        <v>0</v>
      </c>
      <c r="BJ81" s="40">
        <f t="shared" si="295"/>
        <v>0</v>
      </c>
      <c r="BK81" s="141">
        <f t="shared" si="295"/>
        <v>16</v>
      </c>
      <c r="BL81" s="29"/>
      <c r="BM81" s="238" t="s">
        <v>33</v>
      </c>
      <c r="BN81" s="38"/>
      <c r="BO81" s="39" t="s">
        <v>10</v>
      </c>
      <c r="BP81" s="40">
        <f>BP5+BP11+BP17+BP23+BP29+BP35+BP41+BP47+BP53+BP59+BP65+BP71</f>
        <v>2624</v>
      </c>
      <c r="BQ81" s="40">
        <f t="shared" ref="BQ81:CA81" si="296">BQ5+BQ11+BQ17+BQ23+BQ29+BQ35+BQ41+BQ47+BQ53+BQ59+BQ65+BQ71</f>
        <v>10</v>
      </c>
      <c r="BR81" s="40">
        <f t="shared" si="296"/>
        <v>55</v>
      </c>
      <c r="BS81" s="40">
        <f t="shared" si="296"/>
        <v>640</v>
      </c>
      <c r="BT81" s="40">
        <f t="shared" si="296"/>
        <v>2432</v>
      </c>
      <c r="BU81" s="40">
        <f t="shared" si="296"/>
        <v>1506</v>
      </c>
      <c r="BV81" s="40">
        <f t="shared" si="296"/>
        <v>37</v>
      </c>
      <c r="BW81" s="40">
        <f t="shared" si="296"/>
        <v>515</v>
      </c>
      <c r="BX81" s="40">
        <f t="shared" si="296"/>
        <v>168</v>
      </c>
      <c r="BY81" s="40">
        <f t="shared" si="296"/>
        <v>2</v>
      </c>
      <c r="BZ81" s="40">
        <f t="shared" si="296"/>
        <v>0</v>
      </c>
      <c r="CA81" s="141">
        <f t="shared" si="296"/>
        <v>29</v>
      </c>
      <c r="CB81" s="29"/>
      <c r="CC81" s="238" t="s">
        <v>33</v>
      </c>
      <c r="CD81" s="38"/>
      <c r="CE81" s="39" t="s">
        <v>10</v>
      </c>
      <c r="CF81" s="40">
        <f>CF5+CF11+CF17+CF23+CF29+CF35+CF41+CF47+CF53+CF59+CF65+CF71</f>
        <v>1378</v>
      </c>
      <c r="CG81" s="40">
        <f t="shared" ref="CG81:CQ81" si="297">CG5+CG11+CG17+CG23+CG29+CG35+CG41+CG47+CG53+CG59+CG65+CG71</f>
        <v>8</v>
      </c>
      <c r="CH81" s="40">
        <f t="shared" si="297"/>
        <v>68</v>
      </c>
      <c r="CI81" s="40">
        <f t="shared" si="297"/>
        <v>479</v>
      </c>
      <c r="CJ81" s="40">
        <f t="shared" si="297"/>
        <v>1057</v>
      </c>
      <c r="CK81" s="40">
        <f t="shared" si="297"/>
        <v>8</v>
      </c>
      <c r="CL81" s="40">
        <f t="shared" si="297"/>
        <v>23</v>
      </c>
      <c r="CM81" s="40">
        <f t="shared" si="297"/>
        <v>460</v>
      </c>
      <c r="CN81" s="40">
        <f t="shared" si="297"/>
        <v>38</v>
      </c>
      <c r="CO81" s="40">
        <f t="shared" si="297"/>
        <v>0</v>
      </c>
      <c r="CP81" s="40">
        <f t="shared" si="297"/>
        <v>0</v>
      </c>
      <c r="CQ81" s="141">
        <f t="shared" si="297"/>
        <v>2</v>
      </c>
      <c r="CR81" s="29"/>
      <c r="CS81" s="238" t="s">
        <v>33</v>
      </c>
      <c r="CT81" s="38"/>
      <c r="CU81" s="39" t="s">
        <v>10</v>
      </c>
      <c r="CV81" s="40">
        <f>CV5+CV11+CV17+CV23+CV29+CV35+CV41+CV47+CV53+CV59+CV65+CV71</f>
        <v>2063</v>
      </c>
      <c r="CW81" s="40">
        <f t="shared" ref="CW81:DG81" si="298">CW5+CW11+CW17+CW23+CW29+CW35+CW41+CW47+CW53+CW59+CW65+CW71</f>
        <v>36</v>
      </c>
      <c r="CX81" s="40">
        <f t="shared" si="298"/>
        <v>140</v>
      </c>
      <c r="CY81" s="40">
        <f t="shared" si="298"/>
        <v>835</v>
      </c>
      <c r="CZ81" s="40">
        <f t="shared" si="298"/>
        <v>2008</v>
      </c>
      <c r="DA81" s="40">
        <f t="shared" si="298"/>
        <v>9026</v>
      </c>
      <c r="DB81" s="40">
        <f t="shared" si="298"/>
        <v>90</v>
      </c>
      <c r="DC81" s="40">
        <f t="shared" si="298"/>
        <v>557</v>
      </c>
      <c r="DD81" s="40">
        <f t="shared" si="298"/>
        <v>35</v>
      </c>
      <c r="DE81" s="40">
        <f t="shared" si="298"/>
        <v>4</v>
      </c>
      <c r="DF81" s="40">
        <f t="shared" si="298"/>
        <v>0</v>
      </c>
      <c r="DG81" s="141">
        <f t="shared" si="298"/>
        <v>20</v>
      </c>
      <c r="DH81" s="29"/>
      <c r="DI81" s="238" t="s">
        <v>33</v>
      </c>
      <c r="DJ81" s="38"/>
      <c r="DK81" s="39" t="s">
        <v>10</v>
      </c>
      <c r="DL81" s="40">
        <f>DL5+DL11+DL17+DL23+DL29+DL35+DL41+DL47+DL53+DL59+DL65+DL71</f>
        <v>1956</v>
      </c>
      <c r="DM81" s="40" t="e">
        <f t="shared" ref="DM81:DW81" si="299">DM5+DM11+DM17+DM23+DM29+DM35+DM41+DM47+DM53+DM59+DM65+DM71</f>
        <v>#VALUE!</v>
      </c>
      <c r="DN81" s="40">
        <f t="shared" si="299"/>
        <v>38</v>
      </c>
      <c r="DO81" s="40">
        <f t="shared" si="299"/>
        <v>653</v>
      </c>
      <c r="DP81" s="40">
        <f t="shared" si="299"/>
        <v>1287</v>
      </c>
      <c r="DQ81" s="40" t="e">
        <f t="shared" si="299"/>
        <v>#VALUE!</v>
      </c>
      <c r="DR81" s="40">
        <f t="shared" si="299"/>
        <v>17</v>
      </c>
      <c r="DS81" s="40">
        <f t="shared" si="299"/>
        <v>567</v>
      </c>
      <c r="DT81" s="40">
        <f t="shared" si="299"/>
        <v>88</v>
      </c>
      <c r="DU81" s="40" t="e">
        <f t="shared" si="299"/>
        <v>#VALUE!</v>
      </c>
      <c r="DV81" s="40">
        <f t="shared" si="299"/>
        <v>0</v>
      </c>
      <c r="DW81" s="141">
        <f t="shared" si="299"/>
        <v>17</v>
      </c>
      <c r="DX81" s="29"/>
      <c r="DY81" s="238" t="s">
        <v>33</v>
      </c>
      <c r="DZ81" s="38"/>
      <c r="EA81" s="39" t="s">
        <v>10</v>
      </c>
      <c r="EB81" s="40">
        <f>EB5+EB11+EB17+EB23+EB29+EB35+EB41+EB47+EB53+EB59+EB65+EB71</f>
        <v>3981</v>
      </c>
      <c r="EC81" s="40">
        <f t="shared" ref="EC81:EM81" si="300">EC5+EC11+EC17+EC23+EC29+EC35+EC41+EC47+EC53+EC59+EC65+EC71</f>
        <v>26</v>
      </c>
      <c r="ED81" s="40">
        <f t="shared" si="300"/>
        <v>18</v>
      </c>
      <c r="EE81" s="40">
        <f t="shared" si="300"/>
        <v>588</v>
      </c>
      <c r="EF81" s="40">
        <f t="shared" si="300"/>
        <v>2578</v>
      </c>
      <c r="EG81" s="40">
        <f t="shared" si="300"/>
        <v>27</v>
      </c>
      <c r="EH81" s="40">
        <f t="shared" si="300"/>
        <v>25</v>
      </c>
      <c r="EI81" s="40">
        <f t="shared" si="300"/>
        <v>454</v>
      </c>
      <c r="EJ81" s="40">
        <f t="shared" si="300"/>
        <v>148</v>
      </c>
      <c r="EK81" s="40">
        <f t="shared" si="300"/>
        <v>2</v>
      </c>
      <c r="EL81" s="40">
        <f t="shared" si="300"/>
        <v>0</v>
      </c>
      <c r="EM81" s="141">
        <f t="shared" si="300"/>
        <v>10</v>
      </c>
      <c r="EN81" s="29"/>
      <c r="EO81" s="238" t="s">
        <v>33</v>
      </c>
      <c r="EP81" s="38"/>
      <c r="EQ81" s="39" t="s">
        <v>10</v>
      </c>
      <c r="ER81" s="40">
        <f>ER5+ER11+ER17+ER23+ER29+ER35+ER41+ER47+ER53+ER59+ER65+ER71</f>
        <v>3703</v>
      </c>
      <c r="ES81" s="40">
        <f t="shared" ref="ES81:FC81" si="301">ES5+ES11+ES17+ES23+ES29+ES35+ES41+ES47+ES53+ES59+ES65+ES71</f>
        <v>16</v>
      </c>
      <c r="ET81" s="40">
        <f t="shared" si="301"/>
        <v>18</v>
      </c>
      <c r="EU81" s="40">
        <f t="shared" si="301"/>
        <v>398</v>
      </c>
      <c r="EV81" s="40">
        <f t="shared" si="301"/>
        <v>2400</v>
      </c>
      <c r="EW81" s="40">
        <f t="shared" si="301"/>
        <v>22</v>
      </c>
      <c r="EX81" s="40">
        <f t="shared" si="301"/>
        <v>25</v>
      </c>
      <c r="EY81" s="40">
        <f t="shared" si="301"/>
        <v>222</v>
      </c>
      <c r="EZ81" s="40">
        <f t="shared" si="301"/>
        <v>135</v>
      </c>
      <c r="FA81" s="40">
        <f t="shared" si="301"/>
        <v>2</v>
      </c>
      <c r="FB81" s="40">
        <f t="shared" si="301"/>
        <v>0</v>
      </c>
      <c r="FC81" s="141">
        <f t="shared" si="301"/>
        <v>0</v>
      </c>
      <c r="FD81" s="29"/>
      <c r="FE81" s="238" t="s">
        <v>33</v>
      </c>
      <c r="FF81" s="38"/>
      <c r="FG81" s="39" t="s">
        <v>10</v>
      </c>
      <c r="FH81" s="40">
        <f>FH5+FH11+FH17+FH23+FH29+FH35+FH41+FH47+FH53+FH59+FH65+FH71</f>
        <v>0</v>
      </c>
      <c r="FI81" s="40">
        <f t="shared" ref="FI81:FS81" si="302">FI5+FI11+FI17+FI23+FI29+FI35+FI41+FI47+FI53+FI59+FI65+FI71</f>
        <v>0</v>
      </c>
      <c r="FJ81" s="40">
        <f t="shared" si="302"/>
        <v>0</v>
      </c>
      <c r="FK81" s="40">
        <f t="shared" si="302"/>
        <v>0</v>
      </c>
      <c r="FL81" s="40">
        <f t="shared" si="302"/>
        <v>0</v>
      </c>
      <c r="FM81" s="40">
        <f t="shared" si="302"/>
        <v>0</v>
      </c>
      <c r="FN81" s="40">
        <f t="shared" si="302"/>
        <v>0</v>
      </c>
      <c r="FO81" s="40">
        <f t="shared" si="302"/>
        <v>0</v>
      </c>
      <c r="FP81" s="40">
        <f t="shared" si="302"/>
        <v>0</v>
      </c>
      <c r="FQ81" s="40">
        <f t="shared" si="302"/>
        <v>0</v>
      </c>
      <c r="FR81" s="40">
        <f t="shared" si="302"/>
        <v>0</v>
      </c>
      <c r="FS81" s="141">
        <f t="shared" si="302"/>
        <v>0</v>
      </c>
      <c r="FT81" s="29"/>
      <c r="FU81" s="238" t="s">
        <v>33</v>
      </c>
      <c r="FV81" s="38"/>
      <c r="FW81" s="39" t="s">
        <v>10</v>
      </c>
      <c r="FX81" s="40">
        <f>FX5+FX11+FX17+FX23+FX29+FX35+FX41+FX47+FX53+FX59+FX65+FX71</f>
        <v>0</v>
      </c>
      <c r="FY81" s="40">
        <f t="shared" ref="FY81:GI81" si="303">FY5+FY11+FY17+FY23+FY29+FY35+FY41+FY47+FY53+FY59+FY65+FY71</f>
        <v>0</v>
      </c>
      <c r="FZ81" s="40">
        <f t="shared" si="303"/>
        <v>0</v>
      </c>
      <c r="GA81" s="40">
        <f t="shared" si="303"/>
        <v>0</v>
      </c>
      <c r="GB81" s="40">
        <f t="shared" si="303"/>
        <v>0</v>
      </c>
      <c r="GC81" s="40">
        <f t="shared" si="303"/>
        <v>0</v>
      </c>
      <c r="GD81" s="40">
        <f t="shared" si="303"/>
        <v>0</v>
      </c>
      <c r="GE81" s="40">
        <f t="shared" si="303"/>
        <v>0</v>
      </c>
      <c r="GF81" s="40">
        <f t="shared" si="303"/>
        <v>0</v>
      </c>
      <c r="GG81" s="40">
        <f t="shared" si="303"/>
        <v>0</v>
      </c>
      <c r="GH81" s="40">
        <f t="shared" si="303"/>
        <v>0</v>
      </c>
      <c r="GI81" s="141">
        <f t="shared" si="303"/>
        <v>0</v>
      </c>
      <c r="GJ81" s="29"/>
      <c r="GK81" s="241" t="str">
        <f>(FU81)</f>
        <v>إجمالي مراكز شرق جدة</v>
      </c>
      <c r="GL81" s="44"/>
      <c r="GM81" s="45" t="s">
        <v>10</v>
      </c>
      <c r="GN81" s="40">
        <f>GN5+GN11+GN17+GN23+GN29+GN35+GN41+GN47+GN53+GN59+GN65+GN71</f>
        <v>0</v>
      </c>
      <c r="GO81" s="40" t="e">
        <f t="shared" ref="GO81:GY81" si="304">GO5+GO11+GO17+GO23+GO29+GO35+GO41+GO47+GO53+GO59+GO65+GO71</f>
        <v>#VALUE!</v>
      </c>
      <c r="GP81" s="40">
        <f t="shared" si="304"/>
        <v>627</v>
      </c>
      <c r="GQ81" s="40">
        <f t="shared" si="304"/>
        <v>6919</v>
      </c>
      <c r="GR81" s="40">
        <f t="shared" si="304"/>
        <v>0</v>
      </c>
      <c r="GS81" s="40" t="e">
        <f t="shared" si="304"/>
        <v>#VALUE!</v>
      </c>
      <c r="GT81" s="40">
        <f t="shared" si="304"/>
        <v>400</v>
      </c>
      <c r="GU81" s="40">
        <f t="shared" si="304"/>
        <v>5283</v>
      </c>
      <c r="GV81" s="40">
        <f t="shared" si="304"/>
        <v>0</v>
      </c>
      <c r="GW81" s="40" t="e">
        <f t="shared" si="304"/>
        <v>#VALUE!</v>
      </c>
      <c r="GX81" s="40">
        <f t="shared" si="304"/>
        <v>352</v>
      </c>
      <c r="GY81" s="40">
        <f t="shared" si="304"/>
        <v>158</v>
      </c>
      <c r="GZ81" s="95"/>
      <c r="HA81" s="31"/>
      <c r="HN81" s="31"/>
    </row>
    <row r="82" spans="1:222" ht="15" customHeight="1" thickBot="1" x14ac:dyDescent="0.3">
      <c r="A82" s="239"/>
      <c r="B82" s="46" t="s">
        <v>11</v>
      </c>
      <c r="C82" s="47" t="s">
        <v>12</v>
      </c>
      <c r="D82" s="40">
        <f t="shared" ref="D82:O82" si="305">D6+D12+D18+D24+D30+D36+D42+D48+D54+D60+D66+D72</f>
        <v>1730</v>
      </c>
      <c r="E82" s="40">
        <f t="shared" si="305"/>
        <v>29</v>
      </c>
      <c r="F82" s="40">
        <f t="shared" si="305"/>
        <v>81</v>
      </c>
      <c r="G82" s="40">
        <f t="shared" si="305"/>
        <v>744</v>
      </c>
      <c r="H82" s="40">
        <f t="shared" si="305"/>
        <v>1856</v>
      </c>
      <c r="I82" s="40">
        <f t="shared" si="305"/>
        <v>21</v>
      </c>
      <c r="J82" s="40">
        <f t="shared" si="305"/>
        <v>43</v>
      </c>
      <c r="K82" s="40">
        <f t="shared" si="305"/>
        <v>643</v>
      </c>
      <c r="L82" s="40">
        <f t="shared" si="305"/>
        <v>62</v>
      </c>
      <c r="M82" s="40">
        <f t="shared" si="305"/>
        <v>7</v>
      </c>
      <c r="N82" s="40">
        <f t="shared" si="305"/>
        <v>0</v>
      </c>
      <c r="O82" s="141">
        <f t="shared" si="305"/>
        <v>0</v>
      </c>
      <c r="P82" s="29"/>
      <c r="Q82" s="239"/>
      <c r="R82" s="46" t="s">
        <v>11</v>
      </c>
      <c r="S82" s="47" t="s">
        <v>12</v>
      </c>
      <c r="T82" s="40">
        <f t="shared" ref="T82:AE82" si="306">T6+T12+T18+T24+T30+T36+T42+T48+T54+T60+T66+T72</f>
        <v>1658</v>
      </c>
      <c r="U82" s="40">
        <f t="shared" si="306"/>
        <v>13</v>
      </c>
      <c r="V82" s="40">
        <f t="shared" si="306"/>
        <v>86</v>
      </c>
      <c r="W82" s="40">
        <f t="shared" si="306"/>
        <v>591</v>
      </c>
      <c r="X82" s="40">
        <f t="shared" si="306"/>
        <v>1680</v>
      </c>
      <c r="Y82" s="40">
        <f t="shared" si="306"/>
        <v>3</v>
      </c>
      <c r="Z82" s="40">
        <f t="shared" si="306"/>
        <v>44</v>
      </c>
      <c r="AA82" s="40">
        <f t="shared" si="306"/>
        <v>478</v>
      </c>
      <c r="AB82" s="40">
        <f t="shared" si="306"/>
        <v>74</v>
      </c>
      <c r="AC82" s="40">
        <f t="shared" si="306"/>
        <v>2</v>
      </c>
      <c r="AD82" s="40">
        <f t="shared" si="306"/>
        <v>1</v>
      </c>
      <c r="AE82" s="141">
        <f t="shared" si="306"/>
        <v>16</v>
      </c>
      <c r="AF82" s="29"/>
      <c r="AG82" s="239"/>
      <c r="AH82" s="46" t="s">
        <v>11</v>
      </c>
      <c r="AI82" s="47" t="s">
        <v>12</v>
      </c>
      <c r="AJ82" s="40">
        <f t="shared" ref="AJ82:AU82" si="307">AJ6+AJ12+AJ18+AJ24+AJ30+AJ36+AJ42+AJ48+AJ54+AJ60+AJ66+AJ72</f>
        <v>1256</v>
      </c>
      <c r="AK82" s="40">
        <f t="shared" si="307"/>
        <v>15</v>
      </c>
      <c r="AL82" s="40">
        <f t="shared" si="307"/>
        <v>24</v>
      </c>
      <c r="AM82" s="40">
        <f t="shared" si="307"/>
        <v>555</v>
      </c>
      <c r="AN82" s="40">
        <f t="shared" si="307"/>
        <v>1131</v>
      </c>
      <c r="AO82" s="40">
        <f t="shared" si="307"/>
        <v>7</v>
      </c>
      <c r="AP82" s="40">
        <f t="shared" si="307"/>
        <v>24</v>
      </c>
      <c r="AQ82" s="40">
        <f t="shared" si="307"/>
        <v>440</v>
      </c>
      <c r="AR82" s="40">
        <f t="shared" si="307"/>
        <v>71</v>
      </c>
      <c r="AS82" s="40">
        <f t="shared" si="307"/>
        <v>0</v>
      </c>
      <c r="AT82" s="40">
        <f t="shared" si="307"/>
        <v>0</v>
      </c>
      <c r="AU82" s="141">
        <f t="shared" si="307"/>
        <v>36</v>
      </c>
      <c r="AV82" s="29"/>
      <c r="AW82" s="239"/>
      <c r="AX82" s="46" t="s">
        <v>11</v>
      </c>
      <c r="AY82" s="47" t="s">
        <v>12</v>
      </c>
      <c r="AZ82" s="40">
        <f t="shared" ref="AZ82:BK82" si="308">AZ6+AZ12+AZ18+AZ24+AZ30+AZ36+AZ42+AZ48+AZ54+AZ60+AZ66+AZ72</f>
        <v>1736</v>
      </c>
      <c r="BA82" s="40">
        <f t="shared" si="308"/>
        <v>21</v>
      </c>
      <c r="BB82" s="40">
        <f t="shared" si="308"/>
        <v>88</v>
      </c>
      <c r="BC82" s="40">
        <f t="shared" si="308"/>
        <v>945</v>
      </c>
      <c r="BD82" s="40">
        <f t="shared" si="308"/>
        <v>1400</v>
      </c>
      <c r="BE82" s="40">
        <f t="shared" si="308"/>
        <v>9</v>
      </c>
      <c r="BF82" s="40">
        <f t="shared" si="308"/>
        <v>26</v>
      </c>
      <c r="BG82" s="40">
        <f t="shared" si="308"/>
        <v>762</v>
      </c>
      <c r="BH82" s="40">
        <f t="shared" si="308"/>
        <v>68</v>
      </c>
      <c r="BI82" s="40">
        <f t="shared" si="308"/>
        <v>1</v>
      </c>
      <c r="BJ82" s="40">
        <f t="shared" si="308"/>
        <v>0</v>
      </c>
      <c r="BK82" s="141">
        <f t="shared" si="308"/>
        <v>8</v>
      </c>
      <c r="BL82" s="29"/>
      <c r="BM82" s="239"/>
      <c r="BN82" s="46" t="s">
        <v>11</v>
      </c>
      <c r="BO82" s="47" t="s">
        <v>12</v>
      </c>
      <c r="BP82" s="40">
        <f t="shared" ref="BP82:CA82" si="309">BP6+BP12+BP18+BP24+BP30+BP36+BP42+BP48+BP54+BP60+BP66+BP72</f>
        <v>2283</v>
      </c>
      <c r="BQ82" s="40">
        <f t="shared" si="309"/>
        <v>8</v>
      </c>
      <c r="BR82" s="40">
        <f t="shared" si="309"/>
        <v>61</v>
      </c>
      <c r="BS82" s="40">
        <f t="shared" si="309"/>
        <v>562</v>
      </c>
      <c r="BT82" s="40">
        <f t="shared" si="309"/>
        <v>2170</v>
      </c>
      <c r="BU82" s="40">
        <f t="shared" si="309"/>
        <v>7</v>
      </c>
      <c r="BV82" s="40">
        <f t="shared" si="309"/>
        <v>24</v>
      </c>
      <c r="BW82" s="40">
        <f t="shared" si="309"/>
        <v>455</v>
      </c>
      <c r="BX82" s="40">
        <f t="shared" si="309"/>
        <v>219</v>
      </c>
      <c r="BY82" s="40">
        <f t="shared" si="309"/>
        <v>0</v>
      </c>
      <c r="BZ82" s="40">
        <f t="shared" si="309"/>
        <v>0</v>
      </c>
      <c r="CA82" s="141">
        <f t="shared" si="309"/>
        <v>25</v>
      </c>
      <c r="CB82" s="29"/>
      <c r="CC82" s="239"/>
      <c r="CD82" s="46" t="s">
        <v>11</v>
      </c>
      <c r="CE82" s="47" t="s">
        <v>12</v>
      </c>
      <c r="CF82" s="40">
        <f t="shared" ref="CF82:CQ82" si="310">CF6+CF12+CF18+CF24+CF30+CF36+CF42+CF48+CF54+CF60+CF66+CF72</f>
        <v>987</v>
      </c>
      <c r="CG82" s="40">
        <f t="shared" si="310"/>
        <v>6</v>
      </c>
      <c r="CH82" s="40">
        <f t="shared" si="310"/>
        <v>48</v>
      </c>
      <c r="CI82" s="40">
        <f t="shared" si="310"/>
        <v>515</v>
      </c>
      <c r="CJ82" s="40">
        <f t="shared" si="310"/>
        <v>847</v>
      </c>
      <c r="CK82" s="40">
        <f t="shared" si="310"/>
        <v>5</v>
      </c>
      <c r="CL82" s="40">
        <f t="shared" si="310"/>
        <v>16</v>
      </c>
      <c r="CM82" s="40">
        <f t="shared" si="310"/>
        <v>461</v>
      </c>
      <c r="CN82" s="40">
        <f t="shared" si="310"/>
        <v>71</v>
      </c>
      <c r="CO82" s="40">
        <f t="shared" si="310"/>
        <v>2</v>
      </c>
      <c r="CP82" s="40">
        <f t="shared" si="310"/>
        <v>0</v>
      </c>
      <c r="CQ82" s="141">
        <f t="shared" si="310"/>
        <v>3</v>
      </c>
      <c r="CR82" s="29"/>
      <c r="CS82" s="239"/>
      <c r="CT82" s="46" t="s">
        <v>11</v>
      </c>
      <c r="CU82" s="47" t="s">
        <v>12</v>
      </c>
      <c r="CV82" s="40">
        <f t="shared" ref="CV82:DG82" si="311">CV6+CV12+CV18+CV24+CV30+CV36+CV42+CV48+CV54+CV60+CV66+CV72</f>
        <v>1782</v>
      </c>
      <c r="CW82" s="40">
        <f t="shared" si="311"/>
        <v>32</v>
      </c>
      <c r="CX82" s="40">
        <f t="shared" si="311"/>
        <v>112</v>
      </c>
      <c r="CY82" s="40">
        <f t="shared" si="311"/>
        <v>812</v>
      </c>
      <c r="CZ82" s="40">
        <f t="shared" si="311"/>
        <v>2023</v>
      </c>
      <c r="DA82" s="40">
        <f t="shared" si="311"/>
        <v>622</v>
      </c>
      <c r="DB82" s="40">
        <f t="shared" si="311"/>
        <v>52</v>
      </c>
      <c r="DC82" s="40">
        <f t="shared" si="311"/>
        <v>550</v>
      </c>
      <c r="DD82" s="40">
        <f t="shared" si="311"/>
        <v>62</v>
      </c>
      <c r="DE82" s="40">
        <f t="shared" si="311"/>
        <v>2</v>
      </c>
      <c r="DF82" s="40">
        <f t="shared" si="311"/>
        <v>0</v>
      </c>
      <c r="DG82" s="141">
        <f t="shared" si="311"/>
        <v>21</v>
      </c>
      <c r="DH82" s="29"/>
      <c r="DI82" s="239"/>
      <c r="DJ82" s="46" t="s">
        <v>11</v>
      </c>
      <c r="DK82" s="47" t="s">
        <v>12</v>
      </c>
      <c r="DL82" s="40">
        <f t="shared" ref="DL82:DW82" si="312">DL6+DL12+DL18+DL24+DL30+DL36+DL42+DL48+DL54+DL60+DL66+DL72</f>
        <v>1389</v>
      </c>
      <c r="DM82" s="40">
        <f t="shared" si="312"/>
        <v>9</v>
      </c>
      <c r="DN82" s="40">
        <f t="shared" si="312"/>
        <v>66</v>
      </c>
      <c r="DO82" s="40">
        <f t="shared" si="312"/>
        <v>629</v>
      </c>
      <c r="DP82" s="40">
        <f t="shared" si="312"/>
        <v>1201</v>
      </c>
      <c r="DQ82" s="40">
        <f t="shared" si="312"/>
        <v>10</v>
      </c>
      <c r="DR82" s="40">
        <f t="shared" si="312"/>
        <v>26</v>
      </c>
      <c r="DS82" s="40">
        <f t="shared" si="312"/>
        <v>623</v>
      </c>
      <c r="DT82" s="40">
        <f t="shared" si="312"/>
        <v>97</v>
      </c>
      <c r="DU82" s="40">
        <f t="shared" si="312"/>
        <v>2</v>
      </c>
      <c r="DV82" s="40">
        <f t="shared" si="312"/>
        <v>0</v>
      </c>
      <c r="DW82" s="141">
        <f t="shared" si="312"/>
        <v>11</v>
      </c>
      <c r="DX82" s="29"/>
      <c r="DY82" s="239"/>
      <c r="DZ82" s="46" t="s">
        <v>11</v>
      </c>
      <c r="EA82" s="47" t="s">
        <v>12</v>
      </c>
      <c r="EB82" s="40">
        <f t="shared" ref="EB82:EM82" si="313">EB6+EB12+EB18+EB24+EB30+EB36+EB42+EB48+EB54+EB60+EB66+EB72</f>
        <v>2652</v>
      </c>
      <c r="EC82" s="40">
        <f t="shared" si="313"/>
        <v>18</v>
      </c>
      <c r="ED82" s="40">
        <f t="shared" si="313"/>
        <v>18</v>
      </c>
      <c r="EE82" s="40">
        <f t="shared" si="313"/>
        <v>423</v>
      </c>
      <c r="EF82" s="40">
        <f t="shared" si="313"/>
        <v>2730</v>
      </c>
      <c r="EG82" s="40">
        <f t="shared" si="313"/>
        <v>27</v>
      </c>
      <c r="EH82" s="40">
        <f t="shared" si="313"/>
        <v>20</v>
      </c>
      <c r="EI82" s="40">
        <f t="shared" si="313"/>
        <v>338</v>
      </c>
      <c r="EJ82" s="40">
        <f t="shared" si="313"/>
        <v>269</v>
      </c>
      <c r="EK82" s="40">
        <f t="shared" si="313"/>
        <v>1</v>
      </c>
      <c r="EL82" s="40">
        <f t="shared" si="313"/>
        <v>0</v>
      </c>
      <c r="EM82" s="141">
        <f t="shared" si="313"/>
        <v>13</v>
      </c>
      <c r="EN82" s="29"/>
      <c r="EO82" s="239"/>
      <c r="EP82" s="46" t="s">
        <v>11</v>
      </c>
      <c r="EQ82" s="47" t="s">
        <v>12</v>
      </c>
      <c r="ER82" s="40">
        <f t="shared" ref="ER82:FC82" si="314">ER6+ER12+ER18+ER24+ER30+ER36+ER42+ER48+ER54+ER60+ER66+ER72</f>
        <v>2325</v>
      </c>
      <c r="ES82" s="40">
        <f t="shared" si="314"/>
        <v>13</v>
      </c>
      <c r="ET82" s="40">
        <f t="shared" si="314"/>
        <v>18</v>
      </c>
      <c r="EU82" s="40">
        <f t="shared" si="314"/>
        <v>297</v>
      </c>
      <c r="EV82" s="40">
        <f t="shared" si="314"/>
        <v>2439</v>
      </c>
      <c r="EW82" s="40">
        <f t="shared" si="314"/>
        <v>23</v>
      </c>
      <c r="EX82" s="40">
        <f t="shared" si="314"/>
        <v>20</v>
      </c>
      <c r="EY82" s="40">
        <f t="shared" si="314"/>
        <v>233</v>
      </c>
      <c r="EZ82" s="40">
        <f t="shared" si="314"/>
        <v>249</v>
      </c>
      <c r="FA82" s="40">
        <f t="shared" si="314"/>
        <v>1</v>
      </c>
      <c r="FB82" s="40">
        <f t="shared" si="314"/>
        <v>0</v>
      </c>
      <c r="FC82" s="141">
        <f t="shared" si="314"/>
        <v>0</v>
      </c>
      <c r="FD82" s="29"/>
      <c r="FE82" s="239"/>
      <c r="FF82" s="46" t="s">
        <v>11</v>
      </c>
      <c r="FG82" s="47" t="s">
        <v>12</v>
      </c>
      <c r="FH82" s="40">
        <f t="shared" ref="FH82:FS82" si="315">FH6+FH12+FH18+FH24+FH30+FH36+FH42+FH48+FH54+FH60+FH66+FH72</f>
        <v>0</v>
      </c>
      <c r="FI82" s="40">
        <f t="shared" si="315"/>
        <v>0</v>
      </c>
      <c r="FJ82" s="40">
        <f t="shared" si="315"/>
        <v>0</v>
      </c>
      <c r="FK82" s="40">
        <f t="shared" si="315"/>
        <v>0</v>
      </c>
      <c r="FL82" s="40">
        <f t="shared" si="315"/>
        <v>0</v>
      </c>
      <c r="FM82" s="40">
        <f t="shared" si="315"/>
        <v>0</v>
      </c>
      <c r="FN82" s="40">
        <f t="shared" si="315"/>
        <v>0</v>
      </c>
      <c r="FO82" s="40">
        <f t="shared" si="315"/>
        <v>0</v>
      </c>
      <c r="FP82" s="40">
        <f t="shared" si="315"/>
        <v>0</v>
      </c>
      <c r="FQ82" s="40">
        <f t="shared" si="315"/>
        <v>0</v>
      </c>
      <c r="FR82" s="40">
        <f t="shared" si="315"/>
        <v>0</v>
      </c>
      <c r="FS82" s="141">
        <f t="shared" si="315"/>
        <v>0</v>
      </c>
      <c r="FT82" s="29"/>
      <c r="FU82" s="239"/>
      <c r="FV82" s="46" t="s">
        <v>11</v>
      </c>
      <c r="FW82" s="47" t="s">
        <v>12</v>
      </c>
      <c r="FX82" s="40">
        <f t="shared" ref="FX82:GI82" si="316">FX6+FX12+FX18+FX24+FX30+FX36+FX42+FX48+FX54+FX60+FX66+FX72</f>
        <v>0</v>
      </c>
      <c r="FY82" s="40">
        <f t="shared" si="316"/>
        <v>0</v>
      </c>
      <c r="FZ82" s="40">
        <f t="shared" si="316"/>
        <v>0</v>
      </c>
      <c r="GA82" s="40">
        <f t="shared" si="316"/>
        <v>0</v>
      </c>
      <c r="GB82" s="40">
        <f t="shared" si="316"/>
        <v>0</v>
      </c>
      <c r="GC82" s="40">
        <f t="shared" si="316"/>
        <v>0</v>
      </c>
      <c r="GD82" s="40">
        <f t="shared" si="316"/>
        <v>0</v>
      </c>
      <c r="GE82" s="40">
        <f t="shared" si="316"/>
        <v>0</v>
      </c>
      <c r="GF82" s="40">
        <f t="shared" si="316"/>
        <v>0</v>
      </c>
      <c r="GG82" s="40">
        <f t="shared" si="316"/>
        <v>0</v>
      </c>
      <c r="GH82" s="40">
        <f t="shared" si="316"/>
        <v>0</v>
      </c>
      <c r="GI82" s="141">
        <f t="shared" si="316"/>
        <v>0</v>
      </c>
      <c r="GJ82" s="29"/>
      <c r="GK82" s="242"/>
      <c r="GL82" s="52" t="s">
        <v>11</v>
      </c>
      <c r="GM82" s="53" t="s">
        <v>12</v>
      </c>
      <c r="GN82" s="40">
        <f t="shared" ref="GN82:GY82" si="317">GN6+GN12+GN18+GN24+GN30+GN36+GN42+GN48+GN54+GN60+GN66+GN72</f>
        <v>0</v>
      </c>
      <c r="GO82" s="40">
        <f t="shared" si="317"/>
        <v>164</v>
      </c>
      <c r="GP82" s="40">
        <f t="shared" si="317"/>
        <v>602</v>
      </c>
      <c r="GQ82" s="40">
        <f t="shared" si="317"/>
        <v>6073</v>
      </c>
      <c r="GR82" s="40">
        <f t="shared" si="317"/>
        <v>0</v>
      </c>
      <c r="GS82" s="40">
        <f t="shared" si="317"/>
        <v>734</v>
      </c>
      <c r="GT82" s="40">
        <f t="shared" si="317"/>
        <v>295</v>
      </c>
      <c r="GU82" s="40">
        <f t="shared" si="317"/>
        <v>4983</v>
      </c>
      <c r="GV82" s="40">
        <f t="shared" si="317"/>
        <v>0</v>
      </c>
      <c r="GW82" s="40">
        <f t="shared" si="317"/>
        <v>18</v>
      </c>
      <c r="GX82" s="40">
        <f t="shared" si="317"/>
        <v>1</v>
      </c>
      <c r="GY82" s="40">
        <f t="shared" si="317"/>
        <v>133</v>
      </c>
      <c r="GZ82" s="95"/>
      <c r="HA82" s="31"/>
      <c r="HN82" s="31"/>
    </row>
    <row r="83" spans="1:222" ht="15" customHeight="1" thickBot="1" x14ac:dyDescent="0.3">
      <c r="A83" s="239"/>
      <c r="B83" s="38" t="s">
        <v>13</v>
      </c>
      <c r="C83" s="54" t="s">
        <v>10</v>
      </c>
      <c r="D83" s="40">
        <f t="shared" ref="D83:O83" si="318">D7+D13+D19+D25+D31+D37+D43+D49+D55+D61+D67+D73</f>
        <v>464</v>
      </c>
      <c r="E83" s="40">
        <f t="shared" si="318"/>
        <v>29</v>
      </c>
      <c r="F83" s="40">
        <f t="shared" si="318"/>
        <v>15</v>
      </c>
      <c r="G83" s="40">
        <f t="shared" si="318"/>
        <v>230</v>
      </c>
      <c r="H83" s="40">
        <f t="shared" si="318"/>
        <v>365</v>
      </c>
      <c r="I83" s="40">
        <f t="shared" si="318"/>
        <v>19</v>
      </c>
      <c r="J83" s="40">
        <f t="shared" si="318"/>
        <v>13</v>
      </c>
      <c r="K83" s="40">
        <f t="shared" si="318"/>
        <v>296</v>
      </c>
      <c r="L83" s="40">
        <f t="shared" si="318"/>
        <v>0</v>
      </c>
      <c r="M83" s="40">
        <f t="shared" si="318"/>
        <v>0</v>
      </c>
      <c r="N83" s="40">
        <f t="shared" si="318"/>
        <v>0</v>
      </c>
      <c r="O83" s="141">
        <f t="shared" si="318"/>
        <v>0</v>
      </c>
      <c r="P83" s="29"/>
      <c r="Q83" s="239"/>
      <c r="R83" s="38" t="s">
        <v>13</v>
      </c>
      <c r="S83" s="54" t="s">
        <v>10</v>
      </c>
      <c r="T83" s="40">
        <f t="shared" ref="T83:AE83" si="319">T7+T13+T19+T25+T31+T37+T43+T49+T55+T61+T67+T73</f>
        <v>560</v>
      </c>
      <c r="U83" s="40">
        <f t="shared" si="319"/>
        <v>8</v>
      </c>
      <c r="V83" s="40">
        <f t="shared" si="319"/>
        <v>13</v>
      </c>
      <c r="W83" s="40">
        <f t="shared" si="319"/>
        <v>182</v>
      </c>
      <c r="X83" s="40">
        <f t="shared" si="319"/>
        <v>339</v>
      </c>
      <c r="Y83" s="40">
        <f t="shared" si="319"/>
        <v>0</v>
      </c>
      <c r="Z83" s="40">
        <f t="shared" si="319"/>
        <v>7</v>
      </c>
      <c r="AA83" s="40">
        <f t="shared" si="319"/>
        <v>113</v>
      </c>
      <c r="AB83" s="40">
        <f t="shared" si="319"/>
        <v>8</v>
      </c>
      <c r="AC83" s="40">
        <f t="shared" si="319"/>
        <v>0</v>
      </c>
      <c r="AD83" s="40">
        <f t="shared" si="319"/>
        <v>0</v>
      </c>
      <c r="AE83" s="141">
        <f t="shared" si="319"/>
        <v>3</v>
      </c>
      <c r="AF83" s="29"/>
      <c r="AG83" s="239"/>
      <c r="AH83" s="38" t="s">
        <v>13</v>
      </c>
      <c r="AI83" s="54" t="s">
        <v>10</v>
      </c>
      <c r="AJ83" s="40">
        <f t="shared" ref="AJ83:AU83" si="320">AJ7+AJ13+AJ19+AJ25+AJ31+AJ37+AJ43+AJ49+AJ55+AJ61+AJ67+AJ73</f>
        <v>552</v>
      </c>
      <c r="AK83" s="40">
        <f t="shared" si="320"/>
        <v>0</v>
      </c>
      <c r="AL83" s="40">
        <f t="shared" si="320"/>
        <v>3</v>
      </c>
      <c r="AM83" s="40">
        <f t="shared" si="320"/>
        <v>114</v>
      </c>
      <c r="AN83" s="40">
        <f t="shared" si="320"/>
        <v>215</v>
      </c>
      <c r="AO83" s="40">
        <f t="shared" si="320"/>
        <v>0</v>
      </c>
      <c r="AP83" s="40">
        <f t="shared" si="320"/>
        <v>5</v>
      </c>
      <c r="AQ83" s="40">
        <f t="shared" si="320"/>
        <v>89</v>
      </c>
      <c r="AR83" s="40">
        <f t="shared" si="320"/>
        <v>8</v>
      </c>
      <c r="AS83" s="40">
        <f t="shared" si="320"/>
        <v>0</v>
      </c>
      <c r="AT83" s="40">
        <f t="shared" si="320"/>
        <v>0</v>
      </c>
      <c r="AU83" s="141">
        <f t="shared" si="320"/>
        <v>8</v>
      </c>
      <c r="AV83" s="29"/>
      <c r="AW83" s="239"/>
      <c r="AX83" s="38" t="s">
        <v>13</v>
      </c>
      <c r="AY83" s="54" t="s">
        <v>10</v>
      </c>
      <c r="AZ83" s="40">
        <f t="shared" ref="AZ83:BK83" si="321">AZ7+AZ13+AZ19+AZ25+AZ31+AZ37+AZ43+AZ49+AZ55+AZ61+AZ67+AZ73</f>
        <v>759</v>
      </c>
      <c r="BA83" s="40">
        <f t="shared" si="321"/>
        <v>15</v>
      </c>
      <c r="BB83" s="40">
        <f t="shared" si="321"/>
        <v>23</v>
      </c>
      <c r="BC83" s="40">
        <f t="shared" si="321"/>
        <v>278</v>
      </c>
      <c r="BD83" s="40">
        <f t="shared" si="321"/>
        <v>435</v>
      </c>
      <c r="BE83" s="40">
        <f t="shared" si="321"/>
        <v>8</v>
      </c>
      <c r="BF83" s="40">
        <f t="shared" si="321"/>
        <v>20</v>
      </c>
      <c r="BG83" s="40">
        <f t="shared" si="321"/>
        <v>241</v>
      </c>
      <c r="BH83" s="40">
        <f t="shared" si="321"/>
        <v>8</v>
      </c>
      <c r="BI83" s="40">
        <f t="shared" si="321"/>
        <v>0</v>
      </c>
      <c r="BJ83" s="40">
        <f t="shared" si="321"/>
        <v>0</v>
      </c>
      <c r="BK83" s="141">
        <f t="shared" si="321"/>
        <v>4</v>
      </c>
      <c r="BL83" s="29"/>
      <c r="BM83" s="239"/>
      <c r="BN83" s="38" t="s">
        <v>13</v>
      </c>
      <c r="BO83" s="54" t="s">
        <v>10</v>
      </c>
      <c r="BP83" s="40">
        <f t="shared" ref="BP83:CA83" si="322">BP7+BP13+BP19+BP25+BP31+BP37+BP43+BP49+BP55+BP61+BP67+BP73</f>
        <v>526</v>
      </c>
      <c r="BQ83" s="40">
        <f t="shared" si="322"/>
        <v>2</v>
      </c>
      <c r="BR83" s="40">
        <f t="shared" si="322"/>
        <v>13</v>
      </c>
      <c r="BS83" s="40">
        <f t="shared" si="322"/>
        <v>110</v>
      </c>
      <c r="BT83" s="40">
        <f t="shared" si="322"/>
        <v>383</v>
      </c>
      <c r="BU83" s="40">
        <f t="shared" si="322"/>
        <v>5</v>
      </c>
      <c r="BV83" s="40">
        <f t="shared" si="322"/>
        <v>7</v>
      </c>
      <c r="BW83" s="40">
        <f t="shared" si="322"/>
        <v>99</v>
      </c>
      <c r="BX83" s="40">
        <f t="shared" si="322"/>
        <v>20</v>
      </c>
      <c r="BY83" s="40">
        <f t="shared" si="322"/>
        <v>0</v>
      </c>
      <c r="BZ83" s="40">
        <f t="shared" si="322"/>
        <v>0</v>
      </c>
      <c r="CA83" s="141">
        <f t="shared" si="322"/>
        <v>7</v>
      </c>
      <c r="CB83" s="29"/>
      <c r="CC83" s="239"/>
      <c r="CD83" s="38" t="s">
        <v>13</v>
      </c>
      <c r="CE83" s="54" t="s">
        <v>10</v>
      </c>
      <c r="CF83" s="40">
        <f t="shared" ref="CF83:CQ83" si="323">CF7+CF13+CF19+CF25+CF31+CF37+CF43+CF49+CF55+CF61+CF67+CF73</f>
        <v>227</v>
      </c>
      <c r="CG83" s="40">
        <f t="shared" si="323"/>
        <v>5</v>
      </c>
      <c r="CH83" s="40">
        <f t="shared" si="323"/>
        <v>27</v>
      </c>
      <c r="CI83" s="40">
        <f t="shared" si="323"/>
        <v>138</v>
      </c>
      <c r="CJ83" s="40">
        <f t="shared" si="323"/>
        <v>143</v>
      </c>
      <c r="CK83" s="40">
        <f t="shared" si="323"/>
        <v>4</v>
      </c>
      <c r="CL83" s="40">
        <f t="shared" si="323"/>
        <v>13</v>
      </c>
      <c r="CM83" s="40">
        <f t="shared" si="323"/>
        <v>121</v>
      </c>
      <c r="CN83" s="40">
        <f t="shared" si="323"/>
        <v>1</v>
      </c>
      <c r="CO83" s="40">
        <f t="shared" si="323"/>
        <v>0</v>
      </c>
      <c r="CP83" s="40">
        <f t="shared" si="323"/>
        <v>0</v>
      </c>
      <c r="CQ83" s="141">
        <f t="shared" si="323"/>
        <v>0</v>
      </c>
      <c r="CR83" s="29"/>
      <c r="CS83" s="239"/>
      <c r="CT83" s="38" t="s">
        <v>13</v>
      </c>
      <c r="CU83" s="54" t="s">
        <v>10</v>
      </c>
      <c r="CV83" s="40">
        <f t="shared" ref="CV83:DG83" si="324">CV7+CV13+CV19+CV25+CV31+CV37+CV43+CV49+CV55+CV61+CV67+CV73</f>
        <v>612</v>
      </c>
      <c r="CW83" s="40">
        <f t="shared" si="324"/>
        <v>8</v>
      </c>
      <c r="CX83" s="40">
        <f t="shared" si="324"/>
        <v>3</v>
      </c>
      <c r="CY83" s="40">
        <f t="shared" si="324"/>
        <v>182</v>
      </c>
      <c r="CZ83" s="40">
        <f t="shared" si="324"/>
        <v>384</v>
      </c>
      <c r="DA83" s="40">
        <f t="shared" si="324"/>
        <v>0</v>
      </c>
      <c r="DB83" s="40">
        <f t="shared" si="324"/>
        <v>4</v>
      </c>
      <c r="DC83" s="40">
        <f t="shared" si="324"/>
        <v>126</v>
      </c>
      <c r="DD83" s="40">
        <f t="shared" si="324"/>
        <v>5</v>
      </c>
      <c r="DE83" s="40">
        <f t="shared" si="324"/>
        <v>5</v>
      </c>
      <c r="DF83" s="40">
        <f t="shared" si="324"/>
        <v>0</v>
      </c>
      <c r="DG83" s="141">
        <f t="shared" si="324"/>
        <v>3</v>
      </c>
      <c r="DH83" s="29"/>
      <c r="DI83" s="239"/>
      <c r="DJ83" s="38" t="s">
        <v>13</v>
      </c>
      <c r="DK83" s="54" t="s">
        <v>10</v>
      </c>
      <c r="DL83" s="40">
        <f t="shared" ref="DL83:DW83" si="325">DL7+DL13+DL19+DL25+DL31+DL37+DL43+DL49+DL55+DL61+DL67+DL73</f>
        <v>606</v>
      </c>
      <c r="DM83" s="40">
        <f t="shared" si="325"/>
        <v>4</v>
      </c>
      <c r="DN83" s="40">
        <f t="shared" si="325"/>
        <v>40</v>
      </c>
      <c r="DO83" s="40">
        <f t="shared" si="325"/>
        <v>247</v>
      </c>
      <c r="DP83" s="40">
        <f t="shared" si="325"/>
        <v>417</v>
      </c>
      <c r="DQ83" s="40">
        <f t="shared" si="325"/>
        <v>2</v>
      </c>
      <c r="DR83" s="40">
        <f t="shared" si="325"/>
        <v>8</v>
      </c>
      <c r="DS83" s="40">
        <f t="shared" si="325"/>
        <v>234</v>
      </c>
      <c r="DT83" s="40">
        <f t="shared" si="325"/>
        <v>14</v>
      </c>
      <c r="DU83" s="40">
        <f t="shared" si="325"/>
        <v>0</v>
      </c>
      <c r="DV83" s="40">
        <f t="shared" si="325"/>
        <v>0</v>
      </c>
      <c r="DW83" s="141">
        <f t="shared" si="325"/>
        <v>7</v>
      </c>
      <c r="DX83" s="29"/>
      <c r="DY83" s="239"/>
      <c r="DZ83" s="38" t="s">
        <v>13</v>
      </c>
      <c r="EA83" s="54" t="s">
        <v>10</v>
      </c>
      <c r="EB83" s="40">
        <f t="shared" ref="EB83:EM83" si="326">EB7+EB13+EB19+EB25+EB31+EB37+EB43+EB49+EB55+EB61+EB67+EB73</f>
        <v>343</v>
      </c>
      <c r="EC83" s="40">
        <f t="shared" si="326"/>
        <v>4</v>
      </c>
      <c r="ED83" s="40">
        <f t="shared" si="326"/>
        <v>0</v>
      </c>
      <c r="EE83" s="40">
        <f t="shared" si="326"/>
        <v>104</v>
      </c>
      <c r="EF83" s="40">
        <f t="shared" si="326"/>
        <v>897</v>
      </c>
      <c r="EG83" s="40">
        <f t="shared" si="326"/>
        <v>6</v>
      </c>
      <c r="EH83" s="40">
        <f t="shared" si="326"/>
        <v>0</v>
      </c>
      <c r="EI83" s="40">
        <f t="shared" si="326"/>
        <v>7</v>
      </c>
      <c r="EJ83" s="40">
        <f t="shared" si="326"/>
        <v>13</v>
      </c>
      <c r="EK83" s="40">
        <f t="shared" si="326"/>
        <v>0</v>
      </c>
      <c r="EL83" s="40">
        <f t="shared" si="326"/>
        <v>0</v>
      </c>
      <c r="EM83" s="141">
        <f t="shared" si="326"/>
        <v>5</v>
      </c>
      <c r="EN83" s="29"/>
      <c r="EO83" s="239"/>
      <c r="EP83" s="38" t="s">
        <v>13</v>
      </c>
      <c r="EQ83" s="54" t="s">
        <v>10</v>
      </c>
      <c r="ER83" s="40">
        <f t="shared" ref="ER83:FC83" si="327">ER7+ER13+ER19+ER25+ER31+ER37+ER43+ER49+ER55+ER61+ER67+ER73</f>
        <v>211</v>
      </c>
      <c r="ES83" s="40">
        <f t="shared" si="327"/>
        <v>2</v>
      </c>
      <c r="ET83" s="40">
        <f t="shared" si="327"/>
        <v>0</v>
      </c>
      <c r="EU83" s="40">
        <f t="shared" si="327"/>
        <v>80</v>
      </c>
      <c r="EV83" s="40">
        <f t="shared" si="327"/>
        <v>845</v>
      </c>
      <c r="EW83" s="40">
        <f t="shared" si="327"/>
        <v>4</v>
      </c>
      <c r="EX83" s="40">
        <f t="shared" si="327"/>
        <v>0</v>
      </c>
      <c r="EY83" s="40">
        <f t="shared" si="327"/>
        <v>2</v>
      </c>
      <c r="EZ83" s="40">
        <f t="shared" si="327"/>
        <v>13</v>
      </c>
      <c r="FA83" s="40">
        <f t="shared" si="327"/>
        <v>0</v>
      </c>
      <c r="FB83" s="40">
        <f t="shared" si="327"/>
        <v>0</v>
      </c>
      <c r="FC83" s="141">
        <f t="shared" si="327"/>
        <v>0</v>
      </c>
      <c r="FD83" s="29"/>
      <c r="FE83" s="239"/>
      <c r="FF83" s="38" t="s">
        <v>13</v>
      </c>
      <c r="FG83" s="54" t="s">
        <v>10</v>
      </c>
      <c r="FH83" s="40">
        <f t="shared" ref="FH83:FS83" si="328">FH7+FH13+FH19+FH25+FH31+FH37+FH43+FH49+FH55+FH61+FH67+FH73</f>
        <v>0</v>
      </c>
      <c r="FI83" s="40">
        <f t="shared" si="328"/>
        <v>0</v>
      </c>
      <c r="FJ83" s="40">
        <f t="shared" si="328"/>
        <v>0</v>
      </c>
      <c r="FK83" s="40">
        <f t="shared" si="328"/>
        <v>0</v>
      </c>
      <c r="FL83" s="40">
        <f t="shared" si="328"/>
        <v>0</v>
      </c>
      <c r="FM83" s="40">
        <f t="shared" si="328"/>
        <v>0</v>
      </c>
      <c r="FN83" s="40">
        <f t="shared" si="328"/>
        <v>0</v>
      </c>
      <c r="FO83" s="40">
        <f t="shared" si="328"/>
        <v>0</v>
      </c>
      <c r="FP83" s="40">
        <f t="shared" si="328"/>
        <v>0</v>
      </c>
      <c r="FQ83" s="40">
        <f t="shared" si="328"/>
        <v>0</v>
      </c>
      <c r="FR83" s="40">
        <f t="shared" si="328"/>
        <v>0</v>
      </c>
      <c r="FS83" s="141">
        <f t="shared" si="328"/>
        <v>0</v>
      </c>
      <c r="FT83" s="29"/>
      <c r="FU83" s="239"/>
      <c r="FV83" s="38" t="s">
        <v>13</v>
      </c>
      <c r="FW83" s="54" t="s">
        <v>10</v>
      </c>
      <c r="FX83" s="40">
        <f t="shared" ref="FX83:GI83" si="329">FX7+FX13+FX19+FX25+FX31+FX37+FX43+FX49+FX55+FX61+FX67+FX73</f>
        <v>0</v>
      </c>
      <c r="FY83" s="40">
        <f t="shared" si="329"/>
        <v>0</v>
      </c>
      <c r="FZ83" s="40">
        <f t="shared" si="329"/>
        <v>0</v>
      </c>
      <c r="GA83" s="40">
        <f t="shared" si="329"/>
        <v>0</v>
      </c>
      <c r="GB83" s="40">
        <f t="shared" si="329"/>
        <v>0</v>
      </c>
      <c r="GC83" s="40">
        <f t="shared" si="329"/>
        <v>0</v>
      </c>
      <c r="GD83" s="40">
        <f t="shared" si="329"/>
        <v>0</v>
      </c>
      <c r="GE83" s="40">
        <f t="shared" si="329"/>
        <v>0</v>
      </c>
      <c r="GF83" s="40">
        <f t="shared" si="329"/>
        <v>0</v>
      </c>
      <c r="GG83" s="40">
        <f t="shared" si="329"/>
        <v>0</v>
      </c>
      <c r="GH83" s="40">
        <f t="shared" si="329"/>
        <v>0</v>
      </c>
      <c r="GI83" s="141">
        <f t="shared" si="329"/>
        <v>0</v>
      </c>
      <c r="GJ83" s="29"/>
      <c r="GK83" s="242"/>
      <c r="GL83" s="44" t="s">
        <v>13</v>
      </c>
      <c r="GM83" s="55" t="s">
        <v>10</v>
      </c>
      <c r="GN83" s="40">
        <f t="shared" ref="GN83:GY83" si="330">GN7+GN13+GN19+GN25+GN31+GN37+GN43+GN49+GN55+GN61+GN67+GN73</f>
        <v>0</v>
      </c>
      <c r="GO83" s="40">
        <f t="shared" si="330"/>
        <v>77</v>
      </c>
      <c r="GP83" s="40">
        <f t="shared" si="330"/>
        <v>137</v>
      </c>
      <c r="GQ83" s="40">
        <f t="shared" si="330"/>
        <v>1665</v>
      </c>
      <c r="GR83" s="40">
        <f t="shared" si="330"/>
        <v>0</v>
      </c>
      <c r="GS83" s="40">
        <f t="shared" si="330"/>
        <v>48</v>
      </c>
      <c r="GT83" s="40">
        <f t="shared" si="330"/>
        <v>77</v>
      </c>
      <c r="GU83" s="40">
        <f t="shared" si="330"/>
        <v>1328</v>
      </c>
      <c r="GV83" s="40">
        <f t="shared" si="330"/>
        <v>0</v>
      </c>
      <c r="GW83" s="40">
        <f t="shared" si="330"/>
        <v>5</v>
      </c>
      <c r="GX83" s="40">
        <f t="shared" si="330"/>
        <v>0</v>
      </c>
      <c r="GY83" s="40">
        <f t="shared" si="330"/>
        <v>37</v>
      </c>
      <c r="GZ83" s="95"/>
      <c r="HA83" s="31"/>
      <c r="HN83" s="31"/>
    </row>
    <row r="84" spans="1:222" ht="15" customHeight="1" thickBot="1" x14ac:dyDescent="0.3">
      <c r="A84" s="239"/>
      <c r="B84" s="46" t="s">
        <v>11</v>
      </c>
      <c r="C84" s="56" t="s">
        <v>12</v>
      </c>
      <c r="D84" s="40">
        <f t="shared" ref="D84:O84" si="331">D8+D14+D20+D26+D32+D38+D44+D50+D56+D62+D68+D74</f>
        <v>1180</v>
      </c>
      <c r="E84" s="40">
        <f t="shared" si="331"/>
        <v>6</v>
      </c>
      <c r="F84" s="40">
        <f t="shared" si="331"/>
        <v>2</v>
      </c>
      <c r="G84" s="40">
        <f t="shared" si="331"/>
        <v>95</v>
      </c>
      <c r="H84" s="40">
        <f t="shared" si="331"/>
        <v>226</v>
      </c>
      <c r="I84" s="40">
        <f t="shared" si="331"/>
        <v>4</v>
      </c>
      <c r="J84" s="40">
        <f t="shared" si="331"/>
        <v>7</v>
      </c>
      <c r="K84" s="40">
        <f t="shared" si="331"/>
        <v>87</v>
      </c>
      <c r="L84" s="40">
        <f t="shared" si="331"/>
        <v>2</v>
      </c>
      <c r="M84" s="40">
        <f t="shared" si="331"/>
        <v>0</v>
      </c>
      <c r="N84" s="40">
        <f t="shared" si="331"/>
        <v>0</v>
      </c>
      <c r="O84" s="141">
        <f t="shared" si="331"/>
        <v>0</v>
      </c>
      <c r="P84" s="29"/>
      <c r="Q84" s="239"/>
      <c r="R84" s="46" t="s">
        <v>11</v>
      </c>
      <c r="S84" s="56" t="s">
        <v>12</v>
      </c>
      <c r="T84" s="40">
        <f t="shared" ref="T84:AE84" si="332">T8+T14+T20+T26+T32+T38+T44+T50+T56+T62+T68+T74</f>
        <v>1213</v>
      </c>
      <c r="U84" s="40">
        <f t="shared" si="332"/>
        <v>0</v>
      </c>
      <c r="V84" s="40">
        <f t="shared" si="332"/>
        <v>4</v>
      </c>
      <c r="W84" s="40">
        <f t="shared" si="332"/>
        <v>95</v>
      </c>
      <c r="X84" s="40">
        <f t="shared" si="332"/>
        <v>203</v>
      </c>
      <c r="Y84" s="40">
        <f t="shared" si="332"/>
        <v>0</v>
      </c>
      <c r="Z84" s="40">
        <f t="shared" si="332"/>
        <v>5</v>
      </c>
      <c r="AA84" s="40">
        <f t="shared" si="332"/>
        <v>50</v>
      </c>
      <c r="AB84" s="40">
        <f t="shared" si="332"/>
        <v>5</v>
      </c>
      <c r="AC84" s="40">
        <f t="shared" si="332"/>
        <v>0</v>
      </c>
      <c r="AD84" s="40">
        <f t="shared" si="332"/>
        <v>0</v>
      </c>
      <c r="AE84" s="141">
        <f t="shared" si="332"/>
        <v>0</v>
      </c>
      <c r="AF84" s="29"/>
      <c r="AG84" s="239"/>
      <c r="AH84" s="46" t="s">
        <v>11</v>
      </c>
      <c r="AI84" s="56" t="s">
        <v>12</v>
      </c>
      <c r="AJ84" s="40">
        <f t="shared" ref="AJ84:AU84" si="333">AJ8+AJ14+AJ20+AJ26+AJ32+AJ38+AJ44+AJ50+AJ56+AJ62+AJ68+AJ74</f>
        <v>1198</v>
      </c>
      <c r="AK84" s="40">
        <f t="shared" si="333"/>
        <v>3</v>
      </c>
      <c r="AL84" s="40">
        <f t="shared" si="333"/>
        <v>6</v>
      </c>
      <c r="AM84" s="40">
        <f t="shared" si="333"/>
        <v>94</v>
      </c>
      <c r="AN84" s="40">
        <f t="shared" si="333"/>
        <v>199</v>
      </c>
      <c r="AO84" s="40">
        <f t="shared" si="333"/>
        <v>2</v>
      </c>
      <c r="AP84" s="40">
        <f t="shared" si="333"/>
        <v>6</v>
      </c>
      <c r="AQ84" s="40">
        <f t="shared" si="333"/>
        <v>61</v>
      </c>
      <c r="AR84" s="40">
        <f t="shared" si="333"/>
        <v>6</v>
      </c>
      <c r="AS84" s="40">
        <f t="shared" si="333"/>
        <v>0</v>
      </c>
      <c r="AT84" s="40">
        <f t="shared" si="333"/>
        <v>0</v>
      </c>
      <c r="AU84" s="141">
        <f t="shared" si="333"/>
        <v>5</v>
      </c>
      <c r="AV84" s="29"/>
      <c r="AW84" s="239"/>
      <c r="AX84" s="46" t="s">
        <v>11</v>
      </c>
      <c r="AY84" s="56" t="s">
        <v>12</v>
      </c>
      <c r="AZ84" s="40">
        <f t="shared" ref="AZ84:BK84" si="334">AZ8+AZ14+AZ20+AZ26+AZ32+AZ38+AZ44+AZ50+AZ56+AZ62+AZ68+AZ74</f>
        <v>1286</v>
      </c>
      <c r="BA84" s="40">
        <f t="shared" si="334"/>
        <v>8</v>
      </c>
      <c r="BB84" s="40">
        <f t="shared" si="334"/>
        <v>17</v>
      </c>
      <c r="BC84" s="40">
        <f t="shared" si="334"/>
        <v>140</v>
      </c>
      <c r="BD84" s="40">
        <f t="shared" si="334"/>
        <v>328</v>
      </c>
      <c r="BE84" s="40">
        <f t="shared" si="334"/>
        <v>2</v>
      </c>
      <c r="BF84" s="40">
        <f t="shared" si="334"/>
        <v>15</v>
      </c>
      <c r="BG84" s="40">
        <f t="shared" si="334"/>
        <v>131</v>
      </c>
      <c r="BH84" s="40">
        <f t="shared" si="334"/>
        <v>5</v>
      </c>
      <c r="BI84" s="40">
        <f t="shared" si="334"/>
        <v>0</v>
      </c>
      <c r="BJ84" s="40">
        <f t="shared" si="334"/>
        <v>0</v>
      </c>
      <c r="BK84" s="141">
        <f t="shared" si="334"/>
        <v>6</v>
      </c>
      <c r="BL84" s="29"/>
      <c r="BM84" s="239"/>
      <c r="BN84" s="46" t="s">
        <v>11</v>
      </c>
      <c r="BO84" s="56" t="s">
        <v>12</v>
      </c>
      <c r="BP84" s="40">
        <f t="shared" ref="BP84:CA84" si="335">BP8+BP14+BP20+BP26+BP32+BP38+BP44+BP50+BP56+BP62+BP68+BP74</f>
        <v>1260</v>
      </c>
      <c r="BQ84" s="40">
        <f t="shared" si="335"/>
        <v>3</v>
      </c>
      <c r="BR84" s="40">
        <f t="shared" si="335"/>
        <v>5</v>
      </c>
      <c r="BS84" s="40">
        <f t="shared" si="335"/>
        <v>64</v>
      </c>
      <c r="BT84" s="40">
        <f t="shared" si="335"/>
        <v>399</v>
      </c>
      <c r="BU84" s="40">
        <f t="shared" si="335"/>
        <v>1</v>
      </c>
      <c r="BV84" s="40">
        <f t="shared" si="335"/>
        <v>3</v>
      </c>
      <c r="BW84" s="40">
        <f t="shared" si="335"/>
        <v>58</v>
      </c>
      <c r="BX84" s="40">
        <f t="shared" si="335"/>
        <v>10</v>
      </c>
      <c r="BY84" s="40">
        <f t="shared" si="335"/>
        <v>0</v>
      </c>
      <c r="BZ84" s="40">
        <f t="shared" si="335"/>
        <v>0</v>
      </c>
      <c r="CA84" s="141">
        <f t="shared" si="335"/>
        <v>5</v>
      </c>
      <c r="CB84" s="29"/>
      <c r="CC84" s="239"/>
      <c r="CD84" s="46" t="s">
        <v>11</v>
      </c>
      <c r="CE84" s="56" t="s">
        <v>12</v>
      </c>
      <c r="CF84" s="40">
        <f t="shared" ref="CF84:CQ84" si="336">CF8+CF14+CF20+CF26+CF32+CF38+CF44+CF50+CF56+CF62+CF68+CF74</f>
        <v>136</v>
      </c>
      <c r="CG84" s="40">
        <f t="shared" si="336"/>
        <v>7</v>
      </c>
      <c r="CH84" s="40">
        <f t="shared" si="336"/>
        <v>13</v>
      </c>
      <c r="CI84" s="40">
        <f t="shared" si="336"/>
        <v>71</v>
      </c>
      <c r="CJ84" s="40">
        <f t="shared" si="336"/>
        <v>158</v>
      </c>
      <c r="CK84" s="40">
        <f t="shared" si="336"/>
        <v>1</v>
      </c>
      <c r="CL84" s="40">
        <f t="shared" si="336"/>
        <v>14</v>
      </c>
      <c r="CM84" s="40">
        <f t="shared" si="336"/>
        <v>74</v>
      </c>
      <c r="CN84" s="40">
        <f t="shared" si="336"/>
        <v>2</v>
      </c>
      <c r="CO84" s="40">
        <f t="shared" si="336"/>
        <v>0</v>
      </c>
      <c r="CP84" s="40">
        <f t="shared" si="336"/>
        <v>0</v>
      </c>
      <c r="CQ84" s="141">
        <f t="shared" si="336"/>
        <v>0</v>
      </c>
      <c r="CR84" s="29"/>
      <c r="CS84" s="239"/>
      <c r="CT84" s="46" t="s">
        <v>11</v>
      </c>
      <c r="CU84" s="56" t="s">
        <v>12</v>
      </c>
      <c r="CV84" s="40">
        <f t="shared" ref="CV84:DG84" si="337">CV8+CV14+CV20+CV26+CV32+CV38+CV44+CV50+CV56+CV62+CV68+CV74</f>
        <v>1279</v>
      </c>
      <c r="CW84" s="40">
        <f t="shared" si="337"/>
        <v>0</v>
      </c>
      <c r="CX84" s="40">
        <f t="shared" si="337"/>
        <v>1</v>
      </c>
      <c r="CY84" s="40">
        <f t="shared" si="337"/>
        <v>127</v>
      </c>
      <c r="CZ84" s="40">
        <f t="shared" si="337"/>
        <v>403</v>
      </c>
      <c r="DA84" s="40">
        <f t="shared" si="337"/>
        <v>0</v>
      </c>
      <c r="DB84" s="40">
        <f t="shared" si="337"/>
        <v>1</v>
      </c>
      <c r="DC84" s="40">
        <f t="shared" si="337"/>
        <v>88</v>
      </c>
      <c r="DD84" s="40">
        <f t="shared" si="337"/>
        <v>4</v>
      </c>
      <c r="DE84" s="40">
        <f t="shared" si="337"/>
        <v>2</v>
      </c>
      <c r="DF84" s="40">
        <f t="shared" si="337"/>
        <v>0</v>
      </c>
      <c r="DG84" s="141">
        <f t="shared" si="337"/>
        <v>5</v>
      </c>
      <c r="DH84" s="29"/>
      <c r="DI84" s="239"/>
      <c r="DJ84" s="46" t="s">
        <v>11</v>
      </c>
      <c r="DK84" s="56" t="s">
        <v>12</v>
      </c>
      <c r="DL84" s="40">
        <f t="shared" ref="DL84:DW84" si="338">DL8+DL14+DL20+DL26+DL32+DL38+DL44+DL50+DL56+DL62+DL68+DL74</f>
        <v>1175</v>
      </c>
      <c r="DM84" s="40">
        <f t="shared" si="338"/>
        <v>3</v>
      </c>
      <c r="DN84" s="40">
        <f t="shared" si="338"/>
        <v>12</v>
      </c>
      <c r="DO84" s="40">
        <f t="shared" si="338"/>
        <v>226</v>
      </c>
      <c r="DP84" s="40">
        <f t="shared" si="338"/>
        <v>218</v>
      </c>
      <c r="DQ84" s="40">
        <f t="shared" si="338"/>
        <v>4</v>
      </c>
      <c r="DR84" s="40">
        <f t="shared" si="338"/>
        <v>12</v>
      </c>
      <c r="DS84" s="40">
        <f t="shared" si="338"/>
        <v>174</v>
      </c>
      <c r="DT84" s="40">
        <f t="shared" si="338"/>
        <v>5</v>
      </c>
      <c r="DU84" s="40">
        <f t="shared" si="338"/>
        <v>0</v>
      </c>
      <c r="DV84" s="40">
        <f t="shared" si="338"/>
        <v>0</v>
      </c>
      <c r="DW84" s="141">
        <f t="shared" si="338"/>
        <v>4</v>
      </c>
      <c r="DX84" s="29"/>
      <c r="DY84" s="239"/>
      <c r="DZ84" s="46" t="s">
        <v>11</v>
      </c>
      <c r="EA84" s="56" t="s">
        <v>12</v>
      </c>
      <c r="EB84" s="40">
        <f t="shared" ref="EB84:EM84" si="339">EB8+EB14+EB20+EB26+EB32+EB38+EB44+EB50+EB56+EB62+EB68+EB74</f>
        <v>388</v>
      </c>
      <c r="EC84" s="40">
        <f t="shared" si="339"/>
        <v>4</v>
      </c>
      <c r="ED84" s="40">
        <f t="shared" si="339"/>
        <v>0</v>
      </c>
      <c r="EE84" s="40">
        <f t="shared" si="339"/>
        <v>89</v>
      </c>
      <c r="EF84" s="40">
        <f t="shared" si="339"/>
        <v>231</v>
      </c>
      <c r="EG84" s="40">
        <f t="shared" si="339"/>
        <v>6</v>
      </c>
      <c r="EH84" s="40">
        <f t="shared" si="339"/>
        <v>0</v>
      </c>
      <c r="EI84" s="40">
        <f t="shared" si="339"/>
        <v>11</v>
      </c>
      <c r="EJ84" s="40">
        <f t="shared" si="339"/>
        <v>16</v>
      </c>
      <c r="EK84" s="40">
        <f t="shared" si="339"/>
        <v>1</v>
      </c>
      <c r="EL84" s="40">
        <f t="shared" si="339"/>
        <v>0</v>
      </c>
      <c r="EM84" s="141">
        <f t="shared" si="339"/>
        <v>4</v>
      </c>
      <c r="EN84" s="29"/>
      <c r="EO84" s="239"/>
      <c r="EP84" s="46" t="s">
        <v>11</v>
      </c>
      <c r="EQ84" s="56" t="s">
        <v>12</v>
      </c>
      <c r="ER84" s="40">
        <f t="shared" ref="ER84:FC84" si="340">ER8+ER14+ER20+ER26+ER32+ER38+ER44+ER50+ER56+ER62+ER68+ER74</f>
        <v>304</v>
      </c>
      <c r="ES84" s="40">
        <f t="shared" si="340"/>
        <v>2</v>
      </c>
      <c r="ET84" s="40">
        <f t="shared" si="340"/>
        <v>0</v>
      </c>
      <c r="EU84" s="40">
        <f t="shared" si="340"/>
        <v>59</v>
      </c>
      <c r="EV84" s="40">
        <f t="shared" si="340"/>
        <v>181</v>
      </c>
      <c r="EW84" s="40">
        <f t="shared" si="340"/>
        <v>3</v>
      </c>
      <c r="EX84" s="40">
        <f t="shared" si="340"/>
        <v>0</v>
      </c>
      <c r="EY84" s="40">
        <f t="shared" si="340"/>
        <v>5</v>
      </c>
      <c r="EZ84" s="40">
        <f t="shared" si="340"/>
        <v>14</v>
      </c>
      <c r="FA84" s="40">
        <f t="shared" si="340"/>
        <v>1</v>
      </c>
      <c r="FB84" s="40">
        <f t="shared" si="340"/>
        <v>0</v>
      </c>
      <c r="FC84" s="141">
        <f t="shared" si="340"/>
        <v>0</v>
      </c>
      <c r="FD84" s="29"/>
      <c r="FE84" s="239"/>
      <c r="FF84" s="46" t="s">
        <v>11</v>
      </c>
      <c r="FG84" s="56" t="s">
        <v>12</v>
      </c>
      <c r="FH84" s="40">
        <f t="shared" ref="FH84:FS84" si="341">FH8+FH14+FH20+FH26+FH32+FH38+FH44+FH50+FH56+FH62+FH68+FH74</f>
        <v>0</v>
      </c>
      <c r="FI84" s="40">
        <f t="shared" si="341"/>
        <v>0</v>
      </c>
      <c r="FJ84" s="40">
        <f t="shared" si="341"/>
        <v>0</v>
      </c>
      <c r="FK84" s="40">
        <f t="shared" si="341"/>
        <v>0</v>
      </c>
      <c r="FL84" s="40">
        <f t="shared" si="341"/>
        <v>0</v>
      </c>
      <c r="FM84" s="40">
        <f t="shared" si="341"/>
        <v>0</v>
      </c>
      <c r="FN84" s="40">
        <f t="shared" si="341"/>
        <v>0</v>
      </c>
      <c r="FO84" s="40">
        <f t="shared" si="341"/>
        <v>0</v>
      </c>
      <c r="FP84" s="40">
        <f t="shared" si="341"/>
        <v>0</v>
      </c>
      <c r="FQ84" s="40">
        <f t="shared" si="341"/>
        <v>0</v>
      </c>
      <c r="FR84" s="40">
        <f t="shared" si="341"/>
        <v>0</v>
      </c>
      <c r="FS84" s="141">
        <f t="shared" si="341"/>
        <v>0</v>
      </c>
      <c r="FT84" s="29"/>
      <c r="FU84" s="239"/>
      <c r="FV84" s="46" t="s">
        <v>11</v>
      </c>
      <c r="FW84" s="56" t="s">
        <v>12</v>
      </c>
      <c r="FX84" s="40">
        <f t="shared" ref="FX84:GI84" si="342">FX8+FX14+FX20+FX26+FX32+FX38+FX44+FX50+FX56+FX62+FX68+FX74</f>
        <v>0</v>
      </c>
      <c r="FY84" s="40">
        <f t="shared" si="342"/>
        <v>0</v>
      </c>
      <c r="FZ84" s="40">
        <f t="shared" si="342"/>
        <v>0</v>
      </c>
      <c r="GA84" s="40">
        <f t="shared" si="342"/>
        <v>0</v>
      </c>
      <c r="GB84" s="40">
        <f t="shared" si="342"/>
        <v>0</v>
      </c>
      <c r="GC84" s="40">
        <f t="shared" si="342"/>
        <v>0</v>
      </c>
      <c r="GD84" s="40">
        <f t="shared" si="342"/>
        <v>0</v>
      </c>
      <c r="GE84" s="40">
        <f t="shared" si="342"/>
        <v>0</v>
      </c>
      <c r="GF84" s="40">
        <f t="shared" si="342"/>
        <v>0</v>
      </c>
      <c r="GG84" s="40">
        <f t="shared" si="342"/>
        <v>0</v>
      </c>
      <c r="GH84" s="40">
        <f t="shared" si="342"/>
        <v>0</v>
      </c>
      <c r="GI84" s="141">
        <f t="shared" si="342"/>
        <v>0</v>
      </c>
      <c r="GJ84" s="29"/>
      <c r="GK84" s="242"/>
      <c r="GL84" s="52" t="s">
        <v>11</v>
      </c>
      <c r="GM84" s="57" t="s">
        <v>12</v>
      </c>
      <c r="GN84" s="40">
        <f t="shared" ref="GN84:GY84" si="343">GN8+GN14+GN20+GN26+GN32+GN38+GN44+GN50+GN56+GN62+GN68+GN74</f>
        <v>0</v>
      </c>
      <c r="GO84" s="40">
        <f t="shared" si="343"/>
        <v>36</v>
      </c>
      <c r="GP84" s="40">
        <f t="shared" si="343"/>
        <v>60</v>
      </c>
      <c r="GQ84" s="40">
        <f t="shared" si="343"/>
        <v>1060</v>
      </c>
      <c r="GR84" s="40">
        <f t="shared" si="343"/>
        <v>0</v>
      </c>
      <c r="GS84" s="40">
        <f t="shared" si="343"/>
        <v>23</v>
      </c>
      <c r="GT84" s="40">
        <f t="shared" si="343"/>
        <v>63</v>
      </c>
      <c r="GU84" s="40">
        <f t="shared" si="343"/>
        <v>739</v>
      </c>
      <c r="GV84" s="40">
        <f t="shared" si="343"/>
        <v>0</v>
      </c>
      <c r="GW84" s="40">
        <f t="shared" si="343"/>
        <v>4</v>
      </c>
      <c r="GX84" s="40">
        <f t="shared" si="343"/>
        <v>0</v>
      </c>
      <c r="GY84" s="40">
        <f t="shared" si="343"/>
        <v>29</v>
      </c>
      <c r="GZ84" s="95"/>
      <c r="HA84" s="31"/>
      <c r="HN84" s="31"/>
    </row>
    <row r="85" spans="1:222" ht="15" customHeight="1" thickBot="1" x14ac:dyDescent="0.3">
      <c r="A85" s="239"/>
      <c r="B85" s="233" t="s">
        <v>14</v>
      </c>
      <c r="C85" s="234"/>
      <c r="D85" s="72">
        <f t="shared" ref="D85:G85" si="344">SUM(D81:D84)</f>
        <v>5345</v>
      </c>
      <c r="E85" s="73">
        <f t="shared" si="344"/>
        <v>102</v>
      </c>
      <c r="F85" s="74">
        <f t="shared" si="344"/>
        <v>175</v>
      </c>
      <c r="G85" s="74">
        <f t="shared" si="344"/>
        <v>2050</v>
      </c>
      <c r="H85" s="72">
        <f t="shared" ref="H85:O85" si="345">SUM(H81:H84)</f>
        <v>4429</v>
      </c>
      <c r="I85" s="73">
        <f t="shared" si="345"/>
        <v>61</v>
      </c>
      <c r="J85" s="74">
        <f t="shared" si="345"/>
        <v>107</v>
      </c>
      <c r="K85" s="74">
        <f t="shared" si="345"/>
        <v>1708</v>
      </c>
      <c r="L85" s="72">
        <f t="shared" si="345"/>
        <v>93</v>
      </c>
      <c r="M85" s="73">
        <f t="shared" si="345"/>
        <v>28</v>
      </c>
      <c r="N85" s="74">
        <f t="shared" si="345"/>
        <v>0</v>
      </c>
      <c r="O85" s="74">
        <f t="shared" si="345"/>
        <v>0</v>
      </c>
      <c r="P85" s="29"/>
      <c r="Q85" s="239"/>
      <c r="R85" s="233" t="s">
        <v>14</v>
      </c>
      <c r="S85" s="234"/>
      <c r="T85" s="72">
        <f t="shared" ref="T85:W85" si="346">SUM(T81:T84)</f>
        <v>5319</v>
      </c>
      <c r="U85" s="73">
        <f t="shared" si="346"/>
        <v>40</v>
      </c>
      <c r="V85" s="74">
        <f t="shared" si="346"/>
        <v>155</v>
      </c>
      <c r="W85" s="74">
        <f t="shared" si="346"/>
        <v>1473</v>
      </c>
      <c r="X85" s="72">
        <f t="shared" ref="X85:AE85" si="347">SUM(X81:X84)</f>
        <v>4043</v>
      </c>
      <c r="Y85" s="73">
        <f t="shared" si="347"/>
        <v>12</v>
      </c>
      <c r="Z85" s="74">
        <f t="shared" si="347"/>
        <v>113</v>
      </c>
      <c r="AA85" s="74">
        <f t="shared" si="347"/>
        <v>1094</v>
      </c>
      <c r="AB85" s="72">
        <f t="shared" si="347"/>
        <v>146</v>
      </c>
      <c r="AC85" s="73">
        <f t="shared" si="347"/>
        <v>3</v>
      </c>
      <c r="AD85" s="74">
        <f t="shared" si="347"/>
        <v>353</v>
      </c>
      <c r="AE85" s="74">
        <f t="shared" si="347"/>
        <v>48</v>
      </c>
      <c r="AF85" s="29"/>
      <c r="AG85" s="239"/>
      <c r="AH85" s="233" t="s">
        <v>14</v>
      </c>
      <c r="AI85" s="234"/>
      <c r="AJ85" s="72">
        <f t="shared" ref="AJ85:AM85" si="348">SUM(AJ81:AJ84)</f>
        <v>4798</v>
      </c>
      <c r="AK85" s="73">
        <f t="shared" si="348"/>
        <v>25</v>
      </c>
      <c r="AL85" s="74">
        <f t="shared" si="348"/>
        <v>53</v>
      </c>
      <c r="AM85" s="74">
        <f t="shared" si="348"/>
        <v>1474</v>
      </c>
      <c r="AN85" s="72">
        <f t="shared" ref="AN85:AU85" si="349">SUM(AN81:AN84)</f>
        <v>2884</v>
      </c>
      <c r="AO85" s="73">
        <f t="shared" si="349"/>
        <v>11</v>
      </c>
      <c r="AP85" s="74">
        <f t="shared" si="349"/>
        <v>60</v>
      </c>
      <c r="AQ85" s="74">
        <f t="shared" si="349"/>
        <v>1120</v>
      </c>
      <c r="AR85" s="72">
        <f t="shared" si="349"/>
        <v>175</v>
      </c>
      <c r="AS85" s="73">
        <f t="shared" si="349"/>
        <v>2</v>
      </c>
      <c r="AT85" s="74">
        <f t="shared" si="349"/>
        <v>0</v>
      </c>
      <c r="AU85" s="74">
        <f t="shared" si="349"/>
        <v>84</v>
      </c>
      <c r="AV85" s="29"/>
      <c r="AW85" s="239"/>
      <c r="AX85" s="233" t="s">
        <v>14</v>
      </c>
      <c r="AY85" s="234"/>
      <c r="AZ85" s="72">
        <f t="shared" ref="AZ85:BC85" si="350">SUM(AZ81:AZ84)</f>
        <v>6095</v>
      </c>
      <c r="BA85" s="73">
        <f t="shared" si="350"/>
        <v>82</v>
      </c>
      <c r="BB85" s="74">
        <f t="shared" si="350"/>
        <v>269</v>
      </c>
      <c r="BC85" s="74">
        <f t="shared" si="350"/>
        <v>2392</v>
      </c>
      <c r="BD85" s="72">
        <f t="shared" ref="BD85:BK85" si="351">SUM(BD81:BD84)</f>
        <v>4060</v>
      </c>
      <c r="BE85" s="73">
        <f t="shared" si="351"/>
        <v>35</v>
      </c>
      <c r="BF85" s="74">
        <f t="shared" si="351"/>
        <v>118</v>
      </c>
      <c r="BG85" s="74">
        <f t="shared" si="351"/>
        <v>1977</v>
      </c>
      <c r="BH85" s="72">
        <f t="shared" si="351"/>
        <v>141</v>
      </c>
      <c r="BI85" s="73">
        <f t="shared" si="351"/>
        <v>1</v>
      </c>
      <c r="BJ85" s="74">
        <f t="shared" si="351"/>
        <v>0</v>
      </c>
      <c r="BK85" s="74">
        <f t="shared" si="351"/>
        <v>34</v>
      </c>
      <c r="BL85" s="29"/>
      <c r="BM85" s="239"/>
      <c r="BN85" s="233" t="s">
        <v>14</v>
      </c>
      <c r="BO85" s="234"/>
      <c r="BP85" s="72">
        <f t="shared" ref="BP85:BS85" si="352">SUM(BP81:BP84)</f>
        <v>6693</v>
      </c>
      <c r="BQ85" s="73">
        <f t="shared" si="352"/>
        <v>23</v>
      </c>
      <c r="BR85" s="74">
        <f t="shared" si="352"/>
        <v>134</v>
      </c>
      <c r="BS85" s="74">
        <f t="shared" si="352"/>
        <v>1376</v>
      </c>
      <c r="BT85" s="72">
        <f t="shared" ref="BT85:CA85" si="353">SUM(BT81:BT84)</f>
        <v>5384</v>
      </c>
      <c r="BU85" s="73">
        <f t="shared" si="353"/>
        <v>1519</v>
      </c>
      <c r="BV85" s="74">
        <f t="shared" si="353"/>
        <v>71</v>
      </c>
      <c r="BW85" s="74">
        <f t="shared" si="353"/>
        <v>1127</v>
      </c>
      <c r="BX85" s="72">
        <f t="shared" si="353"/>
        <v>417</v>
      </c>
      <c r="BY85" s="73">
        <f t="shared" si="353"/>
        <v>2</v>
      </c>
      <c r="BZ85" s="74">
        <f t="shared" si="353"/>
        <v>0</v>
      </c>
      <c r="CA85" s="74">
        <f t="shared" si="353"/>
        <v>66</v>
      </c>
      <c r="CB85" s="29"/>
      <c r="CC85" s="239"/>
      <c r="CD85" s="233" t="s">
        <v>14</v>
      </c>
      <c r="CE85" s="234"/>
      <c r="CF85" s="72">
        <f t="shared" ref="CF85:CI85" si="354">SUM(CF81:CF84)</f>
        <v>2728</v>
      </c>
      <c r="CG85" s="73">
        <f t="shared" si="354"/>
        <v>26</v>
      </c>
      <c r="CH85" s="74">
        <f t="shared" si="354"/>
        <v>156</v>
      </c>
      <c r="CI85" s="74">
        <f t="shared" si="354"/>
        <v>1203</v>
      </c>
      <c r="CJ85" s="72">
        <f t="shared" ref="CJ85:CQ85" si="355">SUM(CJ81:CJ84)</f>
        <v>2205</v>
      </c>
      <c r="CK85" s="73">
        <f t="shared" si="355"/>
        <v>18</v>
      </c>
      <c r="CL85" s="74">
        <f t="shared" si="355"/>
        <v>66</v>
      </c>
      <c r="CM85" s="74">
        <f t="shared" si="355"/>
        <v>1116</v>
      </c>
      <c r="CN85" s="72">
        <f t="shared" si="355"/>
        <v>112</v>
      </c>
      <c r="CO85" s="73">
        <f t="shared" si="355"/>
        <v>2</v>
      </c>
      <c r="CP85" s="74">
        <f t="shared" si="355"/>
        <v>0</v>
      </c>
      <c r="CQ85" s="74">
        <f t="shared" si="355"/>
        <v>5</v>
      </c>
      <c r="CR85" s="29"/>
      <c r="CS85" s="239"/>
      <c r="CT85" s="233" t="s">
        <v>14</v>
      </c>
      <c r="CU85" s="234"/>
      <c r="CV85" s="72">
        <f t="shared" ref="CV85:CY85" si="356">SUM(CV81:CV84)</f>
        <v>5736</v>
      </c>
      <c r="CW85" s="73">
        <f t="shared" si="356"/>
        <v>76</v>
      </c>
      <c r="CX85" s="74">
        <f t="shared" si="356"/>
        <v>256</v>
      </c>
      <c r="CY85" s="74">
        <f t="shared" si="356"/>
        <v>1956</v>
      </c>
      <c r="CZ85" s="72">
        <f t="shared" ref="CZ85:DG85" si="357">SUM(CZ81:CZ84)</f>
        <v>4818</v>
      </c>
      <c r="DA85" s="73">
        <f t="shared" si="357"/>
        <v>9648</v>
      </c>
      <c r="DB85" s="74">
        <f t="shared" si="357"/>
        <v>147</v>
      </c>
      <c r="DC85" s="74">
        <f t="shared" si="357"/>
        <v>1321</v>
      </c>
      <c r="DD85" s="72">
        <f t="shared" si="357"/>
        <v>106</v>
      </c>
      <c r="DE85" s="73">
        <f t="shared" si="357"/>
        <v>13</v>
      </c>
      <c r="DF85" s="74">
        <f t="shared" si="357"/>
        <v>0</v>
      </c>
      <c r="DG85" s="74">
        <f t="shared" si="357"/>
        <v>49</v>
      </c>
      <c r="DH85" s="29"/>
      <c r="DI85" s="239"/>
      <c r="DJ85" s="233" t="s">
        <v>14</v>
      </c>
      <c r="DK85" s="234"/>
      <c r="DL85" s="72">
        <f t="shared" ref="DL85:DO85" si="358">SUM(DL81:DL84)</f>
        <v>5126</v>
      </c>
      <c r="DM85" s="73" t="e">
        <f t="shared" si="358"/>
        <v>#VALUE!</v>
      </c>
      <c r="DN85" s="74">
        <f t="shared" si="358"/>
        <v>156</v>
      </c>
      <c r="DO85" s="74">
        <f t="shared" si="358"/>
        <v>1755</v>
      </c>
      <c r="DP85" s="72">
        <f t="shared" ref="DP85:DW85" si="359">SUM(DP81:DP84)</f>
        <v>3123</v>
      </c>
      <c r="DQ85" s="73" t="e">
        <f t="shared" si="359"/>
        <v>#VALUE!</v>
      </c>
      <c r="DR85" s="74">
        <f t="shared" si="359"/>
        <v>63</v>
      </c>
      <c r="DS85" s="74">
        <f t="shared" si="359"/>
        <v>1598</v>
      </c>
      <c r="DT85" s="72">
        <f t="shared" si="359"/>
        <v>204</v>
      </c>
      <c r="DU85" s="73" t="e">
        <f t="shared" si="359"/>
        <v>#VALUE!</v>
      </c>
      <c r="DV85" s="74">
        <f t="shared" si="359"/>
        <v>0</v>
      </c>
      <c r="DW85" s="74">
        <f t="shared" si="359"/>
        <v>39</v>
      </c>
      <c r="DX85" s="29"/>
      <c r="DY85" s="239"/>
      <c r="DZ85" s="233" t="s">
        <v>14</v>
      </c>
      <c r="EA85" s="234"/>
      <c r="EB85" s="72">
        <f t="shared" ref="EB85:EE85" si="360">SUM(EB81:EB84)</f>
        <v>7364</v>
      </c>
      <c r="EC85" s="73">
        <f t="shared" si="360"/>
        <v>52</v>
      </c>
      <c r="ED85" s="74">
        <f t="shared" si="360"/>
        <v>36</v>
      </c>
      <c r="EE85" s="74">
        <f t="shared" si="360"/>
        <v>1204</v>
      </c>
      <c r="EF85" s="72">
        <f t="shared" ref="EF85:EM85" si="361">SUM(EF81:EF84)</f>
        <v>6436</v>
      </c>
      <c r="EG85" s="73">
        <f t="shared" si="361"/>
        <v>66</v>
      </c>
      <c r="EH85" s="74">
        <f t="shared" si="361"/>
        <v>45</v>
      </c>
      <c r="EI85" s="74">
        <f t="shared" si="361"/>
        <v>810</v>
      </c>
      <c r="EJ85" s="72">
        <f t="shared" si="361"/>
        <v>446</v>
      </c>
      <c r="EK85" s="73">
        <f t="shared" si="361"/>
        <v>4</v>
      </c>
      <c r="EL85" s="74">
        <f t="shared" si="361"/>
        <v>0</v>
      </c>
      <c r="EM85" s="74">
        <f t="shared" si="361"/>
        <v>32</v>
      </c>
      <c r="EN85" s="29"/>
      <c r="EO85" s="239"/>
      <c r="EP85" s="233" t="s">
        <v>14</v>
      </c>
      <c r="EQ85" s="234"/>
      <c r="ER85" s="72">
        <f t="shared" ref="ER85:EU85" si="362">SUM(ER81:ER84)</f>
        <v>6543</v>
      </c>
      <c r="ES85" s="73">
        <f t="shared" si="362"/>
        <v>33</v>
      </c>
      <c r="ET85" s="74">
        <f t="shared" si="362"/>
        <v>36</v>
      </c>
      <c r="EU85" s="74">
        <f t="shared" si="362"/>
        <v>834</v>
      </c>
      <c r="EV85" s="72">
        <f t="shared" ref="EV85:FC85" si="363">SUM(EV81:EV84)</f>
        <v>5865</v>
      </c>
      <c r="EW85" s="73">
        <f t="shared" si="363"/>
        <v>52</v>
      </c>
      <c r="EX85" s="74">
        <f t="shared" si="363"/>
        <v>45</v>
      </c>
      <c r="EY85" s="74">
        <f t="shared" si="363"/>
        <v>462</v>
      </c>
      <c r="EZ85" s="72">
        <f t="shared" si="363"/>
        <v>411</v>
      </c>
      <c r="FA85" s="73">
        <f t="shared" si="363"/>
        <v>4</v>
      </c>
      <c r="FB85" s="74">
        <f t="shared" si="363"/>
        <v>0</v>
      </c>
      <c r="FC85" s="74">
        <f t="shared" si="363"/>
        <v>0</v>
      </c>
      <c r="FD85" s="29"/>
      <c r="FE85" s="239"/>
      <c r="FF85" s="233" t="s">
        <v>14</v>
      </c>
      <c r="FG85" s="234"/>
      <c r="FH85" s="72">
        <f t="shared" ref="FH85:FK85" si="364">SUM(FH81:FH84)</f>
        <v>0</v>
      </c>
      <c r="FI85" s="73">
        <f t="shared" si="364"/>
        <v>0</v>
      </c>
      <c r="FJ85" s="74">
        <f t="shared" si="364"/>
        <v>0</v>
      </c>
      <c r="FK85" s="74">
        <f t="shared" si="364"/>
        <v>0</v>
      </c>
      <c r="FL85" s="72">
        <f t="shared" ref="FL85:FS85" si="365">SUM(FL81:FL84)</f>
        <v>0</v>
      </c>
      <c r="FM85" s="73">
        <f t="shared" si="365"/>
        <v>0</v>
      </c>
      <c r="FN85" s="74">
        <f t="shared" si="365"/>
        <v>0</v>
      </c>
      <c r="FO85" s="74">
        <f t="shared" si="365"/>
        <v>0</v>
      </c>
      <c r="FP85" s="72">
        <f t="shared" si="365"/>
        <v>0</v>
      </c>
      <c r="FQ85" s="73">
        <f t="shared" si="365"/>
        <v>0</v>
      </c>
      <c r="FR85" s="74">
        <f t="shared" si="365"/>
        <v>0</v>
      </c>
      <c r="FS85" s="74">
        <f t="shared" si="365"/>
        <v>0</v>
      </c>
      <c r="FT85" s="29"/>
      <c r="FU85" s="239"/>
      <c r="FV85" s="233" t="s">
        <v>14</v>
      </c>
      <c r="FW85" s="234"/>
      <c r="FX85" s="72">
        <f t="shared" ref="FX85:GA85" si="366">SUM(FX81:FX84)</f>
        <v>0</v>
      </c>
      <c r="FY85" s="73">
        <f t="shared" si="366"/>
        <v>0</v>
      </c>
      <c r="FZ85" s="74">
        <f t="shared" si="366"/>
        <v>0</v>
      </c>
      <c r="GA85" s="74">
        <f t="shared" si="366"/>
        <v>0</v>
      </c>
      <c r="GB85" s="72">
        <f t="shared" ref="GB85:GI85" si="367">SUM(GB81:GB84)</f>
        <v>0</v>
      </c>
      <c r="GC85" s="73">
        <f t="shared" si="367"/>
        <v>0</v>
      </c>
      <c r="GD85" s="74">
        <f t="shared" si="367"/>
        <v>0</v>
      </c>
      <c r="GE85" s="74">
        <f t="shared" si="367"/>
        <v>0</v>
      </c>
      <c r="GF85" s="72">
        <f t="shared" si="367"/>
        <v>0</v>
      </c>
      <c r="GG85" s="73">
        <f t="shared" si="367"/>
        <v>0</v>
      </c>
      <c r="GH85" s="74">
        <f t="shared" si="367"/>
        <v>0</v>
      </c>
      <c r="GI85" s="74">
        <f t="shared" si="367"/>
        <v>0</v>
      </c>
      <c r="GJ85" s="29"/>
      <c r="GK85" s="242"/>
      <c r="GL85" s="233" t="s">
        <v>14</v>
      </c>
      <c r="GM85" s="234"/>
      <c r="GN85" s="72">
        <f t="shared" ref="GN85:GY85" si="368">SUM(GN81:GN84)</f>
        <v>0</v>
      </c>
      <c r="GO85" s="73" t="e">
        <f t="shared" si="368"/>
        <v>#VALUE!</v>
      </c>
      <c r="GP85" s="74">
        <f t="shared" si="368"/>
        <v>1426</v>
      </c>
      <c r="GQ85" s="74">
        <f t="shared" si="368"/>
        <v>15717</v>
      </c>
      <c r="GR85" s="72">
        <f t="shared" si="368"/>
        <v>0</v>
      </c>
      <c r="GS85" s="73" t="e">
        <f t="shared" si="368"/>
        <v>#VALUE!</v>
      </c>
      <c r="GT85" s="74">
        <f t="shared" si="368"/>
        <v>835</v>
      </c>
      <c r="GU85" s="74">
        <f t="shared" si="368"/>
        <v>12333</v>
      </c>
      <c r="GV85" s="72">
        <f t="shared" si="368"/>
        <v>0</v>
      </c>
      <c r="GW85" s="73" t="e">
        <f t="shared" si="368"/>
        <v>#VALUE!</v>
      </c>
      <c r="GX85" s="74">
        <f t="shared" si="368"/>
        <v>353</v>
      </c>
      <c r="GY85" s="74">
        <f t="shared" si="368"/>
        <v>357</v>
      </c>
      <c r="GZ85" s="95"/>
      <c r="HA85" s="31"/>
      <c r="HN85" s="31"/>
    </row>
    <row r="86" spans="1:222" ht="15" customHeight="1" thickBot="1" x14ac:dyDescent="0.3">
      <c r="A86" s="240"/>
      <c r="B86" s="142" t="s">
        <v>15</v>
      </c>
      <c r="C86" s="142"/>
      <c r="D86" s="143"/>
      <c r="E86" s="143" t="s">
        <v>2</v>
      </c>
      <c r="F86" s="143"/>
      <c r="G86" s="143"/>
      <c r="H86" s="137">
        <f>G10+G16+G22+G28+G34+G40+G46+G52+G58+G64+G70+G76</f>
        <v>0</v>
      </c>
      <c r="I86" s="143" t="s">
        <v>16</v>
      </c>
      <c r="J86" s="143"/>
      <c r="K86" s="143"/>
      <c r="L86" s="137">
        <f>K10+K16+K22+K28+K34+K40+K46+K52+K58+K64+K70+K76</f>
        <v>0</v>
      </c>
      <c r="M86" s="144" t="s">
        <v>17</v>
      </c>
      <c r="N86" s="144"/>
      <c r="O86" s="137">
        <f>N10+N16+N22+N28+N34+N40+N46+N52+N58+N64+N70+N76</f>
        <v>0</v>
      </c>
      <c r="P86" s="29"/>
      <c r="Q86" s="240"/>
      <c r="R86" s="142" t="s">
        <v>15</v>
      </c>
      <c r="S86" s="142"/>
      <c r="T86" s="143"/>
      <c r="U86" s="143" t="s">
        <v>2</v>
      </c>
      <c r="V86" s="143"/>
      <c r="W86" s="143"/>
      <c r="X86" s="137">
        <f>W10+W16+W22+W28+W34+W40+W46+W52+W58+W64+W70+W76</f>
        <v>0</v>
      </c>
      <c r="Y86" s="143" t="s">
        <v>16</v>
      </c>
      <c r="Z86" s="143"/>
      <c r="AA86" s="143"/>
      <c r="AB86" s="137">
        <f>AA10+AA16+AA22+AA28+AA34+AA40+AA46+AA52+AA58+AA64+AA70+AA76</f>
        <v>0</v>
      </c>
      <c r="AC86" s="144" t="s">
        <v>17</v>
      </c>
      <c r="AD86" s="144"/>
      <c r="AE86" s="137">
        <f>AD10+AD16+AD22+AD28+AD34+AD40+AD46+AD52+AD58+AD64+AD70+AD76</f>
        <v>0</v>
      </c>
      <c r="AF86" s="29"/>
      <c r="AG86" s="240"/>
      <c r="AH86" s="142" t="s">
        <v>15</v>
      </c>
      <c r="AI86" s="142"/>
      <c r="AJ86" s="143"/>
      <c r="AK86" s="143" t="s">
        <v>2</v>
      </c>
      <c r="AL86" s="143"/>
      <c r="AM86" s="143"/>
      <c r="AN86" s="137">
        <f>AM10+AM16+AM22+AM28+AM34+AM40+AM46+AM52+AM58+AM64+AM70+AM76</f>
        <v>0</v>
      </c>
      <c r="AO86" s="143" t="s">
        <v>16</v>
      </c>
      <c r="AP86" s="143"/>
      <c r="AQ86" s="143"/>
      <c r="AR86" s="137">
        <f>AQ10+AQ16+AQ22+AQ28+AQ34+AQ40+AQ46+AQ52+AQ58+AQ64+AQ70+AQ76</f>
        <v>0</v>
      </c>
      <c r="AS86" s="144" t="s">
        <v>17</v>
      </c>
      <c r="AT86" s="144"/>
      <c r="AU86" s="137">
        <f>AT10+AT16+AT22+AT28+AT34+AT40+AT46+AT52+AT58+AT64+AT70+AT76</f>
        <v>0</v>
      </c>
      <c r="AV86" s="29"/>
      <c r="AW86" s="240"/>
      <c r="AX86" s="142" t="s">
        <v>15</v>
      </c>
      <c r="AY86" s="142"/>
      <c r="AZ86" s="143"/>
      <c r="BA86" s="143" t="s">
        <v>2</v>
      </c>
      <c r="BB86" s="143"/>
      <c r="BC86" s="143"/>
      <c r="BD86" s="137">
        <f>BC10+BC16+BC22+BC28+BC34+BC40+BC46+BC52+BC58+BC64+BC70+BC76</f>
        <v>0</v>
      </c>
      <c r="BE86" s="143" t="s">
        <v>16</v>
      </c>
      <c r="BF86" s="143"/>
      <c r="BG86" s="143"/>
      <c r="BH86" s="137">
        <f>BG10+BG16+BG22+BG28+BG34+BG40+BG46+BG52+BG58+BG64+BG70+BG76</f>
        <v>0</v>
      </c>
      <c r="BI86" s="144" t="s">
        <v>17</v>
      </c>
      <c r="BJ86" s="144"/>
      <c r="BK86" s="137">
        <f>BJ10+BJ16+BJ22+BJ28+BJ34+BJ40+BJ46+BJ52+BJ58+BJ64+BJ70+BJ76</f>
        <v>0</v>
      </c>
      <c r="BL86" s="29"/>
      <c r="BM86" s="240"/>
      <c r="BN86" s="142" t="s">
        <v>15</v>
      </c>
      <c r="BO86" s="142"/>
      <c r="BP86" s="143"/>
      <c r="BQ86" s="143" t="s">
        <v>2</v>
      </c>
      <c r="BR86" s="143"/>
      <c r="BS86" s="143"/>
      <c r="BT86" s="137">
        <f>BS10+BS16+BS22+BS28+BS34+BS40+BS46+BS52+BS58+BS64+BS70+BS76</f>
        <v>0</v>
      </c>
      <c r="BU86" s="143" t="s">
        <v>16</v>
      </c>
      <c r="BV86" s="143"/>
      <c r="BW86" s="143"/>
      <c r="BX86" s="137">
        <f>BW10+BW16+BW22+BW28+BW34+BW40+BW46+BW52+BW58+BW64+BW70+BW76</f>
        <v>0</v>
      </c>
      <c r="BY86" s="144" t="s">
        <v>17</v>
      </c>
      <c r="BZ86" s="144"/>
      <c r="CA86" s="137">
        <f>BZ10+BZ16+BZ22+BZ28+BZ34+BZ40+BZ46+BZ52+BZ58+BZ64+BZ70+BZ76</f>
        <v>0</v>
      </c>
      <c r="CB86" s="29"/>
      <c r="CC86" s="240"/>
      <c r="CD86" s="142" t="s">
        <v>15</v>
      </c>
      <c r="CE86" s="142"/>
      <c r="CF86" s="143"/>
      <c r="CG86" s="143" t="s">
        <v>2</v>
      </c>
      <c r="CH86" s="143"/>
      <c r="CI86" s="143"/>
      <c r="CJ86" s="137">
        <f>CI10+CI16+CI22+CI28+CI34+CI40+CI46+CI52+CI58+CI64+CI70+CI76</f>
        <v>0</v>
      </c>
      <c r="CK86" s="143" t="s">
        <v>16</v>
      </c>
      <c r="CL86" s="143"/>
      <c r="CM86" s="143"/>
      <c r="CN86" s="137">
        <f>CM10+CM16+CM22+CM28+CM34+CM40+CM46+CM52+CM58+CM64+CM70+CM76</f>
        <v>0</v>
      </c>
      <c r="CO86" s="144" t="s">
        <v>17</v>
      </c>
      <c r="CP86" s="144"/>
      <c r="CQ86" s="137">
        <f>CP10+CP16+CP22+CP28+CP34+CP40+CP46+CP52+CP58+CP64+CP70+CP76</f>
        <v>0</v>
      </c>
      <c r="CR86" s="29"/>
      <c r="CS86" s="240"/>
      <c r="CT86" s="142" t="s">
        <v>15</v>
      </c>
      <c r="CU86" s="142"/>
      <c r="CV86" s="143"/>
      <c r="CW86" s="143" t="s">
        <v>2</v>
      </c>
      <c r="CX86" s="143"/>
      <c r="CY86" s="143"/>
      <c r="CZ86" s="137">
        <f>CY10+CY16+CY22+CY28+CY34+CY40+CY46+CY52+CY58+CY64+CY70+CY76</f>
        <v>0</v>
      </c>
      <c r="DA86" s="143" t="s">
        <v>16</v>
      </c>
      <c r="DB86" s="143"/>
      <c r="DC86" s="143"/>
      <c r="DD86" s="137">
        <f>DC10+DC16+DC22+DC28+DC34+DC40+DC46+DC52+DC58+DC64+DC70+DC76</f>
        <v>0</v>
      </c>
      <c r="DE86" s="144" t="s">
        <v>17</v>
      </c>
      <c r="DF86" s="144"/>
      <c r="DG86" s="137">
        <f>DF10+DF16+DF22+DF28+DF34+DF40+DF46+DF52+DF58+DF64+DF70+DF76</f>
        <v>0</v>
      </c>
      <c r="DH86" s="29"/>
      <c r="DI86" s="240"/>
      <c r="DJ86" s="142" t="s">
        <v>15</v>
      </c>
      <c r="DK86" s="142"/>
      <c r="DL86" s="143"/>
      <c r="DM86" s="143" t="s">
        <v>2</v>
      </c>
      <c r="DN86" s="143"/>
      <c r="DO86" s="143"/>
      <c r="DP86" s="137">
        <f>DO10+DO16+DO22+DO28+DO34+DO40+DO46+DO52+DO58+DO64+DO70+DO76</f>
        <v>0</v>
      </c>
      <c r="DQ86" s="143" t="s">
        <v>16</v>
      </c>
      <c r="DR86" s="143"/>
      <c r="DS86" s="143"/>
      <c r="DT86" s="137">
        <f>DS10+DS16+DS22+DS28+DS34+DS40+DS46+DS52+DS58+DS64+DS70+DS76</f>
        <v>0</v>
      </c>
      <c r="DU86" s="144" t="s">
        <v>17</v>
      </c>
      <c r="DV86" s="144"/>
      <c r="DW86" s="137">
        <f>DV10+DV16+DV22+DV28+DV34+DV40+DV46+DV52+DV58+DV64+DV70+DV76</f>
        <v>0</v>
      </c>
      <c r="DX86" s="29"/>
      <c r="DY86" s="240"/>
      <c r="DZ86" s="142" t="s">
        <v>15</v>
      </c>
      <c r="EA86" s="142"/>
      <c r="EB86" s="143"/>
      <c r="EC86" s="143" t="s">
        <v>2</v>
      </c>
      <c r="ED86" s="143"/>
      <c r="EE86" s="143"/>
      <c r="EF86" s="137">
        <f>EE10+EE16+EE22+EE28+EE34+EE40+EE46+EE52+EE58+EE64+EE70+EE76</f>
        <v>0</v>
      </c>
      <c r="EG86" s="143" t="s">
        <v>16</v>
      </c>
      <c r="EH86" s="143"/>
      <c r="EI86" s="143"/>
      <c r="EJ86" s="137">
        <f>EI10+EI16+EI22+EI28+EI34+EI40+EI46+EI52+EI58+EI64+EI70+EI76</f>
        <v>0</v>
      </c>
      <c r="EK86" s="144" t="s">
        <v>17</v>
      </c>
      <c r="EL86" s="144"/>
      <c r="EM86" s="137">
        <f>EL10+EL16+EL22+EL28+EL34+EL40+EL46+EL52+EL58+EL64+EL70+EL76</f>
        <v>0</v>
      </c>
      <c r="EN86" s="29"/>
      <c r="EO86" s="240"/>
      <c r="EP86" s="142" t="s">
        <v>15</v>
      </c>
      <c r="EQ86" s="142"/>
      <c r="ER86" s="143"/>
      <c r="ES86" s="143" t="s">
        <v>2</v>
      </c>
      <c r="ET86" s="143"/>
      <c r="EU86" s="143"/>
      <c r="EV86" s="137">
        <f>EU10+EU16+EU22+EU28+EU34+EU40+EU46+EU52+EU58+EU64+EU70+EU76</f>
        <v>0</v>
      </c>
      <c r="EW86" s="143" t="s">
        <v>16</v>
      </c>
      <c r="EX86" s="143"/>
      <c r="EY86" s="143"/>
      <c r="EZ86" s="137">
        <f>EY10+EY16+EY22+EY28+EY34+EY40+EY46+EY52+EY58+EY64+EY70+EY76</f>
        <v>0</v>
      </c>
      <c r="FA86" s="144" t="s">
        <v>17</v>
      </c>
      <c r="FB86" s="144"/>
      <c r="FC86" s="137">
        <f>FB10+FB16+FB22+FB28+FB34+FB40+FB46+FB52+FB58+FB64+FB70+FB76</f>
        <v>0</v>
      </c>
      <c r="FD86" s="29"/>
      <c r="FE86" s="240"/>
      <c r="FF86" s="142" t="s">
        <v>15</v>
      </c>
      <c r="FG86" s="142"/>
      <c r="FH86" s="143"/>
      <c r="FI86" s="143" t="s">
        <v>2</v>
      </c>
      <c r="FJ86" s="143"/>
      <c r="FK86" s="143"/>
      <c r="FL86" s="137">
        <f>FK10+FK16+FK22+FK28+FK34+FK40+FK46+FK52+FK58+FK64+FK70+FK76</f>
        <v>0</v>
      </c>
      <c r="FM86" s="143" t="s">
        <v>16</v>
      </c>
      <c r="FN86" s="143"/>
      <c r="FO86" s="143"/>
      <c r="FP86" s="137">
        <f>FO10+FO16+FO22+FO28+FO34+FO40+FO46+FO52+FO58+FO64+FO70+FO76</f>
        <v>0</v>
      </c>
      <c r="FQ86" s="144" t="s">
        <v>17</v>
      </c>
      <c r="FR86" s="144"/>
      <c r="FS86" s="137">
        <f>FR10+FR16+FR22+FR28+FR34+FR40+FR46+FR52+FR58+FR64+FR70+FR76</f>
        <v>0</v>
      </c>
      <c r="FT86" s="29"/>
      <c r="FU86" s="240"/>
      <c r="FV86" s="142" t="s">
        <v>15</v>
      </c>
      <c r="FW86" s="142"/>
      <c r="FX86" s="143"/>
      <c r="FY86" s="143" t="s">
        <v>2</v>
      </c>
      <c r="FZ86" s="143"/>
      <c r="GA86" s="143"/>
      <c r="GB86" s="137">
        <f>GA10+GA16+GA22+GA28+GA34+GA40+GA46+GA52+GA58+GA64+GA70+GA76</f>
        <v>0</v>
      </c>
      <c r="GC86" s="143" t="s">
        <v>16</v>
      </c>
      <c r="GD86" s="143"/>
      <c r="GE86" s="143"/>
      <c r="GF86" s="137">
        <f>GE10+GE16+GE22+GE28+GE34+GE40+GE46+GE52+GE58+GE64+GE70+GE76</f>
        <v>0</v>
      </c>
      <c r="GG86" s="144" t="s">
        <v>17</v>
      </c>
      <c r="GH86" s="144"/>
      <c r="GI86" s="137">
        <f>GH10+GH16+GH22+GH28+GH34+GH40+GH46+GH52+GH58+GH64+GH70+GH76</f>
        <v>0</v>
      </c>
      <c r="GJ86" s="29"/>
      <c r="GK86" s="243"/>
      <c r="GL86" s="145" t="s">
        <v>15</v>
      </c>
      <c r="GM86" s="146"/>
      <c r="GN86" s="140"/>
      <c r="GO86" s="140" t="s">
        <v>2</v>
      </c>
      <c r="GP86" s="140"/>
      <c r="GQ86" s="140"/>
      <c r="GR86" s="140">
        <f>H86+X86+AN86+BD86+BT86+CJ86+CZ86+DP86+EF86+EV86+FL86+GB86</f>
        <v>0</v>
      </c>
      <c r="GS86" s="140" t="s">
        <v>16</v>
      </c>
      <c r="GT86" s="140"/>
      <c r="GU86" s="140"/>
      <c r="GV86" s="140">
        <f>L86+AB86+AR86+BH86+BX86+CN86+DD86+DT86+EJ86+EZ86+FP86+GF86</f>
        <v>0</v>
      </c>
      <c r="GW86" s="140" t="s">
        <v>17</v>
      </c>
      <c r="GX86" s="140"/>
      <c r="GY86" s="147">
        <f>O86+AE86+AU86+BK86+CA86+CQ86+DG86+DW86+EM86+FC86+FS86+GI86</f>
        <v>0</v>
      </c>
      <c r="GZ86" s="95"/>
      <c r="HA86" s="31"/>
      <c r="HN86" s="31"/>
    </row>
  </sheetData>
  <mergeCells count="637">
    <mergeCell ref="BM79:BM80"/>
    <mergeCell ref="AN79:AQ79"/>
    <mergeCell ref="AR79:AU79"/>
    <mergeCell ref="BC78:BD78"/>
    <mergeCell ref="FM2:FN2"/>
    <mergeCell ref="EG2:EH2"/>
    <mergeCell ref="CV3:CY3"/>
    <mergeCell ref="CF3:CI3"/>
    <mergeCell ref="CJ3:CM3"/>
    <mergeCell ref="CN3:CQ3"/>
    <mergeCell ref="CD21:CE21"/>
    <mergeCell ref="CZ3:DC3"/>
    <mergeCell ref="DD3:DG3"/>
    <mergeCell ref="AN3:AQ3"/>
    <mergeCell ref="AR3:AU3"/>
    <mergeCell ref="AW3:AW4"/>
    <mergeCell ref="AZ3:BC3"/>
    <mergeCell ref="BD3:BG3"/>
    <mergeCell ref="BJ16:BK16"/>
    <mergeCell ref="DF52:DG52"/>
    <mergeCell ref="DF58:DG58"/>
    <mergeCell ref="CS65:CS70"/>
    <mergeCell ref="CP46:CQ46"/>
    <mergeCell ref="DZ75:EA75"/>
    <mergeCell ref="GC2:GD2"/>
    <mergeCell ref="D3:G3"/>
    <mergeCell ref="H3:K3"/>
    <mergeCell ref="L3:O3"/>
    <mergeCell ref="I2:J2"/>
    <mergeCell ref="Y2:Z2"/>
    <mergeCell ref="Q3:Q4"/>
    <mergeCell ref="AO2:AP2"/>
    <mergeCell ref="AH3:AH4"/>
    <mergeCell ref="AJ3:AM3"/>
    <mergeCell ref="DI3:DI4"/>
    <mergeCell ref="EA3:EA4"/>
    <mergeCell ref="EP3:EP4"/>
    <mergeCell ref="BP3:BS3"/>
    <mergeCell ref="DQ2:DR2"/>
    <mergeCell ref="BU2:BV2"/>
    <mergeCell ref="CK2:CL2"/>
    <mergeCell ref="CC3:CC4"/>
    <mergeCell ref="BT3:BW3"/>
    <mergeCell ref="BE2:BF2"/>
    <mergeCell ref="DA2:DB2"/>
    <mergeCell ref="CT3:CT4"/>
    <mergeCell ref="CU3:CU4"/>
    <mergeCell ref="FG3:FG4"/>
    <mergeCell ref="BZ22:CA22"/>
    <mergeCell ref="DZ15:EA15"/>
    <mergeCell ref="DY29:DY34"/>
    <mergeCell ref="DZ33:EA33"/>
    <mergeCell ref="DY47:DY52"/>
    <mergeCell ref="DZ51:EA51"/>
    <mergeCell ref="DZ69:EA69"/>
    <mergeCell ref="DJ75:DK75"/>
    <mergeCell ref="CS71:CS76"/>
    <mergeCell ref="DV58:DW58"/>
    <mergeCell ref="DY65:DY70"/>
    <mergeCell ref="DV16:DW16"/>
    <mergeCell ref="DV22:DW22"/>
    <mergeCell ref="DI47:DI52"/>
    <mergeCell ref="DV28:DW28"/>
    <mergeCell ref="DV34:DW34"/>
    <mergeCell ref="DV40:DW40"/>
    <mergeCell ref="DV46:DW46"/>
    <mergeCell ref="DY17:DY22"/>
    <mergeCell ref="DZ21:EA21"/>
    <mergeCell ref="DJ57:DK57"/>
    <mergeCell ref="DJ63:DK63"/>
    <mergeCell ref="DF22:DG22"/>
    <mergeCell ref="DJ33:DK33"/>
    <mergeCell ref="EW2:EX2"/>
    <mergeCell ref="FE5:FE10"/>
    <mergeCell ref="CD3:CD4"/>
    <mergeCell ref="CE3:CE4"/>
    <mergeCell ref="BH3:BK3"/>
    <mergeCell ref="BO3:BO4"/>
    <mergeCell ref="DL3:DO3"/>
    <mergeCell ref="DP3:DS3"/>
    <mergeCell ref="DT3:DW3"/>
    <mergeCell ref="CD9:CE9"/>
    <mergeCell ref="CS3:CS4"/>
    <mergeCell ref="CC5:CC10"/>
    <mergeCell ref="EO5:EO10"/>
    <mergeCell ref="EP9:EQ9"/>
    <mergeCell ref="GN3:GQ3"/>
    <mergeCell ref="GR3:GU3"/>
    <mergeCell ref="GV3:GY3"/>
    <mergeCell ref="GL45:GM45"/>
    <mergeCell ref="GK41:GK46"/>
    <mergeCell ref="EQ3:EQ4"/>
    <mergeCell ref="ER3:EU3"/>
    <mergeCell ref="GL3:GL4"/>
    <mergeCell ref="GK3:GK4"/>
    <mergeCell ref="FV3:FV4"/>
    <mergeCell ref="FW3:FW4"/>
    <mergeCell ref="FU3:FU4"/>
    <mergeCell ref="FX3:GA3"/>
    <mergeCell ref="GB3:GE3"/>
    <mergeCell ref="GF3:GI3"/>
    <mergeCell ref="FE41:FE46"/>
    <mergeCell ref="GH10:GI10"/>
    <mergeCell ref="GH16:GI16"/>
    <mergeCell ref="GH22:GI22"/>
    <mergeCell ref="GH28:GI28"/>
    <mergeCell ref="GH34:GI34"/>
    <mergeCell ref="GH40:GI40"/>
    <mergeCell ref="EV3:EY3"/>
    <mergeCell ref="EZ3:FC3"/>
    <mergeCell ref="FH3:FK3"/>
    <mergeCell ref="FL3:FO3"/>
    <mergeCell ref="FP3:FS3"/>
    <mergeCell ref="FV57:FW57"/>
    <mergeCell ref="FU5:FU10"/>
    <mergeCell ref="FB10:FC10"/>
    <mergeCell ref="FB16:FC16"/>
    <mergeCell ref="FB52:FC52"/>
    <mergeCell ref="FR16:FS16"/>
    <mergeCell ref="FR22:FS22"/>
    <mergeCell ref="FR28:FS28"/>
    <mergeCell ref="FE17:FE22"/>
    <mergeCell ref="FF21:FG21"/>
    <mergeCell ref="FV15:FW15"/>
    <mergeCell ref="FU17:FU22"/>
    <mergeCell ref="FV21:FW21"/>
    <mergeCell ref="FF39:FG39"/>
    <mergeCell ref="FV45:FW45"/>
    <mergeCell ref="FF33:FG33"/>
    <mergeCell ref="FF3:FF4"/>
    <mergeCell ref="FF45:FG45"/>
    <mergeCell ref="FF9:FG9"/>
    <mergeCell ref="FR52:FS52"/>
    <mergeCell ref="FB46:FC46"/>
    <mergeCell ref="GV79:GY79"/>
    <mergeCell ref="FK78:FL78"/>
    <mergeCell ref="GA78:GB78"/>
    <mergeCell ref="FR58:FS58"/>
    <mergeCell ref="GK11:GK16"/>
    <mergeCell ref="GL15:GM15"/>
    <mergeCell ref="GK17:GK22"/>
    <mergeCell ref="GL21:GM21"/>
    <mergeCell ref="GL57:GM57"/>
    <mergeCell ref="GK59:GK64"/>
    <mergeCell ref="GL63:GM63"/>
    <mergeCell ref="GK71:GK76"/>
    <mergeCell ref="FU29:FU34"/>
    <mergeCell ref="FV33:FW33"/>
    <mergeCell ref="FU47:FU52"/>
    <mergeCell ref="FV51:FW51"/>
    <mergeCell ref="FU35:FU40"/>
    <mergeCell ref="FR40:FS40"/>
    <mergeCell ref="FR46:FS46"/>
    <mergeCell ref="FV39:FW39"/>
    <mergeCell ref="FR34:FS34"/>
    <mergeCell ref="GL75:GM75"/>
    <mergeCell ref="FV69:FW69"/>
    <mergeCell ref="FU59:FU64"/>
    <mergeCell ref="A3:A4"/>
    <mergeCell ref="T3:W3"/>
    <mergeCell ref="X3:AA3"/>
    <mergeCell ref="AB3:AE3"/>
    <mergeCell ref="DJ3:DJ4"/>
    <mergeCell ref="DK3:DK4"/>
    <mergeCell ref="B3:B4"/>
    <mergeCell ref="EO3:EO4"/>
    <mergeCell ref="FE3:FE4"/>
    <mergeCell ref="C3:C4"/>
    <mergeCell ref="S3:S4"/>
    <mergeCell ref="R3:R4"/>
    <mergeCell ref="AG3:AG4"/>
    <mergeCell ref="AI3:AI4"/>
    <mergeCell ref="DY3:DY4"/>
    <mergeCell ref="EB3:EE3"/>
    <mergeCell ref="EF3:EI3"/>
    <mergeCell ref="EJ3:EM3"/>
    <mergeCell ref="DZ3:DZ4"/>
    <mergeCell ref="AG11:AG16"/>
    <mergeCell ref="DI5:DI10"/>
    <mergeCell ref="DI11:DI16"/>
    <mergeCell ref="DF10:DG10"/>
    <mergeCell ref="DF16:DG16"/>
    <mergeCell ref="CP10:CQ10"/>
    <mergeCell ref="AG5:AG10"/>
    <mergeCell ref="BM11:BM16"/>
    <mergeCell ref="BZ16:CA16"/>
    <mergeCell ref="BN9:BO9"/>
    <mergeCell ref="AW5:AW10"/>
    <mergeCell ref="AT16:AU16"/>
    <mergeCell ref="AX9:AY9"/>
    <mergeCell ref="AW11:AW16"/>
    <mergeCell ref="AH9:AI9"/>
    <mergeCell ref="AH15:AI15"/>
    <mergeCell ref="BM5:BM10"/>
    <mergeCell ref="CT9:CU9"/>
    <mergeCell ref="CS11:CS16"/>
    <mergeCell ref="CT15:CU15"/>
    <mergeCell ref="CS5:CS10"/>
    <mergeCell ref="AT10:AU10"/>
    <mergeCell ref="AX15:AY15"/>
    <mergeCell ref="BJ10:BK10"/>
    <mergeCell ref="EO11:EO16"/>
    <mergeCell ref="EP15:EQ15"/>
    <mergeCell ref="DZ45:EA45"/>
    <mergeCell ref="DY41:DY46"/>
    <mergeCell ref="EL16:EM16"/>
    <mergeCell ref="DJ15:DK15"/>
    <mergeCell ref="DZ9:EA9"/>
    <mergeCell ref="DY11:DY16"/>
    <mergeCell ref="DV10:DW10"/>
    <mergeCell ref="DY23:DY28"/>
    <mergeCell ref="EO41:EO46"/>
    <mergeCell ref="EP45:EQ45"/>
    <mergeCell ref="EL22:EM22"/>
    <mergeCell ref="EO17:EO22"/>
    <mergeCell ref="EP21:EQ21"/>
    <mergeCell ref="EO23:EO28"/>
    <mergeCell ref="EP27:EQ27"/>
    <mergeCell ref="EO29:EO34"/>
    <mergeCell ref="EP33:EQ33"/>
    <mergeCell ref="DJ45:DK45"/>
    <mergeCell ref="DJ39:DK39"/>
    <mergeCell ref="DV17:DW17"/>
    <mergeCell ref="BN15:BO15"/>
    <mergeCell ref="GM3:GM4"/>
    <mergeCell ref="DZ27:EA27"/>
    <mergeCell ref="FV9:FW9"/>
    <mergeCell ref="FU11:FU16"/>
    <mergeCell ref="FR10:FS10"/>
    <mergeCell ref="AX3:AX4"/>
    <mergeCell ref="BM3:BM4"/>
    <mergeCell ref="AY3:AY4"/>
    <mergeCell ref="BN3:BN4"/>
    <mergeCell ref="BX3:CA3"/>
    <mergeCell ref="BM17:BM22"/>
    <mergeCell ref="DY5:DY10"/>
    <mergeCell ref="DJ9:DK9"/>
    <mergeCell ref="DJ21:DK21"/>
    <mergeCell ref="CT21:CU21"/>
    <mergeCell ref="EL10:EM10"/>
    <mergeCell ref="CC11:CC16"/>
    <mergeCell ref="CD15:CE15"/>
    <mergeCell ref="CP16:CQ16"/>
    <mergeCell ref="CP22:CQ22"/>
    <mergeCell ref="BN21:BO21"/>
    <mergeCell ref="BJ22:BK22"/>
    <mergeCell ref="GL27:GM27"/>
    <mergeCell ref="AX21:AY21"/>
    <mergeCell ref="BZ10:CA10"/>
    <mergeCell ref="CS17:CS22"/>
    <mergeCell ref="DV52:DW52"/>
    <mergeCell ref="BN85:BO85"/>
    <mergeCell ref="G78:H78"/>
    <mergeCell ref="D79:G79"/>
    <mergeCell ref="AH85:AI85"/>
    <mergeCell ref="X79:AA79"/>
    <mergeCell ref="W78:X78"/>
    <mergeCell ref="Q79:Q80"/>
    <mergeCell ref="T79:W79"/>
    <mergeCell ref="H79:K79"/>
    <mergeCell ref="L79:O79"/>
    <mergeCell ref="R85:S85"/>
    <mergeCell ref="BH79:BK79"/>
    <mergeCell ref="BD79:BG79"/>
    <mergeCell ref="BM81:BM86"/>
    <mergeCell ref="Q81:Q86"/>
    <mergeCell ref="AB79:AE79"/>
    <mergeCell ref="AJ79:AM79"/>
    <mergeCell ref="AW79:AW80"/>
    <mergeCell ref="AX85:AY85"/>
    <mergeCell ref="AW47:AW52"/>
    <mergeCell ref="BZ28:CA28"/>
    <mergeCell ref="BN39:BO39"/>
    <mergeCell ref="BN27:BO27"/>
    <mergeCell ref="BZ46:CA46"/>
    <mergeCell ref="CD39:CE39"/>
    <mergeCell ref="CD27:CE27"/>
    <mergeCell ref="CP34:CQ34"/>
    <mergeCell ref="CT33:CU33"/>
    <mergeCell ref="CS23:CS28"/>
    <mergeCell ref="CT27:CU27"/>
    <mergeCell ref="CC23:CC28"/>
    <mergeCell ref="CD45:CE45"/>
    <mergeCell ref="CC29:CC34"/>
    <mergeCell ref="BZ34:CA34"/>
    <mergeCell ref="BN33:BO33"/>
    <mergeCell ref="CC41:CC46"/>
    <mergeCell ref="DI41:DI46"/>
    <mergeCell ref="DI53:DI58"/>
    <mergeCell ref="DI23:DI28"/>
    <mergeCell ref="DJ27:DK27"/>
    <mergeCell ref="DI29:DI34"/>
    <mergeCell ref="DY35:DY40"/>
    <mergeCell ref="EL28:EM28"/>
    <mergeCell ref="CP40:CQ40"/>
    <mergeCell ref="CS47:CS52"/>
    <mergeCell ref="DI35:DI40"/>
    <mergeCell ref="CS41:CS46"/>
    <mergeCell ref="FB28:FC28"/>
    <mergeCell ref="CC17:CC22"/>
    <mergeCell ref="DF28:DG28"/>
    <mergeCell ref="DF34:DG34"/>
    <mergeCell ref="DF40:DG40"/>
    <mergeCell ref="DF46:DG46"/>
    <mergeCell ref="AW81:AW86"/>
    <mergeCell ref="AG81:AG86"/>
    <mergeCell ref="AZ79:BC79"/>
    <mergeCell ref="AM78:AN78"/>
    <mergeCell ref="AG79:AG80"/>
    <mergeCell ref="CD33:CE33"/>
    <mergeCell ref="CT45:CU45"/>
    <mergeCell ref="CP70:CQ70"/>
    <mergeCell ref="CC35:CC40"/>
    <mergeCell ref="AW23:AW28"/>
    <mergeCell ref="AW17:AW22"/>
    <mergeCell ref="AT22:AU22"/>
    <mergeCell ref="CT51:CU51"/>
    <mergeCell ref="CT39:CU39"/>
    <mergeCell ref="CP28:CQ28"/>
    <mergeCell ref="CS29:CS34"/>
    <mergeCell ref="CS35:CS40"/>
    <mergeCell ref="BM29:BM34"/>
    <mergeCell ref="BZ64:CA64"/>
    <mergeCell ref="AX33:AY33"/>
    <mergeCell ref="AT34:AU34"/>
    <mergeCell ref="AW41:AW46"/>
    <mergeCell ref="AT52:AU52"/>
    <mergeCell ref="AT58:AU58"/>
    <mergeCell ref="BM53:BM58"/>
    <mergeCell ref="AX57:AY57"/>
    <mergeCell ref="BZ40:CA40"/>
    <mergeCell ref="BJ64:BK64"/>
    <mergeCell ref="AT28:AU28"/>
    <mergeCell ref="BM23:BM28"/>
    <mergeCell ref="AX27:AY27"/>
    <mergeCell ref="AT40:AU40"/>
    <mergeCell ref="BJ40:BK40"/>
    <mergeCell ref="AW35:AW40"/>
    <mergeCell ref="AX39:AY39"/>
    <mergeCell ref="AX51:AY51"/>
    <mergeCell ref="BM47:BM52"/>
    <mergeCell ref="BJ28:BK28"/>
    <mergeCell ref="BM35:BM40"/>
    <mergeCell ref="BJ34:BK34"/>
    <mergeCell ref="AT46:AU46"/>
    <mergeCell ref="AX45:AY45"/>
    <mergeCell ref="AW29:AW34"/>
    <mergeCell ref="BJ70:BK70"/>
    <mergeCell ref="BM41:BM46"/>
    <mergeCell ref="CC65:CC70"/>
    <mergeCell ref="BJ76:BK76"/>
    <mergeCell ref="BZ76:CA76"/>
    <mergeCell ref="BN57:BO57"/>
    <mergeCell ref="AW53:AW58"/>
    <mergeCell ref="AW59:AW64"/>
    <mergeCell ref="BM65:BM70"/>
    <mergeCell ref="BM71:BM76"/>
    <mergeCell ref="BN69:BO69"/>
    <mergeCell ref="BN45:BO45"/>
    <mergeCell ref="AX63:AY63"/>
    <mergeCell ref="BJ46:BK46"/>
    <mergeCell ref="BJ52:BK52"/>
    <mergeCell ref="BZ70:CA70"/>
    <mergeCell ref="AX69:AY69"/>
    <mergeCell ref="BN63:BO63"/>
    <mergeCell ref="BN51:BO51"/>
    <mergeCell ref="AX75:AY75"/>
    <mergeCell ref="CC71:CC76"/>
    <mergeCell ref="BN75:BO75"/>
    <mergeCell ref="CC47:CC52"/>
    <mergeCell ref="BM59:BM64"/>
    <mergeCell ref="CD57:CE57"/>
    <mergeCell ref="CC59:CC64"/>
    <mergeCell ref="CC53:CC58"/>
    <mergeCell ref="BZ52:CA52"/>
    <mergeCell ref="BZ58:CA58"/>
    <mergeCell ref="A79:A80"/>
    <mergeCell ref="N70:O70"/>
    <mergeCell ref="Q53:Q58"/>
    <mergeCell ref="AW65:AW70"/>
    <mergeCell ref="AW71:AW76"/>
    <mergeCell ref="AD76:AE76"/>
    <mergeCell ref="AG71:AG76"/>
    <mergeCell ref="AH57:AI57"/>
    <mergeCell ref="AD70:AE70"/>
    <mergeCell ref="AH69:AI69"/>
    <mergeCell ref="AH63:AI63"/>
    <mergeCell ref="AD64:AE64"/>
    <mergeCell ref="AG65:AG70"/>
    <mergeCell ref="AG59:AG64"/>
    <mergeCell ref="AT64:AU64"/>
    <mergeCell ref="AT70:AU70"/>
    <mergeCell ref="AT76:AU76"/>
    <mergeCell ref="BJ58:BK58"/>
    <mergeCell ref="AH75:AI75"/>
    <mergeCell ref="A81:A86"/>
    <mergeCell ref="B85:C85"/>
    <mergeCell ref="A59:A64"/>
    <mergeCell ref="A71:A76"/>
    <mergeCell ref="A65:A70"/>
    <mergeCell ref="B63:C63"/>
    <mergeCell ref="B75:C75"/>
    <mergeCell ref="B69:C69"/>
    <mergeCell ref="R27:S27"/>
    <mergeCell ref="Q29:Q34"/>
    <mergeCell ref="Q59:Q64"/>
    <mergeCell ref="A47:A52"/>
    <mergeCell ref="B51:C51"/>
    <mergeCell ref="A35:A40"/>
    <mergeCell ref="A41:A46"/>
    <mergeCell ref="A53:A58"/>
    <mergeCell ref="B57:C57"/>
    <mergeCell ref="N34:O34"/>
    <mergeCell ref="B45:C45"/>
    <mergeCell ref="B39:C39"/>
    <mergeCell ref="N76:O76"/>
    <mergeCell ref="Q65:Q70"/>
    <mergeCell ref="R63:S63"/>
    <mergeCell ref="R45:S45"/>
    <mergeCell ref="A5:A10"/>
    <mergeCell ref="B9:C9"/>
    <mergeCell ref="A11:A16"/>
    <mergeCell ref="B15:C15"/>
    <mergeCell ref="A17:A22"/>
    <mergeCell ref="B21:C21"/>
    <mergeCell ref="A23:A28"/>
    <mergeCell ref="B27:C27"/>
    <mergeCell ref="A29:A34"/>
    <mergeCell ref="B33:C33"/>
    <mergeCell ref="N16:O16"/>
    <mergeCell ref="N10:O10"/>
    <mergeCell ref="AD10:AE10"/>
    <mergeCell ref="AD16:AE16"/>
    <mergeCell ref="AD22:AE22"/>
    <mergeCell ref="AD28:AE28"/>
    <mergeCell ref="AD52:AE52"/>
    <mergeCell ref="AD58:AE58"/>
    <mergeCell ref="AH21:AI21"/>
    <mergeCell ref="AG35:AG40"/>
    <mergeCell ref="AG41:AG46"/>
    <mergeCell ref="AH45:AI45"/>
    <mergeCell ref="AH39:AI39"/>
    <mergeCell ref="AG17:AG22"/>
    <mergeCell ref="AG29:AG34"/>
    <mergeCell ref="AG53:AG58"/>
    <mergeCell ref="AH27:AI27"/>
    <mergeCell ref="AH33:AI33"/>
    <mergeCell ref="AG47:AG52"/>
    <mergeCell ref="AH51:AI51"/>
    <mergeCell ref="AG23:AG28"/>
    <mergeCell ref="AD40:AE40"/>
    <mergeCell ref="R57:S57"/>
    <mergeCell ref="Q41:Q46"/>
    <mergeCell ref="R9:S9"/>
    <mergeCell ref="R15:S15"/>
    <mergeCell ref="R51:S51"/>
    <mergeCell ref="N40:O40"/>
    <mergeCell ref="AD46:AE46"/>
    <mergeCell ref="Q35:Q40"/>
    <mergeCell ref="R33:S33"/>
    <mergeCell ref="AD34:AE34"/>
    <mergeCell ref="R75:S75"/>
    <mergeCell ref="Q17:Q22"/>
    <mergeCell ref="N28:O28"/>
    <mergeCell ref="N22:O22"/>
    <mergeCell ref="R21:S21"/>
    <mergeCell ref="Q23:Q28"/>
    <mergeCell ref="Q5:Q10"/>
    <mergeCell ref="Q11:Q16"/>
    <mergeCell ref="Q47:Q52"/>
    <mergeCell ref="Q71:Q76"/>
    <mergeCell ref="R69:S69"/>
    <mergeCell ref="N64:O64"/>
    <mergeCell ref="N58:O58"/>
    <mergeCell ref="N52:O52"/>
    <mergeCell ref="N46:O46"/>
    <mergeCell ref="R39:S39"/>
    <mergeCell ref="DI65:DI70"/>
    <mergeCell ref="CD69:CE69"/>
    <mergeCell ref="DF76:DG76"/>
    <mergeCell ref="EP75:EQ75"/>
    <mergeCell ref="EO71:EO76"/>
    <mergeCell ref="DY71:DY76"/>
    <mergeCell ref="EL64:EM64"/>
    <mergeCell ref="DF64:DG64"/>
    <mergeCell ref="DI59:DI64"/>
    <mergeCell ref="DF70:DG70"/>
    <mergeCell ref="CT63:CU63"/>
    <mergeCell ref="CT69:CU69"/>
    <mergeCell ref="DV76:DW76"/>
    <mergeCell ref="CP76:CQ76"/>
    <mergeCell ref="CD63:CE63"/>
    <mergeCell ref="DZ63:EA63"/>
    <mergeCell ref="DI71:DI76"/>
    <mergeCell ref="DJ69:DK69"/>
    <mergeCell ref="DV70:DW70"/>
    <mergeCell ref="CT75:CU75"/>
    <mergeCell ref="FE11:FE16"/>
    <mergeCell ref="FF15:FG15"/>
    <mergeCell ref="DI17:DI22"/>
    <mergeCell ref="CD75:CE75"/>
    <mergeCell ref="CD51:CE51"/>
    <mergeCell ref="CT57:CU57"/>
    <mergeCell ref="CS59:CS64"/>
    <mergeCell ref="CS53:CS58"/>
    <mergeCell ref="CP58:CQ58"/>
    <mergeCell ref="CP64:CQ64"/>
    <mergeCell ref="CP52:CQ52"/>
    <mergeCell ref="DJ51:DK51"/>
    <mergeCell ref="FB22:FC22"/>
    <mergeCell ref="EL46:EM46"/>
    <mergeCell ref="EL34:EM34"/>
    <mergeCell ref="EL40:EM40"/>
    <mergeCell ref="DZ39:EA39"/>
    <mergeCell ref="DY53:DY58"/>
    <mergeCell ref="FB34:FC34"/>
    <mergeCell ref="FF51:FG51"/>
    <mergeCell ref="FB40:FC40"/>
    <mergeCell ref="FB64:FC64"/>
    <mergeCell ref="FB70:FC70"/>
    <mergeCell ref="DY59:DY64"/>
    <mergeCell ref="GK5:GK10"/>
    <mergeCell ref="GL9:GM9"/>
    <mergeCell ref="FF75:FG75"/>
    <mergeCell ref="FF27:FG27"/>
    <mergeCell ref="FE23:FE28"/>
    <mergeCell ref="FU71:FU76"/>
    <mergeCell ref="FU53:FU58"/>
    <mergeCell ref="EP69:EQ69"/>
    <mergeCell ref="EO35:EO40"/>
    <mergeCell ref="EP39:EQ39"/>
    <mergeCell ref="EP51:EQ51"/>
    <mergeCell ref="GK47:GK52"/>
    <mergeCell ref="GL51:GM51"/>
    <mergeCell ref="GK53:GK58"/>
    <mergeCell ref="FV63:FW63"/>
    <mergeCell ref="FE29:FE34"/>
    <mergeCell ref="GK29:GK34"/>
    <mergeCell ref="GL33:GM33"/>
    <mergeCell ref="GK23:GK28"/>
    <mergeCell ref="FR76:FS76"/>
    <mergeCell ref="FE35:FE40"/>
    <mergeCell ref="FF63:FG63"/>
    <mergeCell ref="FU41:FU46"/>
    <mergeCell ref="FE71:FE76"/>
    <mergeCell ref="GL39:GM39"/>
    <mergeCell ref="GK35:GK40"/>
    <mergeCell ref="FE65:FE70"/>
    <mergeCell ref="FU23:FU28"/>
    <mergeCell ref="FV27:FW27"/>
    <mergeCell ref="GH46:GI46"/>
    <mergeCell ref="GH52:GI52"/>
    <mergeCell ref="GH58:GI58"/>
    <mergeCell ref="GK65:GK70"/>
    <mergeCell ref="FU65:FU70"/>
    <mergeCell ref="FE53:FE58"/>
    <mergeCell ref="FF57:FG57"/>
    <mergeCell ref="GH64:GI64"/>
    <mergeCell ref="GH70:GI70"/>
    <mergeCell ref="DP79:DS79"/>
    <mergeCell ref="EO79:EO80"/>
    <mergeCell ref="DT79:DW79"/>
    <mergeCell ref="EO53:EO58"/>
    <mergeCell ref="EP57:EQ57"/>
    <mergeCell ref="FF69:FG69"/>
    <mergeCell ref="FE47:FE52"/>
    <mergeCell ref="EO59:EO64"/>
    <mergeCell ref="EP63:EQ63"/>
    <mergeCell ref="EO65:EO70"/>
    <mergeCell ref="FE59:FE64"/>
    <mergeCell ref="EO47:EO52"/>
    <mergeCell ref="DZ57:EA57"/>
    <mergeCell ref="EL52:EM52"/>
    <mergeCell ref="EL58:EM58"/>
    <mergeCell ref="DV64:DW64"/>
    <mergeCell ref="FB76:FC76"/>
    <mergeCell ref="FB58:FC58"/>
    <mergeCell ref="EL70:EM70"/>
    <mergeCell ref="EL76:EM76"/>
    <mergeCell ref="EV79:EY79"/>
    <mergeCell ref="FE81:FE86"/>
    <mergeCell ref="EU78:EV78"/>
    <mergeCell ref="EO81:EO86"/>
    <mergeCell ref="FE79:FE80"/>
    <mergeCell ref="FU79:FU80"/>
    <mergeCell ref="EZ79:FC79"/>
    <mergeCell ref="EP85:EQ85"/>
    <mergeCell ref="ER79:EU79"/>
    <mergeCell ref="DI79:DI80"/>
    <mergeCell ref="DL79:DO79"/>
    <mergeCell ref="DI81:DI86"/>
    <mergeCell ref="EE78:EF78"/>
    <mergeCell ref="DY81:DY86"/>
    <mergeCell ref="DZ85:EA85"/>
    <mergeCell ref="EF79:EI79"/>
    <mergeCell ref="EJ79:EM79"/>
    <mergeCell ref="DJ85:DK85"/>
    <mergeCell ref="EB79:EE79"/>
    <mergeCell ref="DY79:DY80"/>
    <mergeCell ref="DO78:DP78"/>
    <mergeCell ref="FF85:FG85"/>
    <mergeCell ref="FH79:FK79"/>
    <mergeCell ref="FL79:FO79"/>
    <mergeCell ref="FP79:FS79"/>
    <mergeCell ref="BS78:BT78"/>
    <mergeCell ref="CY78:CZ78"/>
    <mergeCell ref="CT85:CU85"/>
    <mergeCell ref="CN79:CQ79"/>
    <mergeCell ref="CC79:CC80"/>
    <mergeCell ref="BX79:CA79"/>
    <mergeCell ref="BP79:BS79"/>
    <mergeCell ref="BT79:BW79"/>
    <mergeCell ref="DD79:DG79"/>
    <mergeCell ref="CI78:CJ78"/>
    <mergeCell ref="CZ79:DC79"/>
    <mergeCell ref="CV79:CY79"/>
    <mergeCell ref="CF79:CI79"/>
    <mergeCell ref="CC81:CC86"/>
    <mergeCell ref="CD85:CE85"/>
    <mergeCell ref="CS81:CS86"/>
    <mergeCell ref="CS79:CS80"/>
    <mergeCell ref="CJ79:CM79"/>
    <mergeCell ref="GH76:GI76"/>
    <mergeCell ref="FV85:FW85"/>
    <mergeCell ref="FX79:GA79"/>
    <mergeCell ref="FU81:FU86"/>
    <mergeCell ref="FR70:FS70"/>
    <mergeCell ref="FR64:FS64"/>
    <mergeCell ref="GK81:GK86"/>
    <mergeCell ref="GR79:GU79"/>
    <mergeCell ref="GN79:GQ79"/>
    <mergeCell ref="GK79:GK80"/>
    <mergeCell ref="GF79:GI79"/>
    <mergeCell ref="GL85:GM85"/>
    <mergeCell ref="FV75:FW75"/>
    <mergeCell ref="GL69:GM69"/>
    <mergeCell ref="GB79:GE79"/>
  </mergeCells>
  <phoneticPr fontId="0" type="noConversion"/>
  <printOptions horizontalCentered="1"/>
  <pageMargins left="0.74803149606299213" right="0.74803149606299213" top="5.1181102362204731" bottom="0.19685039370078741" header="0.51181102362204722" footer="0.51181102362204722"/>
  <pageSetup paperSize="9"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Z11"/>
  <sheetViews>
    <sheetView rightToLeft="1" workbookViewId="0">
      <selection activeCell="G14" sqref="G14"/>
    </sheetView>
  </sheetViews>
  <sheetFormatPr defaultColWidth="9.140625" defaultRowHeight="20.100000000000001" customHeight="1" x14ac:dyDescent="0.2"/>
  <cols>
    <col min="1" max="1" width="10.28515625" style="2" customWidth="1"/>
    <col min="2" max="2" width="8.42578125" style="2" customWidth="1"/>
    <col min="3" max="3" width="7" style="2" customWidth="1"/>
    <col min="4" max="4" width="10.140625" style="2" customWidth="1"/>
    <col min="5" max="7" width="6.7109375" style="2" customWidth="1"/>
    <col min="8" max="8" width="8.5703125" style="2" customWidth="1"/>
    <col min="9" max="11" width="6.7109375" style="2" customWidth="1"/>
    <col min="12" max="12" width="8.85546875" style="2" customWidth="1"/>
    <col min="13" max="15" width="6.7109375" style="2" customWidth="1"/>
    <col min="16" max="16" width="2.85546875" style="1" customWidth="1"/>
    <col min="17" max="17" width="10.28515625" style="2" customWidth="1"/>
    <col min="18" max="18" width="8.42578125" style="2" customWidth="1"/>
    <col min="19" max="19" width="7" style="2" customWidth="1"/>
    <col min="20" max="20" width="10.140625" style="2" customWidth="1"/>
    <col min="21" max="23" width="6.7109375" style="2" customWidth="1"/>
    <col min="24" max="24" width="8.5703125" style="2" customWidth="1"/>
    <col min="25" max="27" width="6.7109375" style="2" customWidth="1"/>
    <col min="28" max="28" width="8.85546875" style="2" customWidth="1"/>
    <col min="29" max="31" width="6.7109375" style="2" customWidth="1"/>
    <col min="32" max="32" width="2.85546875" style="1" customWidth="1"/>
    <col min="33" max="33" width="10.28515625" style="2" customWidth="1"/>
    <col min="34" max="34" width="8.42578125" style="2" customWidth="1"/>
    <col min="35" max="35" width="7" style="2" customWidth="1"/>
    <col min="36" max="36" width="10.140625" style="2" customWidth="1"/>
    <col min="37" max="39" width="6.7109375" style="2" customWidth="1"/>
    <col min="40" max="40" width="8.5703125" style="2" customWidth="1"/>
    <col min="41" max="43" width="6.7109375" style="2" customWidth="1"/>
    <col min="44" max="44" width="8.85546875" style="2" customWidth="1"/>
    <col min="45" max="47" width="6.7109375" style="2" customWidth="1"/>
    <col min="48" max="48" width="2.85546875" style="1" customWidth="1"/>
    <col min="49" max="49" width="10.28515625" style="2" customWidth="1"/>
    <col min="50" max="50" width="8.42578125" style="2" customWidth="1"/>
    <col min="51" max="51" width="7" style="2" customWidth="1"/>
    <col min="52" max="52" width="10.140625" style="2" customWidth="1"/>
    <col min="53" max="55" width="6.7109375" style="2" customWidth="1"/>
    <col min="56" max="56" width="8.5703125" style="2" customWidth="1"/>
    <col min="57" max="59" width="6.7109375" style="2" customWidth="1"/>
    <col min="60" max="60" width="8.85546875" style="2" customWidth="1"/>
    <col min="61" max="63" width="6.7109375" style="2" customWidth="1"/>
    <col min="64" max="64" width="2.85546875" style="1" customWidth="1"/>
    <col min="65" max="65" width="10.28515625" style="2" customWidth="1"/>
    <col min="66" max="66" width="8.42578125" style="2" customWidth="1"/>
    <col min="67" max="67" width="7" style="2" customWidth="1"/>
    <col min="68" max="68" width="10.140625" style="2" customWidth="1"/>
    <col min="69" max="71" width="6.7109375" style="2" customWidth="1"/>
    <col min="72" max="72" width="8.5703125" style="2" customWidth="1"/>
    <col min="73" max="75" width="6.7109375" style="2" customWidth="1"/>
    <col min="76" max="76" width="8.85546875" style="2" customWidth="1"/>
    <col min="77" max="79" width="6.7109375" style="2" customWidth="1"/>
    <col min="80" max="80" width="2.85546875" style="1" customWidth="1"/>
    <col min="81" max="81" width="10.28515625" style="2" customWidth="1"/>
    <col min="82" max="82" width="8.42578125" style="2" customWidth="1"/>
    <col min="83" max="83" width="7" style="2" customWidth="1"/>
    <col min="84" max="84" width="10.140625" style="2" customWidth="1"/>
    <col min="85" max="87" width="6.7109375" style="2" customWidth="1"/>
    <col min="88" max="88" width="8.5703125" style="2" customWidth="1"/>
    <col min="89" max="91" width="6.7109375" style="2" customWidth="1"/>
    <col min="92" max="92" width="8.85546875" style="2" customWidth="1"/>
    <col min="93" max="95" width="6.7109375" style="2" customWidth="1"/>
    <col min="96" max="96" width="2.85546875" style="1" customWidth="1"/>
    <col min="97" max="97" width="10.28515625" style="2" customWidth="1"/>
    <col min="98" max="98" width="8.42578125" style="2" customWidth="1"/>
    <col min="99" max="99" width="7" style="2" customWidth="1"/>
    <col min="100" max="100" width="10.140625" style="2" customWidth="1"/>
    <col min="101" max="103" width="6.7109375" style="2" customWidth="1"/>
    <col min="104" max="104" width="8.5703125" style="2" customWidth="1"/>
    <col min="105" max="107" width="6.7109375" style="2" customWidth="1"/>
    <col min="108" max="108" width="8.85546875" style="2" customWidth="1"/>
    <col min="109" max="111" width="6.7109375" style="2" customWidth="1"/>
    <col min="112" max="112" width="2.85546875" style="1" customWidth="1"/>
    <col min="113" max="113" width="10.28515625" style="2" customWidth="1"/>
    <col min="114" max="114" width="8.42578125" style="2" customWidth="1"/>
    <col min="115" max="115" width="7" style="2" customWidth="1"/>
    <col min="116" max="116" width="10.140625" style="2" customWidth="1"/>
    <col min="117" max="119" width="6.7109375" style="2" customWidth="1"/>
    <col min="120" max="120" width="8.5703125" style="2" customWidth="1"/>
    <col min="121" max="123" width="6.7109375" style="2" customWidth="1"/>
    <col min="124" max="124" width="8.85546875" style="2" customWidth="1"/>
    <col min="125" max="127" width="6.7109375" style="2" customWidth="1"/>
    <col min="128" max="128" width="2.85546875" style="1" customWidth="1"/>
    <col min="129" max="129" width="10.28515625" style="2" customWidth="1"/>
    <col min="130" max="130" width="8.42578125" style="2" customWidth="1"/>
    <col min="131" max="131" width="7" style="2" customWidth="1"/>
    <col min="132" max="132" width="10.140625" style="2" customWidth="1"/>
    <col min="133" max="135" width="6.7109375" style="2" customWidth="1"/>
    <col min="136" max="136" width="8.5703125" style="2" customWidth="1"/>
    <col min="137" max="139" width="6.7109375" style="2" customWidth="1"/>
    <col min="140" max="140" width="8.85546875" style="2" customWidth="1"/>
    <col min="141" max="143" width="6.7109375" style="2" customWidth="1"/>
    <col min="144" max="144" width="2.85546875" style="1" customWidth="1"/>
    <col min="145" max="145" width="10.28515625" style="2" customWidth="1"/>
    <col min="146" max="146" width="8.42578125" style="2" customWidth="1"/>
    <col min="147" max="147" width="7" style="2" customWidth="1"/>
    <col min="148" max="148" width="10.140625" style="2" customWidth="1"/>
    <col min="149" max="151" width="6.7109375" style="2" customWidth="1"/>
    <col min="152" max="152" width="8.5703125" style="2" customWidth="1"/>
    <col min="153" max="155" width="6.7109375" style="2" customWidth="1"/>
    <col min="156" max="156" width="8.85546875" style="2" customWidth="1"/>
    <col min="157" max="159" width="6.7109375" style="2" customWidth="1"/>
    <col min="160" max="160" width="2.85546875" style="1" customWidth="1"/>
    <col min="161" max="161" width="10.28515625" style="2" customWidth="1"/>
    <col min="162" max="162" width="8.42578125" style="2" customWidth="1"/>
    <col min="163" max="163" width="7" style="2" customWidth="1"/>
    <col min="164" max="164" width="10.140625" style="2" customWidth="1"/>
    <col min="165" max="167" width="6.7109375" style="2" customWidth="1"/>
    <col min="168" max="168" width="8.5703125" style="2" customWidth="1"/>
    <col min="169" max="171" width="6.7109375" style="2" customWidth="1"/>
    <col min="172" max="172" width="8.85546875" style="2" customWidth="1"/>
    <col min="173" max="175" width="6.7109375" style="2" customWidth="1"/>
    <col min="176" max="176" width="2.85546875" style="1" customWidth="1"/>
    <col min="177" max="177" width="10.28515625" style="2" customWidth="1"/>
    <col min="178" max="178" width="8.42578125" style="2" customWidth="1"/>
    <col min="179" max="179" width="7" style="2" customWidth="1"/>
    <col min="180" max="180" width="10.140625" style="2" customWidth="1"/>
    <col min="181" max="183" width="6.7109375" style="2" customWidth="1"/>
    <col min="184" max="184" width="8.5703125" style="2" customWidth="1"/>
    <col min="185" max="187" width="6.7109375" style="2" customWidth="1"/>
    <col min="188" max="188" width="8.85546875" style="2" customWidth="1"/>
    <col min="189" max="191" width="6.7109375" style="2" customWidth="1"/>
    <col min="192" max="192" width="2.85546875" style="1" customWidth="1"/>
    <col min="193" max="193" width="10.28515625" style="2" customWidth="1"/>
    <col min="194" max="194" width="8.42578125" style="2" customWidth="1"/>
    <col min="195" max="195" width="7" style="2" customWidth="1"/>
    <col min="196" max="196" width="10.140625" style="2" customWidth="1"/>
    <col min="197" max="198" width="6.7109375" style="2" customWidth="1"/>
    <col min="199" max="199" width="8.28515625" style="2" customWidth="1"/>
    <col min="200" max="200" width="8.5703125" style="2" customWidth="1"/>
    <col min="201" max="202" width="6.7109375" style="2" customWidth="1"/>
    <col min="203" max="203" width="8.42578125" style="2" customWidth="1"/>
    <col min="204" max="204" width="8.85546875" style="2" customWidth="1"/>
    <col min="205" max="206" width="6.7109375" style="2" customWidth="1"/>
    <col min="207" max="207" width="8" style="2" customWidth="1"/>
    <col min="208" max="208" width="6" style="2" customWidth="1"/>
    <col min="209" max="16384" width="9.140625" style="2"/>
  </cols>
  <sheetData>
    <row r="1" spans="1:208" ht="24" customHeight="1" thickBot="1" x14ac:dyDescent="0.3">
      <c r="A1" s="81" t="s">
        <v>33</v>
      </c>
      <c r="B1" s="82"/>
      <c r="C1" s="83"/>
      <c r="D1" s="84" t="s">
        <v>0</v>
      </c>
      <c r="E1" s="85">
        <v>1</v>
      </c>
      <c r="F1" s="85" t="s">
        <v>19</v>
      </c>
      <c r="G1" s="276">
        <f>SUM('الأمراض المزمنة'!I2:J2)</f>
        <v>1447</v>
      </c>
      <c r="H1" s="276"/>
      <c r="I1" s="86"/>
      <c r="J1" s="83"/>
      <c r="K1" s="83"/>
      <c r="L1" s="86" t="s">
        <v>1</v>
      </c>
      <c r="M1" s="83"/>
      <c r="N1" s="83"/>
      <c r="O1" s="87"/>
      <c r="P1" s="93"/>
      <c r="Q1" s="81" t="s">
        <v>33</v>
      </c>
      <c r="R1" s="82"/>
      <c r="S1" s="83"/>
      <c r="T1" s="84" t="s">
        <v>0</v>
      </c>
      <c r="U1" s="85">
        <v>2</v>
      </c>
      <c r="V1" s="85" t="s">
        <v>19</v>
      </c>
      <c r="W1" s="276">
        <f>SUM('الأمراض المزمنة'!Y2:Z2)</f>
        <v>1447</v>
      </c>
      <c r="X1" s="276"/>
      <c r="Y1" s="86"/>
      <c r="Z1" s="83"/>
      <c r="AA1" s="83"/>
      <c r="AB1" s="86" t="s">
        <v>1</v>
      </c>
      <c r="AC1" s="83"/>
      <c r="AD1" s="83"/>
      <c r="AE1" s="87"/>
      <c r="AF1" s="93"/>
      <c r="AG1" s="81" t="s">
        <v>33</v>
      </c>
      <c r="AH1" s="82"/>
      <c r="AI1" s="83"/>
      <c r="AJ1" s="84" t="s">
        <v>0</v>
      </c>
      <c r="AK1" s="85">
        <v>3</v>
      </c>
      <c r="AL1" s="85" t="s">
        <v>19</v>
      </c>
      <c r="AM1" s="276">
        <f>SUM('الأمراض المزمنة'!AO2:AP2)</f>
        <v>1447</v>
      </c>
      <c r="AN1" s="276"/>
      <c r="AO1" s="86"/>
      <c r="AP1" s="83"/>
      <c r="AQ1" s="83"/>
      <c r="AR1" s="86" t="s">
        <v>1</v>
      </c>
      <c r="AS1" s="83"/>
      <c r="AT1" s="83"/>
      <c r="AU1" s="87"/>
      <c r="AV1" s="93"/>
      <c r="AW1" s="81" t="s">
        <v>33</v>
      </c>
      <c r="AX1" s="82"/>
      <c r="AY1" s="83"/>
      <c r="AZ1" s="84" t="s">
        <v>0</v>
      </c>
      <c r="BA1" s="85">
        <v>4</v>
      </c>
      <c r="BB1" s="85" t="s">
        <v>19</v>
      </c>
      <c r="BC1" s="276">
        <f>SUM('الأمراض المزمنة'!BE2:BF2)</f>
        <v>1447</v>
      </c>
      <c r="BD1" s="276"/>
      <c r="BE1" s="86"/>
      <c r="BF1" s="83"/>
      <c r="BG1" s="83"/>
      <c r="BH1" s="86" t="s">
        <v>1</v>
      </c>
      <c r="BI1" s="83"/>
      <c r="BJ1" s="83"/>
      <c r="BK1" s="87"/>
      <c r="BL1" s="93"/>
      <c r="BM1" s="81" t="s">
        <v>33</v>
      </c>
      <c r="BN1" s="82"/>
      <c r="BO1" s="83"/>
      <c r="BP1" s="84" t="s">
        <v>0</v>
      </c>
      <c r="BQ1" s="85">
        <v>5</v>
      </c>
      <c r="BR1" s="85" t="s">
        <v>19</v>
      </c>
      <c r="BS1" s="276">
        <f>SUM('الأمراض المزمنة'!BU2:BV2)</f>
        <v>1447</v>
      </c>
      <c r="BT1" s="276"/>
      <c r="BU1" s="86"/>
      <c r="BV1" s="83"/>
      <c r="BW1" s="83"/>
      <c r="BX1" s="86" t="s">
        <v>1</v>
      </c>
      <c r="BY1" s="83"/>
      <c r="BZ1" s="83"/>
      <c r="CA1" s="87"/>
      <c r="CB1" s="93"/>
      <c r="CC1" s="81" t="s">
        <v>33</v>
      </c>
      <c r="CD1" s="82"/>
      <c r="CE1" s="83"/>
      <c r="CF1" s="84" t="s">
        <v>0</v>
      </c>
      <c r="CG1" s="85">
        <v>6</v>
      </c>
      <c r="CH1" s="85" t="s">
        <v>19</v>
      </c>
      <c r="CI1" s="276">
        <f>SUM('الأمراض المزمنة'!CK2:CL2)</f>
        <v>1447</v>
      </c>
      <c r="CJ1" s="276"/>
      <c r="CK1" s="86"/>
      <c r="CL1" s="83"/>
      <c r="CM1" s="83"/>
      <c r="CN1" s="86" t="s">
        <v>1</v>
      </c>
      <c r="CO1" s="83"/>
      <c r="CP1" s="83"/>
      <c r="CQ1" s="87"/>
      <c r="CR1" s="93"/>
      <c r="CS1" s="81" t="s">
        <v>33</v>
      </c>
      <c r="CT1" s="82"/>
      <c r="CU1" s="83"/>
      <c r="CV1" s="84" t="s">
        <v>0</v>
      </c>
      <c r="CW1" s="85">
        <v>7</v>
      </c>
      <c r="CX1" s="85" t="s">
        <v>19</v>
      </c>
      <c r="CY1" s="276">
        <f>SUM('الأمراض المزمنة'!DA2:DB2)</f>
        <v>1447</v>
      </c>
      <c r="CZ1" s="276"/>
      <c r="DA1" s="86"/>
      <c r="DB1" s="83"/>
      <c r="DC1" s="83"/>
      <c r="DD1" s="86" t="s">
        <v>1</v>
      </c>
      <c r="DE1" s="83"/>
      <c r="DF1" s="83"/>
      <c r="DG1" s="87"/>
      <c r="DH1" s="93"/>
      <c r="DI1" s="81" t="s">
        <v>33</v>
      </c>
      <c r="DJ1" s="82"/>
      <c r="DK1" s="83"/>
      <c r="DL1" s="84" t="s">
        <v>0</v>
      </c>
      <c r="DM1" s="85">
        <v>8</v>
      </c>
      <c r="DN1" s="85" t="s">
        <v>19</v>
      </c>
      <c r="DO1" s="276">
        <f>SUM('الأمراض المزمنة'!DQ2:DR2)</f>
        <v>1447</v>
      </c>
      <c r="DP1" s="276"/>
      <c r="DQ1" s="86"/>
      <c r="DR1" s="83"/>
      <c r="DS1" s="83"/>
      <c r="DT1" s="86" t="s">
        <v>1</v>
      </c>
      <c r="DU1" s="83"/>
      <c r="DV1" s="83"/>
      <c r="DW1" s="87"/>
      <c r="DX1" s="93"/>
      <c r="DY1" s="81" t="s">
        <v>33</v>
      </c>
      <c r="DZ1" s="82"/>
      <c r="EA1" s="83"/>
      <c r="EB1" s="84" t="s">
        <v>0</v>
      </c>
      <c r="EC1" s="85">
        <v>9</v>
      </c>
      <c r="ED1" s="85" t="s">
        <v>19</v>
      </c>
      <c r="EE1" s="276">
        <f>SUM('الأمراض المزمنة'!EG2:EH2)</f>
        <v>1447</v>
      </c>
      <c r="EF1" s="276"/>
      <c r="EG1" s="86"/>
      <c r="EH1" s="83"/>
      <c r="EI1" s="83"/>
      <c r="EJ1" s="86" t="s">
        <v>1</v>
      </c>
      <c r="EK1" s="83"/>
      <c r="EL1" s="83"/>
      <c r="EM1" s="87"/>
      <c r="EN1" s="93"/>
      <c r="EO1" s="81" t="s">
        <v>33</v>
      </c>
      <c r="EP1" s="82"/>
      <c r="EQ1" s="83"/>
      <c r="ER1" s="84" t="s">
        <v>0</v>
      </c>
      <c r="ES1" s="85">
        <v>10</v>
      </c>
      <c r="ET1" s="85" t="s">
        <v>19</v>
      </c>
      <c r="EU1" s="276">
        <f>SUM('الأمراض المزمنة'!EW2:EX2)</f>
        <v>1447</v>
      </c>
      <c r="EV1" s="276"/>
      <c r="EW1" s="86"/>
      <c r="EX1" s="83"/>
      <c r="EY1" s="83"/>
      <c r="EZ1" s="86" t="s">
        <v>1</v>
      </c>
      <c r="FA1" s="83"/>
      <c r="FB1" s="83"/>
      <c r="FC1" s="87"/>
      <c r="FD1" s="93"/>
      <c r="FE1" s="81" t="s">
        <v>33</v>
      </c>
      <c r="FF1" s="82"/>
      <c r="FG1" s="83"/>
      <c r="FH1" s="84" t="s">
        <v>0</v>
      </c>
      <c r="FI1" s="85">
        <v>11</v>
      </c>
      <c r="FJ1" s="85" t="s">
        <v>19</v>
      </c>
      <c r="FK1" s="276">
        <f>SUM('الأمراض المزمنة'!FM2:FN2)</f>
        <v>1447</v>
      </c>
      <c r="FL1" s="276"/>
      <c r="FM1" s="86"/>
      <c r="FN1" s="83"/>
      <c r="FO1" s="83"/>
      <c r="FP1" s="86" t="s">
        <v>1</v>
      </c>
      <c r="FQ1" s="83"/>
      <c r="FR1" s="83"/>
      <c r="FS1" s="87"/>
      <c r="FT1" s="93"/>
      <c r="FU1" s="81" t="s">
        <v>33</v>
      </c>
      <c r="FV1" s="82"/>
      <c r="FW1" s="83"/>
      <c r="FX1" s="84" t="s">
        <v>0</v>
      </c>
      <c r="FY1" s="85">
        <v>12</v>
      </c>
      <c r="FZ1" s="85" t="s">
        <v>19</v>
      </c>
      <c r="GA1" s="276">
        <f>SUM('الأمراض المزمنة'!GC2:GD2)</f>
        <v>1447</v>
      </c>
      <c r="GB1" s="276"/>
      <c r="GC1" s="86"/>
      <c r="GD1" s="83"/>
      <c r="GE1" s="83"/>
      <c r="GF1" s="86" t="s">
        <v>1</v>
      </c>
      <c r="GG1" s="83"/>
      <c r="GH1" s="83"/>
      <c r="GI1" s="87"/>
      <c r="GJ1" s="93"/>
      <c r="GK1" s="81" t="s">
        <v>33</v>
      </c>
      <c r="GL1" s="82"/>
      <c r="GM1" s="83"/>
      <c r="GN1" s="84"/>
      <c r="GO1" s="85"/>
      <c r="GP1" s="85" t="s">
        <v>19</v>
      </c>
      <c r="GQ1" s="276">
        <f>SUM(GA1)</f>
        <v>1447</v>
      </c>
      <c r="GR1" s="276"/>
      <c r="GS1" s="86"/>
      <c r="GT1" s="83"/>
      <c r="GU1" s="83"/>
      <c r="GV1" s="86" t="s">
        <v>1</v>
      </c>
      <c r="GW1" s="83"/>
      <c r="GX1" s="83"/>
      <c r="GY1" s="87"/>
      <c r="GZ1" s="93"/>
    </row>
    <row r="2" spans="1:208" ht="20.100000000000001" customHeight="1" thickBot="1" x14ac:dyDescent="0.3">
      <c r="A2" s="272" t="s">
        <v>18</v>
      </c>
      <c r="B2" s="272" t="s">
        <v>5</v>
      </c>
      <c r="C2" s="274" t="s">
        <v>6</v>
      </c>
      <c r="D2" s="269" t="s">
        <v>2</v>
      </c>
      <c r="E2" s="270"/>
      <c r="F2" s="270"/>
      <c r="G2" s="271"/>
      <c r="H2" s="269" t="s">
        <v>3</v>
      </c>
      <c r="I2" s="270"/>
      <c r="J2" s="270"/>
      <c r="K2" s="271"/>
      <c r="L2" s="269" t="s">
        <v>4</v>
      </c>
      <c r="M2" s="270"/>
      <c r="N2" s="270"/>
      <c r="O2" s="271"/>
      <c r="P2" s="93"/>
      <c r="Q2" s="272" t="s">
        <v>18</v>
      </c>
      <c r="R2" s="272" t="s">
        <v>5</v>
      </c>
      <c r="S2" s="274" t="s">
        <v>6</v>
      </c>
      <c r="T2" s="269" t="s">
        <v>2</v>
      </c>
      <c r="U2" s="270"/>
      <c r="V2" s="270"/>
      <c r="W2" s="271"/>
      <c r="X2" s="269" t="s">
        <v>3</v>
      </c>
      <c r="Y2" s="270"/>
      <c r="Z2" s="270"/>
      <c r="AA2" s="271"/>
      <c r="AB2" s="269" t="s">
        <v>4</v>
      </c>
      <c r="AC2" s="270"/>
      <c r="AD2" s="270"/>
      <c r="AE2" s="271"/>
      <c r="AF2" s="93"/>
      <c r="AG2" s="272" t="s">
        <v>18</v>
      </c>
      <c r="AH2" s="272" t="s">
        <v>5</v>
      </c>
      <c r="AI2" s="274" t="s">
        <v>6</v>
      </c>
      <c r="AJ2" s="269" t="s">
        <v>2</v>
      </c>
      <c r="AK2" s="270"/>
      <c r="AL2" s="270"/>
      <c r="AM2" s="271"/>
      <c r="AN2" s="269" t="s">
        <v>3</v>
      </c>
      <c r="AO2" s="270"/>
      <c r="AP2" s="270"/>
      <c r="AQ2" s="271"/>
      <c r="AR2" s="269" t="s">
        <v>4</v>
      </c>
      <c r="AS2" s="270"/>
      <c r="AT2" s="270"/>
      <c r="AU2" s="271"/>
      <c r="AV2" s="93"/>
      <c r="AW2" s="272" t="s">
        <v>18</v>
      </c>
      <c r="AX2" s="272" t="s">
        <v>5</v>
      </c>
      <c r="AY2" s="274" t="s">
        <v>6</v>
      </c>
      <c r="AZ2" s="269" t="s">
        <v>2</v>
      </c>
      <c r="BA2" s="270"/>
      <c r="BB2" s="270"/>
      <c r="BC2" s="271"/>
      <c r="BD2" s="269" t="s">
        <v>3</v>
      </c>
      <c r="BE2" s="270"/>
      <c r="BF2" s="270"/>
      <c r="BG2" s="271"/>
      <c r="BH2" s="269" t="s">
        <v>4</v>
      </c>
      <c r="BI2" s="270"/>
      <c r="BJ2" s="270"/>
      <c r="BK2" s="271"/>
      <c r="BL2" s="93"/>
      <c r="BM2" s="272" t="s">
        <v>18</v>
      </c>
      <c r="BN2" s="272" t="s">
        <v>5</v>
      </c>
      <c r="BO2" s="274" t="s">
        <v>6</v>
      </c>
      <c r="BP2" s="269" t="s">
        <v>2</v>
      </c>
      <c r="BQ2" s="270"/>
      <c r="BR2" s="270"/>
      <c r="BS2" s="271"/>
      <c r="BT2" s="269" t="s">
        <v>3</v>
      </c>
      <c r="BU2" s="270"/>
      <c r="BV2" s="270"/>
      <c r="BW2" s="271"/>
      <c r="BX2" s="269" t="s">
        <v>4</v>
      </c>
      <c r="BY2" s="270"/>
      <c r="BZ2" s="270"/>
      <c r="CA2" s="271"/>
      <c r="CB2" s="93"/>
      <c r="CC2" s="272" t="s">
        <v>18</v>
      </c>
      <c r="CD2" s="272" t="s">
        <v>5</v>
      </c>
      <c r="CE2" s="274" t="s">
        <v>6</v>
      </c>
      <c r="CF2" s="269" t="s">
        <v>2</v>
      </c>
      <c r="CG2" s="270"/>
      <c r="CH2" s="270"/>
      <c r="CI2" s="271"/>
      <c r="CJ2" s="269" t="s">
        <v>3</v>
      </c>
      <c r="CK2" s="270"/>
      <c r="CL2" s="270"/>
      <c r="CM2" s="271"/>
      <c r="CN2" s="269" t="s">
        <v>4</v>
      </c>
      <c r="CO2" s="270"/>
      <c r="CP2" s="270"/>
      <c r="CQ2" s="271"/>
      <c r="CR2" s="93"/>
      <c r="CS2" s="272" t="s">
        <v>18</v>
      </c>
      <c r="CT2" s="272" t="s">
        <v>5</v>
      </c>
      <c r="CU2" s="274" t="s">
        <v>6</v>
      </c>
      <c r="CV2" s="269" t="s">
        <v>2</v>
      </c>
      <c r="CW2" s="270"/>
      <c r="CX2" s="270"/>
      <c r="CY2" s="271"/>
      <c r="CZ2" s="269" t="s">
        <v>3</v>
      </c>
      <c r="DA2" s="270"/>
      <c r="DB2" s="270"/>
      <c r="DC2" s="271"/>
      <c r="DD2" s="269" t="s">
        <v>4</v>
      </c>
      <c r="DE2" s="270"/>
      <c r="DF2" s="270"/>
      <c r="DG2" s="271"/>
      <c r="DH2" s="93"/>
      <c r="DI2" s="272" t="s">
        <v>18</v>
      </c>
      <c r="DJ2" s="272" t="s">
        <v>5</v>
      </c>
      <c r="DK2" s="274" t="s">
        <v>6</v>
      </c>
      <c r="DL2" s="269" t="s">
        <v>2</v>
      </c>
      <c r="DM2" s="270"/>
      <c r="DN2" s="270"/>
      <c r="DO2" s="271"/>
      <c r="DP2" s="269" t="s">
        <v>3</v>
      </c>
      <c r="DQ2" s="270"/>
      <c r="DR2" s="270"/>
      <c r="DS2" s="271"/>
      <c r="DT2" s="269" t="s">
        <v>4</v>
      </c>
      <c r="DU2" s="270"/>
      <c r="DV2" s="270"/>
      <c r="DW2" s="271"/>
      <c r="DX2" s="93"/>
      <c r="DY2" s="272" t="s">
        <v>18</v>
      </c>
      <c r="DZ2" s="272" t="s">
        <v>5</v>
      </c>
      <c r="EA2" s="274" t="s">
        <v>6</v>
      </c>
      <c r="EB2" s="269" t="s">
        <v>2</v>
      </c>
      <c r="EC2" s="270"/>
      <c r="ED2" s="270"/>
      <c r="EE2" s="271"/>
      <c r="EF2" s="269" t="s">
        <v>3</v>
      </c>
      <c r="EG2" s="270"/>
      <c r="EH2" s="270"/>
      <c r="EI2" s="271"/>
      <c r="EJ2" s="269" t="s">
        <v>4</v>
      </c>
      <c r="EK2" s="270"/>
      <c r="EL2" s="270"/>
      <c r="EM2" s="271"/>
      <c r="EN2" s="93"/>
      <c r="EO2" s="272" t="s">
        <v>18</v>
      </c>
      <c r="EP2" s="272" t="s">
        <v>5</v>
      </c>
      <c r="EQ2" s="274" t="s">
        <v>6</v>
      </c>
      <c r="ER2" s="269" t="s">
        <v>2</v>
      </c>
      <c r="ES2" s="270"/>
      <c r="ET2" s="270"/>
      <c r="EU2" s="271"/>
      <c r="EV2" s="269" t="s">
        <v>3</v>
      </c>
      <c r="EW2" s="270"/>
      <c r="EX2" s="270"/>
      <c r="EY2" s="271"/>
      <c r="EZ2" s="269" t="s">
        <v>4</v>
      </c>
      <c r="FA2" s="270"/>
      <c r="FB2" s="270"/>
      <c r="FC2" s="271"/>
      <c r="FD2" s="93"/>
      <c r="FE2" s="272" t="s">
        <v>18</v>
      </c>
      <c r="FF2" s="272" t="s">
        <v>5</v>
      </c>
      <c r="FG2" s="274" t="s">
        <v>6</v>
      </c>
      <c r="FH2" s="269" t="s">
        <v>2</v>
      </c>
      <c r="FI2" s="270"/>
      <c r="FJ2" s="270"/>
      <c r="FK2" s="271"/>
      <c r="FL2" s="269" t="s">
        <v>3</v>
      </c>
      <c r="FM2" s="270"/>
      <c r="FN2" s="270"/>
      <c r="FO2" s="271"/>
      <c r="FP2" s="269" t="s">
        <v>4</v>
      </c>
      <c r="FQ2" s="270"/>
      <c r="FR2" s="270"/>
      <c r="FS2" s="271"/>
      <c r="FT2" s="93"/>
      <c r="FU2" s="272" t="s">
        <v>18</v>
      </c>
      <c r="FV2" s="272" t="s">
        <v>5</v>
      </c>
      <c r="FW2" s="274" t="s">
        <v>6</v>
      </c>
      <c r="FX2" s="269" t="s">
        <v>2</v>
      </c>
      <c r="FY2" s="270"/>
      <c r="FZ2" s="270"/>
      <c r="GA2" s="271"/>
      <c r="GB2" s="269" t="s">
        <v>3</v>
      </c>
      <c r="GC2" s="270"/>
      <c r="GD2" s="270"/>
      <c r="GE2" s="271"/>
      <c r="GF2" s="269" t="s">
        <v>4</v>
      </c>
      <c r="GG2" s="270"/>
      <c r="GH2" s="270"/>
      <c r="GI2" s="271"/>
      <c r="GJ2" s="93"/>
      <c r="GK2" s="272" t="s">
        <v>18</v>
      </c>
      <c r="GL2" s="272" t="s">
        <v>5</v>
      </c>
      <c r="GM2" s="274" t="s">
        <v>6</v>
      </c>
      <c r="GN2" s="269" t="s">
        <v>2</v>
      </c>
      <c r="GO2" s="270"/>
      <c r="GP2" s="270"/>
      <c r="GQ2" s="271"/>
      <c r="GR2" s="269" t="s">
        <v>3</v>
      </c>
      <c r="GS2" s="270"/>
      <c r="GT2" s="270"/>
      <c r="GU2" s="271"/>
      <c r="GV2" s="269" t="s">
        <v>4</v>
      </c>
      <c r="GW2" s="270"/>
      <c r="GX2" s="270"/>
      <c r="GY2" s="271"/>
      <c r="GZ2" s="93"/>
    </row>
    <row r="3" spans="1:208" s="106" customFormat="1" ht="24.75" customHeight="1" thickBot="1" x14ac:dyDescent="0.25">
      <c r="A3" s="273"/>
      <c r="B3" s="273"/>
      <c r="C3" s="275"/>
      <c r="D3" s="100" t="s">
        <v>7</v>
      </c>
      <c r="E3" s="101" t="s">
        <v>8</v>
      </c>
      <c r="F3" s="110" t="s">
        <v>9</v>
      </c>
      <c r="G3" s="96" t="s">
        <v>22</v>
      </c>
      <c r="H3" s="100" t="s">
        <v>7</v>
      </c>
      <c r="I3" s="101" t="s">
        <v>8</v>
      </c>
      <c r="J3" s="110" t="s">
        <v>9</v>
      </c>
      <c r="K3" s="96" t="s">
        <v>22</v>
      </c>
      <c r="L3" s="107" t="s">
        <v>7</v>
      </c>
      <c r="M3" s="101" t="s">
        <v>8</v>
      </c>
      <c r="N3" s="110" t="s">
        <v>9</v>
      </c>
      <c r="O3" s="96" t="s">
        <v>22</v>
      </c>
      <c r="P3" s="105"/>
      <c r="Q3" s="273"/>
      <c r="R3" s="273"/>
      <c r="S3" s="275"/>
      <c r="T3" s="100" t="s">
        <v>7</v>
      </c>
      <c r="U3" s="101" t="s">
        <v>8</v>
      </c>
      <c r="V3" s="110" t="s">
        <v>9</v>
      </c>
      <c r="W3" s="96" t="s">
        <v>22</v>
      </c>
      <c r="X3" s="100" t="s">
        <v>7</v>
      </c>
      <c r="Y3" s="101" t="s">
        <v>8</v>
      </c>
      <c r="Z3" s="110" t="s">
        <v>9</v>
      </c>
      <c r="AA3" s="96" t="s">
        <v>22</v>
      </c>
      <c r="AB3" s="107" t="s">
        <v>7</v>
      </c>
      <c r="AC3" s="101" t="s">
        <v>8</v>
      </c>
      <c r="AD3" s="110" t="s">
        <v>9</v>
      </c>
      <c r="AE3" s="96" t="s">
        <v>22</v>
      </c>
      <c r="AF3" s="105"/>
      <c r="AG3" s="273"/>
      <c r="AH3" s="273"/>
      <c r="AI3" s="275"/>
      <c r="AJ3" s="100" t="s">
        <v>7</v>
      </c>
      <c r="AK3" s="101" t="s">
        <v>8</v>
      </c>
      <c r="AL3" s="110" t="s">
        <v>9</v>
      </c>
      <c r="AM3" s="96" t="s">
        <v>22</v>
      </c>
      <c r="AN3" s="100" t="s">
        <v>7</v>
      </c>
      <c r="AO3" s="101" t="s">
        <v>8</v>
      </c>
      <c r="AP3" s="110" t="s">
        <v>9</v>
      </c>
      <c r="AQ3" s="96" t="s">
        <v>22</v>
      </c>
      <c r="AR3" s="107" t="s">
        <v>7</v>
      </c>
      <c r="AS3" s="101" t="s">
        <v>8</v>
      </c>
      <c r="AT3" s="110" t="s">
        <v>9</v>
      </c>
      <c r="AU3" s="96" t="s">
        <v>22</v>
      </c>
      <c r="AV3" s="105"/>
      <c r="AW3" s="273"/>
      <c r="AX3" s="273"/>
      <c r="AY3" s="275"/>
      <c r="AZ3" s="100" t="s">
        <v>7</v>
      </c>
      <c r="BA3" s="101" t="s">
        <v>8</v>
      </c>
      <c r="BB3" s="110" t="s">
        <v>9</v>
      </c>
      <c r="BC3" s="96" t="s">
        <v>22</v>
      </c>
      <c r="BD3" s="100" t="s">
        <v>7</v>
      </c>
      <c r="BE3" s="101" t="s">
        <v>8</v>
      </c>
      <c r="BF3" s="110" t="s">
        <v>9</v>
      </c>
      <c r="BG3" s="96" t="s">
        <v>22</v>
      </c>
      <c r="BH3" s="107" t="s">
        <v>7</v>
      </c>
      <c r="BI3" s="101" t="s">
        <v>8</v>
      </c>
      <c r="BJ3" s="110" t="s">
        <v>9</v>
      </c>
      <c r="BK3" s="96" t="s">
        <v>22</v>
      </c>
      <c r="BL3" s="105"/>
      <c r="BM3" s="273"/>
      <c r="BN3" s="273"/>
      <c r="BO3" s="275"/>
      <c r="BP3" s="100" t="s">
        <v>7</v>
      </c>
      <c r="BQ3" s="101" t="s">
        <v>8</v>
      </c>
      <c r="BR3" s="110" t="s">
        <v>9</v>
      </c>
      <c r="BS3" s="96" t="s">
        <v>22</v>
      </c>
      <c r="BT3" s="100" t="s">
        <v>7</v>
      </c>
      <c r="BU3" s="101" t="s">
        <v>8</v>
      </c>
      <c r="BV3" s="110" t="s">
        <v>9</v>
      </c>
      <c r="BW3" s="96" t="s">
        <v>22</v>
      </c>
      <c r="BX3" s="107" t="s">
        <v>7</v>
      </c>
      <c r="BY3" s="101" t="s">
        <v>8</v>
      </c>
      <c r="BZ3" s="110" t="s">
        <v>9</v>
      </c>
      <c r="CA3" s="96" t="s">
        <v>22</v>
      </c>
      <c r="CB3" s="105"/>
      <c r="CC3" s="273"/>
      <c r="CD3" s="273"/>
      <c r="CE3" s="275"/>
      <c r="CF3" s="100" t="s">
        <v>7</v>
      </c>
      <c r="CG3" s="101" t="s">
        <v>8</v>
      </c>
      <c r="CH3" s="110" t="s">
        <v>9</v>
      </c>
      <c r="CI3" s="96" t="s">
        <v>22</v>
      </c>
      <c r="CJ3" s="100" t="s">
        <v>7</v>
      </c>
      <c r="CK3" s="101" t="s">
        <v>8</v>
      </c>
      <c r="CL3" s="110" t="s">
        <v>9</v>
      </c>
      <c r="CM3" s="96" t="s">
        <v>22</v>
      </c>
      <c r="CN3" s="107" t="s">
        <v>7</v>
      </c>
      <c r="CO3" s="101" t="s">
        <v>8</v>
      </c>
      <c r="CP3" s="110" t="s">
        <v>9</v>
      </c>
      <c r="CQ3" s="96" t="s">
        <v>22</v>
      </c>
      <c r="CR3" s="105"/>
      <c r="CS3" s="273"/>
      <c r="CT3" s="273"/>
      <c r="CU3" s="275"/>
      <c r="CV3" s="100" t="s">
        <v>7</v>
      </c>
      <c r="CW3" s="101" t="s">
        <v>8</v>
      </c>
      <c r="CX3" s="110" t="s">
        <v>9</v>
      </c>
      <c r="CY3" s="96" t="s">
        <v>22</v>
      </c>
      <c r="CZ3" s="100" t="s">
        <v>7</v>
      </c>
      <c r="DA3" s="101" t="s">
        <v>8</v>
      </c>
      <c r="DB3" s="110" t="s">
        <v>9</v>
      </c>
      <c r="DC3" s="96" t="s">
        <v>22</v>
      </c>
      <c r="DD3" s="107" t="s">
        <v>7</v>
      </c>
      <c r="DE3" s="101" t="s">
        <v>8</v>
      </c>
      <c r="DF3" s="110" t="s">
        <v>9</v>
      </c>
      <c r="DG3" s="96" t="s">
        <v>22</v>
      </c>
      <c r="DH3" s="105"/>
      <c r="DI3" s="273"/>
      <c r="DJ3" s="273"/>
      <c r="DK3" s="275"/>
      <c r="DL3" s="100" t="s">
        <v>7</v>
      </c>
      <c r="DM3" s="101" t="s">
        <v>8</v>
      </c>
      <c r="DN3" s="110" t="s">
        <v>9</v>
      </c>
      <c r="DO3" s="96" t="s">
        <v>22</v>
      </c>
      <c r="DP3" s="100" t="s">
        <v>7</v>
      </c>
      <c r="DQ3" s="101" t="s">
        <v>8</v>
      </c>
      <c r="DR3" s="110" t="s">
        <v>9</v>
      </c>
      <c r="DS3" s="96" t="s">
        <v>22</v>
      </c>
      <c r="DT3" s="107" t="s">
        <v>7</v>
      </c>
      <c r="DU3" s="101" t="s">
        <v>8</v>
      </c>
      <c r="DV3" s="110" t="s">
        <v>9</v>
      </c>
      <c r="DW3" s="96" t="s">
        <v>22</v>
      </c>
      <c r="DX3" s="105"/>
      <c r="DY3" s="273"/>
      <c r="DZ3" s="273"/>
      <c r="EA3" s="275"/>
      <c r="EB3" s="100" t="s">
        <v>7</v>
      </c>
      <c r="EC3" s="101" t="s">
        <v>8</v>
      </c>
      <c r="ED3" s="110" t="s">
        <v>9</v>
      </c>
      <c r="EE3" s="96" t="s">
        <v>22</v>
      </c>
      <c r="EF3" s="100" t="s">
        <v>7</v>
      </c>
      <c r="EG3" s="101" t="s">
        <v>8</v>
      </c>
      <c r="EH3" s="110" t="s">
        <v>9</v>
      </c>
      <c r="EI3" s="96" t="s">
        <v>22</v>
      </c>
      <c r="EJ3" s="107" t="s">
        <v>7</v>
      </c>
      <c r="EK3" s="101" t="s">
        <v>8</v>
      </c>
      <c r="EL3" s="110" t="s">
        <v>9</v>
      </c>
      <c r="EM3" s="96" t="s">
        <v>22</v>
      </c>
      <c r="EN3" s="105"/>
      <c r="EO3" s="273"/>
      <c r="EP3" s="273"/>
      <c r="EQ3" s="275"/>
      <c r="ER3" s="100" t="s">
        <v>7</v>
      </c>
      <c r="ES3" s="101" t="s">
        <v>8</v>
      </c>
      <c r="ET3" s="110" t="s">
        <v>9</v>
      </c>
      <c r="EU3" s="96" t="s">
        <v>22</v>
      </c>
      <c r="EV3" s="100" t="s">
        <v>7</v>
      </c>
      <c r="EW3" s="101" t="s">
        <v>8</v>
      </c>
      <c r="EX3" s="110" t="s">
        <v>9</v>
      </c>
      <c r="EY3" s="96" t="s">
        <v>22</v>
      </c>
      <c r="EZ3" s="107" t="s">
        <v>7</v>
      </c>
      <c r="FA3" s="101" t="s">
        <v>8</v>
      </c>
      <c r="FB3" s="110" t="s">
        <v>9</v>
      </c>
      <c r="FC3" s="96" t="s">
        <v>22</v>
      </c>
      <c r="FD3" s="105"/>
      <c r="FE3" s="273"/>
      <c r="FF3" s="273"/>
      <c r="FG3" s="275"/>
      <c r="FH3" s="100" t="s">
        <v>7</v>
      </c>
      <c r="FI3" s="101" t="s">
        <v>8</v>
      </c>
      <c r="FJ3" s="110" t="s">
        <v>9</v>
      </c>
      <c r="FK3" s="96" t="s">
        <v>22</v>
      </c>
      <c r="FL3" s="100" t="s">
        <v>7</v>
      </c>
      <c r="FM3" s="101" t="s">
        <v>8</v>
      </c>
      <c r="FN3" s="110" t="s">
        <v>9</v>
      </c>
      <c r="FO3" s="96" t="s">
        <v>22</v>
      </c>
      <c r="FP3" s="107" t="s">
        <v>7</v>
      </c>
      <c r="FQ3" s="101" t="s">
        <v>8</v>
      </c>
      <c r="FR3" s="110" t="s">
        <v>9</v>
      </c>
      <c r="FS3" s="96" t="s">
        <v>22</v>
      </c>
      <c r="FT3" s="105"/>
      <c r="FU3" s="273"/>
      <c r="FV3" s="273"/>
      <c r="FW3" s="275"/>
      <c r="FX3" s="100" t="s">
        <v>7</v>
      </c>
      <c r="FY3" s="101" t="s">
        <v>8</v>
      </c>
      <c r="FZ3" s="110" t="s">
        <v>9</v>
      </c>
      <c r="GA3" s="96" t="s">
        <v>22</v>
      </c>
      <c r="GB3" s="100" t="s">
        <v>7</v>
      </c>
      <c r="GC3" s="101" t="s">
        <v>8</v>
      </c>
      <c r="GD3" s="110" t="s">
        <v>9</v>
      </c>
      <c r="GE3" s="96" t="s">
        <v>22</v>
      </c>
      <c r="GF3" s="107" t="s">
        <v>7</v>
      </c>
      <c r="GG3" s="101" t="s">
        <v>8</v>
      </c>
      <c r="GH3" s="110" t="s">
        <v>9</v>
      </c>
      <c r="GI3" s="96" t="s">
        <v>22</v>
      </c>
      <c r="GJ3" s="105"/>
      <c r="GK3" s="273"/>
      <c r="GL3" s="273"/>
      <c r="GM3" s="275"/>
      <c r="GN3" s="100" t="s">
        <v>7</v>
      </c>
      <c r="GO3" s="101" t="s">
        <v>8</v>
      </c>
      <c r="GP3" s="110" t="s">
        <v>9</v>
      </c>
      <c r="GQ3" s="96" t="s">
        <v>22</v>
      </c>
      <c r="GR3" s="102" t="s">
        <v>7</v>
      </c>
      <c r="GS3" s="103" t="s">
        <v>8</v>
      </c>
      <c r="GT3" s="108" t="s">
        <v>9</v>
      </c>
      <c r="GU3" s="109" t="s">
        <v>22</v>
      </c>
      <c r="GV3" s="104" t="s">
        <v>7</v>
      </c>
      <c r="GW3" s="103" t="s">
        <v>8</v>
      </c>
      <c r="GX3" s="108" t="s">
        <v>9</v>
      </c>
      <c r="GY3" s="109" t="s">
        <v>22</v>
      </c>
      <c r="GZ3" s="105"/>
    </row>
    <row r="4" spans="1:208" ht="20.100000000000001" customHeight="1" x14ac:dyDescent="0.25">
      <c r="A4" s="264" t="s">
        <v>33</v>
      </c>
      <c r="B4" s="96" t="s">
        <v>11</v>
      </c>
      <c r="C4" s="4" t="s">
        <v>10</v>
      </c>
      <c r="D4" s="17">
        <f>SUM('الأمراض المزمنة'!D81)</f>
        <v>1971</v>
      </c>
      <c r="E4" s="18">
        <f>SUM('الأمراض المزمنة'!E81)</f>
        <v>38</v>
      </c>
      <c r="F4" s="19">
        <f>SUM('الأمراض المزمنة'!F81)</f>
        <v>77</v>
      </c>
      <c r="G4" s="124">
        <f>SUM('الأمراض المزمنة'!G81)</f>
        <v>981</v>
      </c>
      <c r="H4" s="126">
        <f>SUM('الأمراض المزمنة'!H81)</f>
        <v>1982</v>
      </c>
      <c r="I4" s="18">
        <f>SUM('الأمراض المزمنة'!I81)</f>
        <v>17</v>
      </c>
      <c r="J4" s="19">
        <f>SUM('الأمراض المزمنة'!J81)</f>
        <v>44</v>
      </c>
      <c r="K4" s="124">
        <f>SUM('الأمراض المزمنة'!K81)</f>
        <v>682</v>
      </c>
      <c r="L4" s="126">
        <f>SUM('الأمراض المزمنة'!L81)</f>
        <v>29</v>
      </c>
      <c r="M4" s="18">
        <f>SUM('الأمراض المزمنة'!M81)</f>
        <v>21</v>
      </c>
      <c r="N4" s="19">
        <f>SUM('الأمراض المزمنة'!N81)</f>
        <v>0</v>
      </c>
      <c r="O4" s="124">
        <f>SUM('الأمراض المزمنة'!O81)</f>
        <v>0</v>
      </c>
      <c r="P4" s="93"/>
      <c r="Q4" s="264" t="s">
        <v>33</v>
      </c>
      <c r="R4" s="96" t="s">
        <v>11</v>
      </c>
      <c r="S4" s="4" t="s">
        <v>10</v>
      </c>
      <c r="T4" s="17">
        <f>SUM('الأمراض المزمنة'!T81)</f>
        <v>1888</v>
      </c>
      <c r="U4" s="18">
        <f>SUM('الأمراض المزمنة'!U81)</f>
        <v>19</v>
      </c>
      <c r="V4" s="19">
        <f>SUM('الأمراض المزمنة'!V81)</f>
        <v>52</v>
      </c>
      <c r="W4" s="124">
        <f>SUM('الأمراض المزمنة'!W81)</f>
        <v>605</v>
      </c>
      <c r="X4" s="126">
        <f>SUM('الأمراض المزمنة'!X81)</f>
        <v>1821</v>
      </c>
      <c r="Y4" s="18">
        <f>SUM('الأمراض المزمنة'!Y81)</f>
        <v>9</v>
      </c>
      <c r="Z4" s="19">
        <f>SUM('الأمراض المزمنة'!Z81)</f>
        <v>57</v>
      </c>
      <c r="AA4" s="124">
        <f>SUM('الأمراض المزمنة'!AA81)</f>
        <v>453</v>
      </c>
      <c r="AB4" s="126">
        <f>SUM('الأمراض المزمنة'!AB81)</f>
        <v>59</v>
      </c>
      <c r="AC4" s="18">
        <f>SUM('الأمراض المزمنة'!AC81)</f>
        <v>1</v>
      </c>
      <c r="AD4" s="19">
        <f>SUM('الأمراض المزمنة'!AD81)</f>
        <v>352</v>
      </c>
      <c r="AE4" s="124">
        <f>SUM('الأمراض المزمنة'!AE81)</f>
        <v>29</v>
      </c>
      <c r="AF4" s="93"/>
      <c r="AG4" s="264" t="s">
        <v>33</v>
      </c>
      <c r="AH4" s="96" t="s">
        <v>11</v>
      </c>
      <c r="AI4" s="4" t="s">
        <v>10</v>
      </c>
      <c r="AJ4" s="17">
        <f>SUM('الأمراض المزمنة'!AJ81)</f>
        <v>1792</v>
      </c>
      <c r="AK4" s="18">
        <f>SUM('الأمراض المزمنة'!AK81)</f>
        <v>7</v>
      </c>
      <c r="AL4" s="19">
        <f>SUM('الأمراض المزمنة'!AL81)</f>
        <v>20</v>
      </c>
      <c r="AM4" s="124">
        <f>SUM('الأمراض المزمنة'!AM81)</f>
        <v>711</v>
      </c>
      <c r="AN4" s="126">
        <f>SUM('الأمراض المزمنة'!AN81)</f>
        <v>1339</v>
      </c>
      <c r="AO4" s="18">
        <f>SUM('الأمراض المزمنة'!AO81)</f>
        <v>2</v>
      </c>
      <c r="AP4" s="19">
        <f>SUM('الأمراض المزمنة'!AP81)</f>
        <v>25</v>
      </c>
      <c r="AQ4" s="124">
        <f>SUM('الأمراض المزمنة'!AQ81)</f>
        <v>530</v>
      </c>
      <c r="AR4" s="126">
        <f>SUM('الأمراض المزمنة'!AR81)</f>
        <v>90</v>
      </c>
      <c r="AS4" s="18">
        <f>SUM('الأمراض المزمنة'!AS81)</f>
        <v>2</v>
      </c>
      <c r="AT4" s="19">
        <f>SUM('الأمراض المزمنة'!AT81)</f>
        <v>0</v>
      </c>
      <c r="AU4" s="124">
        <f>SUM('الأمراض المزمنة'!AU81)</f>
        <v>35</v>
      </c>
      <c r="AV4" s="93"/>
      <c r="AW4" s="264" t="s">
        <v>33</v>
      </c>
      <c r="AX4" s="96" t="s">
        <v>11</v>
      </c>
      <c r="AY4" s="4" t="s">
        <v>10</v>
      </c>
      <c r="AZ4" s="17">
        <f>SUM('الأمراض المزمنة'!AZ81)</f>
        <v>2314</v>
      </c>
      <c r="BA4" s="18">
        <f>SUM('الأمراض المزمنة'!BA81)</f>
        <v>38</v>
      </c>
      <c r="BB4" s="19">
        <f>SUM('الأمراض المزمنة'!BB81)</f>
        <v>141</v>
      </c>
      <c r="BC4" s="124">
        <f>SUM('الأمراض المزمنة'!BC81)</f>
        <v>1029</v>
      </c>
      <c r="BD4" s="126">
        <f>SUM('الأمراض المزمنة'!BD81)</f>
        <v>1897</v>
      </c>
      <c r="BE4" s="18">
        <f>SUM('الأمراض المزمنة'!BE81)</f>
        <v>16</v>
      </c>
      <c r="BF4" s="19">
        <f>SUM('الأمراض المزمنة'!BF81)</f>
        <v>57</v>
      </c>
      <c r="BG4" s="124">
        <f>SUM('الأمراض المزمنة'!BG81)</f>
        <v>843</v>
      </c>
      <c r="BH4" s="126">
        <f>SUM('الأمراض المزمنة'!BH81)</f>
        <v>60</v>
      </c>
      <c r="BI4" s="18">
        <f>SUM('الأمراض المزمنة'!BI81)</f>
        <v>0</v>
      </c>
      <c r="BJ4" s="19">
        <f>SUM('الأمراض المزمنة'!BJ81)</f>
        <v>0</v>
      </c>
      <c r="BK4" s="124">
        <f>SUM('الأمراض المزمنة'!BK81)</f>
        <v>16</v>
      </c>
      <c r="BL4" s="93"/>
      <c r="BM4" s="264" t="s">
        <v>33</v>
      </c>
      <c r="BN4" s="96" t="s">
        <v>11</v>
      </c>
      <c r="BO4" s="4" t="s">
        <v>10</v>
      </c>
      <c r="BP4" s="17">
        <f>SUM('الأمراض المزمنة'!BP81)</f>
        <v>2624</v>
      </c>
      <c r="BQ4" s="18">
        <f>SUM('الأمراض المزمنة'!BQ81)</f>
        <v>10</v>
      </c>
      <c r="BR4" s="19">
        <f>SUM('الأمراض المزمنة'!BR81)</f>
        <v>55</v>
      </c>
      <c r="BS4" s="124">
        <f>SUM('الأمراض المزمنة'!BS81)</f>
        <v>640</v>
      </c>
      <c r="BT4" s="126">
        <f>SUM('الأمراض المزمنة'!BT81)</f>
        <v>2432</v>
      </c>
      <c r="BU4" s="18">
        <f>SUM('الأمراض المزمنة'!BU81)</f>
        <v>1506</v>
      </c>
      <c r="BV4" s="19">
        <f>SUM('الأمراض المزمنة'!BV81)</f>
        <v>37</v>
      </c>
      <c r="BW4" s="124">
        <f>SUM('الأمراض المزمنة'!BW81)</f>
        <v>515</v>
      </c>
      <c r="BX4" s="126">
        <f>SUM('الأمراض المزمنة'!BX81)</f>
        <v>168</v>
      </c>
      <c r="BY4" s="18">
        <f>SUM('الأمراض المزمنة'!BY81)</f>
        <v>2</v>
      </c>
      <c r="BZ4" s="19">
        <f>SUM('الأمراض المزمنة'!BZ81)</f>
        <v>0</v>
      </c>
      <c r="CA4" s="124">
        <f>SUM('الأمراض المزمنة'!CA81)</f>
        <v>29</v>
      </c>
      <c r="CB4" s="93"/>
      <c r="CC4" s="264" t="s">
        <v>33</v>
      </c>
      <c r="CD4" s="96" t="s">
        <v>11</v>
      </c>
      <c r="CE4" s="4" t="s">
        <v>10</v>
      </c>
      <c r="CF4" s="17">
        <f>SUM('الأمراض المزمنة'!CF81)</f>
        <v>1378</v>
      </c>
      <c r="CG4" s="18">
        <f>SUM('الأمراض المزمنة'!CG81)</f>
        <v>8</v>
      </c>
      <c r="CH4" s="19">
        <f>SUM('الأمراض المزمنة'!CH81)</f>
        <v>68</v>
      </c>
      <c r="CI4" s="124">
        <f>SUM('الأمراض المزمنة'!CI81)</f>
        <v>479</v>
      </c>
      <c r="CJ4" s="126">
        <f>SUM('الأمراض المزمنة'!CJ81)</f>
        <v>1057</v>
      </c>
      <c r="CK4" s="18">
        <f>SUM('الأمراض المزمنة'!CK81)</f>
        <v>8</v>
      </c>
      <c r="CL4" s="19">
        <f>SUM('الأمراض المزمنة'!CL81)</f>
        <v>23</v>
      </c>
      <c r="CM4" s="124">
        <f>SUM('الأمراض المزمنة'!CM81)</f>
        <v>460</v>
      </c>
      <c r="CN4" s="126">
        <f>SUM('الأمراض المزمنة'!CN81)</f>
        <v>38</v>
      </c>
      <c r="CO4" s="18">
        <f>SUM('الأمراض المزمنة'!CO81)</f>
        <v>0</v>
      </c>
      <c r="CP4" s="19">
        <f>SUM('الأمراض المزمنة'!CP81)</f>
        <v>0</v>
      </c>
      <c r="CQ4" s="124">
        <f>SUM('الأمراض المزمنة'!CQ81)</f>
        <v>2</v>
      </c>
      <c r="CR4" s="93"/>
      <c r="CS4" s="264" t="s">
        <v>33</v>
      </c>
      <c r="CT4" s="96" t="s">
        <v>11</v>
      </c>
      <c r="CU4" s="4" t="s">
        <v>10</v>
      </c>
      <c r="CV4" s="17">
        <f>SUM('الأمراض المزمنة'!CV81)</f>
        <v>2063</v>
      </c>
      <c r="CW4" s="18">
        <f>SUM('الأمراض المزمنة'!CW81)</f>
        <v>36</v>
      </c>
      <c r="CX4" s="19">
        <f>SUM('الأمراض المزمنة'!CX81)</f>
        <v>140</v>
      </c>
      <c r="CY4" s="124">
        <f>SUM('الأمراض المزمنة'!CY81)</f>
        <v>835</v>
      </c>
      <c r="CZ4" s="126">
        <f>SUM('الأمراض المزمنة'!CZ81)</f>
        <v>2008</v>
      </c>
      <c r="DA4" s="18">
        <f>SUM('الأمراض المزمنة'!DA81)</f>
        <v>9026</v>
      </c>
      <c r="DB4" s="19">
        <f>SUM('الأمراض المزمنة'!DB81)</f>
        <v>90</v>
      </c>
      <c r="DC4" s="124">
        <f>SUM('الأمراض المزمنة'!DC81)</f>
        <v>557</v>
      </c>
      <c r="DD4" s="126">
        <f>SUM('الأمراض المزمنة'!DD81)</f>
        <v>35</v>
      </c>
      <c r="DE4" s="18">
        <f>SUM('الأمراض المزمنة'!DE81)</f>
        <v>4</v>
      </c>
      <c r="DF4" s="19">
        <f>SUM('الأمراض المزمنة'!DF81)</f>
        <v>0</v>
      </c>
      <c r="DG4" s="124">
        <f>SUM('الأمراض المزمنة'!DG81)</f>
        <v>20</v>
      </c>
      <c r="DH4" s="93"/>
      <c r="DI4" s="264" t="s">
        <v>33</v>
      </c>
      <c r="DJ4" s="96" t="s">
        <v>11</v>
      </c>
      <c r="DK4" s="4" t="s">
        <v>10</v>
      </c>
      <c r="DL4" s="17">
        <f>SUM('الأمراض المزمنة'!DL81)</f>
        <v>1956</v>
      </c>
      <c r="DM4" s="18" t="e">
        <f>SUM('الأمراض المزمنة'!DM81)</f>
        <v>#VALUE!</v>
      </c>
      <c r="DN4" s="19">
        <f>SUM('الأمراض المزمنة'!DN81)</f>
        <v>38</v>
      </c>
      <c r="DO4" s="124">
        <f>SUM('الأمراض المزمنة'!DO81)</f>
        <v>653</v>
      </c>
      <c r="DP4" s="126">
        <f>SUM('الأمراض المزمنة'!DP81)</f>
        <v>1287</v>
      </c>
      <c r="DQ4" s="18" t="e">
        <f>SUM('الأمراض المزمنة'!DQ81)</f>
        <v>#VALUE!</v>
      </c>
      <c r="DR4" s="19">
        <f>SUM('الأمراض المزمنة'!DR81)</f>
        <v>17</v>
      </c>
      <c r="DS4" s="124">
        <f>SUM('الأمراض المزمنة'!DS81)</f>
        <v>567</v>
      </c>
      <c r="DT4" s="126">
        <f>SUM('الأمراض المزمنة'!DT81)</f>
        <v>88</v>
      </c>
      <c r="DU4" s="18" t="e">
        <f>SUM('الأمراض المزمنة'!DU81)</f>
        <v>#VALUE!</v>
      </c>
      <c r="DV4" s="19">
        <f>SUM('الأمراض المزمنة'!DV81)</f>
        <v>0</v>
      </c>
      <c r="DW4" s="124">
        <f>SUM('الأمراض المزمنة'!DW81)</f>
        <v>17</v>
      </c>
      <c r="DX4" s="93"/>
      <c r="DY4" s="264" t="s">
        <v>33</v>
      </c>
      <c r="DZ4" s="96" t="s">
        <v>11</v>
      </c>
      <c r="EA4" s="4" t="s">
        <v>10</v>
      </c>
      <c r="EB4" s="17">
        <f>SUM('الأمراض المزمنة'!EB81)</f>
        <v>3981</v>
      </c>
      <c r="EC4" s="18">
        <f>SUM('الأمراض المزمنة'!EC81)</f>
        <v>26</v>
      </c>
      <c r="ED4" s="19">
        <f>SUM('الأمراض المزمنة'!ED81)</f>
        <v>18</v>
      </c>
      <c r="EE4" s="124">
        <f>SUM('الأمراض المزمنة'!EE81)</f>
        <v>588</v>
      </c>
      <c r="EF4" s="126">
        <f>SUM('الأمراض المزمنة'!EF81)</f>
        <v>2578</v>
      </c>
      <c r="EG4" s="18">
        <f>SUM('الأمراض المزمنة'!EG81)</f>
        <v>27</v>
      </c>
      <c r="EH4" s="19">
        <f>SUM('الأمراض المزمنة'!EH81)</f>
        <v>25</v>
      </c>
      <c r="EI4" s="124">
        <f>SUM('الأمراض المزمنة'!EI81)</f>
        <v>454</v>
      </c>
      <c r="EJ4" s="126">
        <f>SUM('الأمراض المزمنة'!EJ81)</f>
        <v>148</v>
      </c>
      <c r="EK4" s="18">
        <f>SUM('الأمراض المزمنة'!EK81)</f>
        <v>2</v>
      </c>
      <c r="EL4" s="19">
        <f>SUM('الأمراض المزمنة'!EL81)</f>
        <v>0</v>
      </c>
      <c r="EM4" s="124">
        <f>SUM('الأمراض المزمنة'!EM81)</f>
        <v>10</v>
      </c>
      <c r="EN4" s="93"/>
      <c r="EO4" s="264" t="s">
        <v>33</v>
      </c>
      <c r="EP4" s="96" t="s">
        <v>11</v>
      </c>
      <c r="EQ4" s="4" t="s">
        <v>10</v>
      </c>
      <c r="ER4" s="17">
        <f>SUM('الأمراض المزمنة'!ER81)</f>
        <v>3703</v>
      </c>
      <c r="ES4" s="18">
        <f>SUM('الأمراض المزمنة'!ES81)</f>
        <v>16</v>
      </c>
      <c r="ET4" s="19">
        <f>SUM('الأمراض المزمنة'!ET81)</f>
        <v>18</v>
      </c>
      <c r="EU4" s="124">
        <f>SUM('الأمراض المزمنة'!EU81)</f>
        <v>398</v>
      </c>
      <c r="EV4" s="126">
        <f>SUM('الأمراض المزمنة'!EV81)</f>
        <v>2400</v>
      </c>
      <c r="EW4" s="18">
        <f>SUM('الأمراض المزمنة'!EW81)</f>
        <v>22</v>
      </c>
      <c r="EX4" s="19">
        <f>SUM('الأمراض المزمنة'!EX81)</f>
        <v>25</v>
      </c>
      <c r="EY4" s="124">
        <f>SUM('الأمراض المزمنة'!EY81)</f>
        <v>222</v>
      </c>
      <c r="EZ4" s="126">
        <f>SUM('الأمراض المزمنة'!EZ81)</f>
        <v>135</v>
      </c>
      <c r="FA4" s="18">
        <f>SUM('الأمراض المزمنة'!FA81)</f>
        <v>2</v>
      </c>
      <c r="FB4" s="19">
        <f>SUM('الأمراض المزمنة'!FB81)</f>
        <v>0</v>
      </c>
      <c r="FC4" s="124">
        <f>SUM('الأمراض المزمنة'!FC81)</f>
        <v>0</v>
      </c>
      <c r="FD4" s="93"/>
      <c r="FE4" s="264" t="s">
        <v>33</v>
      </c>
      <c r="FF4" s="96" t="s">
        <v>11</v>
      </c>
      <c r="FG4" s="4" t="s">
        <v>10</v>
      </c>
      <c r="FH4" s="17">
        <f>SUM('الأمراض المزمنة'!FH81)</f>
        <v>0</v>
      </c>
      <c r="FI4" s="18">
        <f>SUM('الأمراض المزمنة'!FI81)</f>
        <v>0</v>
      </c>
      <c r="FJ4" s="19">
        <f>SUM('الأمراض المزمنة'!FJ81)</f>
        <v>0</v>
      </c>
      <c r="FK4" s="124">
        <f>SUM('الأمراض المزمنة'!FK81)</f>
        <v>0</v>
      </c>
      <c r="FL4" s="126">
        <f>SUM('الأمراض المزمنة'!FL81)</f>
        <v>0</v>
      </c>
      <c r="FM4" s="18">
        <f>SUM('الأمراض المزمنة'!FM81)</f>
        <v>0</v>
      </c>
      <c r="FN4" s="19">
        <f>SUM('الأمراض المزمنة'!FN81)</f>
        <v>0</v>
      </c>
      <c r="FO4" s="124">
        <f>SUM('الأمراض المزمنة'!FO81)</f>
        <v>0</v>
      </c>
      <c r="FP4" s="126">
        <f>SUM('الأمراض المزمنة'!FP81)</f>
        <v>0</v>
      </c>
      <c r="FQ4" s="18">
        <f>SUM('الأمراض المزمنة'!FQ81)</f>
        <v>0</v>
      </c>
      <c r="FR4" s="19">
        <f>SUM('الأمراض المزمنة'!FR81)</f>
        <v>0</v>
      </c>
      <c r="FS4" s="124">
        <f>SUM('الأمراض المزمنة'!FS81)</f>
        <v>0</v>
      </c>
      <c r="FT4" s="93"/>
      <c r="FU4" s="264" t="s">
        <v>33</v>
      </c>
      <c r="FV4" s="96" t="s">
        <v>11</v>
      </c>
      <c r="FW4" s="4" t="s">
        <v>10</v>
      </c>
      <c r="FX4" s="17">
        <f>SUM('الأمراض المزمنة'!FX81)</f>
        <v>0</v>
      </c>
      <c r="FY4" s="18">
        <f>SUM('الأمراض المزمنة'!FY81)</f>
        <v>0</v>
      </c>
      <c r="FZ4" s="19">
        <f>SUM('الأمراض المزمنة'!FZ81)</f>
        <v>0</v>
      </c>
      <c r="GA4" s="124">
        <f>SUM('الأمراض المزمنة'!GA81)</f>
        <v>0</v>
      </c>
      <c r="GB4" s="126">
        <f>SUM('الأمراض المزمنة'!GB81)</f>
        <v>0</v>
      </c>
      <c r="GC4" s="18">
        <f>SUM('الأمراض المزمنة'!GC81)</f>
        <v>0</v>
      </c>
      <c r="GD4" s="19">
        <f>SUM('الأمراض المزمنة'!GD81)</f>
        <v>0</v>
      </c>
      <c r="GE4" s="124">
        <f>SUM('الأمراض المزمنة'!GE81)</f>
        <v>0</v>
      </c>
      <c r="GF4" s="126">
        <f>SUM('الأمراض المزمنة'!GF81)</f>
        <v>0</v>
      </c>
      <c r="GG4" s="18">
        <f>SUM('الأمراض المزمنة'!GG81)</f>
        <v>0</v>
      </c>
      <c r="GH4" s="19">
        <f>SUM('الأمراض المزمنة'!GH81)</f>
        <v>0</v>
      </c>
      <c r="GI4" s="124">
        <f>SUM('الأمراض المزمنة'!GI81)</f>
        <v>0</v>
      </c>
      <c r="GJ4" s="93"/>
      <c r="GK4" s="264" t="s">
        <v>33</v>
      </c>
      <c r="GL4" s="96" t="s">
        <v>11</v>
      </c>
      <c r="GM4" s="4" t="s">
        <v>10</v>
      </c>
      <c r="GN4" s="17">
        <f>SUM('الأمراض المزمنة'!GN81)</f>
        <v>0</v>
      </c>
      <c r="GO4" s="18" t="e">
        <f>SUM('الأمراض المزمنة'!GO81)</f>
        <v>#VALUE!</v>
      </c>
      <c r="GP4" s="19">
        <f>SUM('الأمراض المزمنة'!GP81)</f>
        <v>627</v>
      </c>
      <c r="GQ4" s="124">
        <f>SUM('الأمراض المزمنة'!GQ81)</f>
        <v>6919</v>
      </c>
      <c r="GR4" s="126">
        <f>SUM('الأمراض المزمنة'!GR81)</f>
        <v>0</v>
      </c>
      <c r="GS4" s="18" t="e">
        <f>SUM('الأمراض المزمنة'!GS81)</f>
        <v>#VALUE!</v>
      </c>
      <c r="GT4" s="19">
        <f>SUM('الأمراض المزمنة'!GT81)</f>
        <v>400</v>
      </c>
      <c r="GU4" s="124">
        <f>SUM('الأمراض المزمنة'!GU81)</f>
        <v>5283</v>
      </c>
      <c r="GV4" s="126">
        <f>SUM('الأمراض المزمنة'!GV81)</f>
        <v>0</v>
      </c>
      <c r="GW4" s="18" t="e">
        <f>SUM('الأمراض المزمنة'!GW81)</f>
        <v>#VALUE!</v>
      </c>
      <c r="GX4" s="19">
        <f>SUM('الأمراض المزمنة'!GX81)</f>
        <v>352</v>
      </c>
      <c r="GY4" s="124">
        <f>SUM('الأمراض المزمنة'!GY81)</f>
        <v>158</v>
      </c>
      <c r="GZ4" s="93"/>
    </row>
    <row r="5" spans="1:208" ht="20.100000000000001" customHeight="1" thickBot="1" x14ac:dyDescent="0.3">
      <c r="A5" s="265"/>
      <c r="B5" s="97"/>
      <c r="C5" s="5" t="s">
        <v>12</v>
      </c>
      <c r="D5" s="20">
        <f>SUM('الأمراض المزمنة'!D82)</f>
        <v>1730</v>
      </c>
      <c r="E5" s="21">
        <f>SUM('الأمراض المزمنة'!E82)</f>
        <v>29</v>
      </c>
      <c r="F5" s="22">
        <f>SUM('الأمراض المزمنة'!F82)</f>
        <v>81</v>
      </c>
      <c r="G5" s="125">
        <f>SUM('الأمراض المزمنة'!G82)</f>
        <v>744</v>
      </c>
      <c r="H5" s="127">
        <f>SUM('الأمراض المزمنة'!H82)</f>
        <v>1856</v>
      </c>
      <c r="I5" s="21">
        <f>SUM('الأمراض المزمنة'!I82)</f>
        <v>21</v>
      </c>
      <c r="J5" s="22">
        <f>SUM('الأمراض المزمنة'!J82)</f>
        <v>43</v>
      </c>
      <c r="K5" s="125">
        <f>SUM('الأمراض المزمنة'!K82)</f>
        <v>643</v>
      </c>
      <c r="L5" s="127">
        <f>SUM('الأمراض المزمنة'!L82)</f>
        <v>62</v>
      </c>
      <c r="M5" s="21">
        <f>SUM('الأمراض المزمنة'!M82)</f>
        <v>7</v>
      </c>
      <c r="N5" s="22">
        <f>SUM('الأمراض المزمنة'!N82)</f>
        <v>0</v>
      </c>
      <c r="O5" s="125">
        <f>SUM('الأمراض المزمنة'!O82)</f>
        <v>0</v>
      </c>
      <c r="P5" s="93"/>
      <c r="Q5" s="265"/>
      <c r="R5" s="97"/>
      <c r="S5" s="5" t="s">
        <v>12</v>
      </c>
      <c r="T5" s="20">
        <f>SUM('الأمراض المزمنة'!T82)</f>
        <v>1658</v>
      </c>
      <c r="U5" s="21">
        <f>SUM('الأمراض المزمنة'!U82)</f>
        <v>13</v>
      </c>
      <c r="V5" s="22">
        <f>SUM('الأمراض المزمنة'!V82)</f>
        <v>86</v>
      </c>
      <c r="W5" s="125">
        <f>SUM('الأمراض المزمنة'!W82)</f>
        <v>591</v>
      </c>
      <c r="X5" s="127">
        <f>SUM('الأمراض المزمنة'!X82)</f>
        <v>1680</v>
      </c>
      <c r="Y5" s="21">
        <f>SUM('الأمراض المزمنة'!Y82)</f>
        <v>3</v>
      </c>
      <c r="Z5" s="22">
        <f>SUM('الأمراض المزمنة'!Z82)</f>
        <v>44</v>
      </c>
      <c r="AA5" s="125">
        <f>SUM('الأمراض المزمنة'!AA82)</f>
        <v>478</v>
      </c>
      <c r="AB5" s="127">
        <f>SUM('الأمراض المزمنة'!AB82)</f>
        <v>74</v>
      </c>
      <c r="AC5" s="21">
        <f>SUM('الأمراض المزمنة'!AC82)</f>
        <v>2</v>
      </c>
      <c r="AD5" s="22">
        <f>SUM('الأمراض المزمنة'!AD82)</f>
        <v>1</v>
      </c>
      <c r="AE5" s="125">
        <f>SUM('الأمراض المزمنة'!AE82)</f>
        <v>16</v>
      </c>
      <c r="AF5" s="93"/>
      <c r="AG5" s="265"/>
      <c r="AH5" s="97"/>
      <c r="AI5" s="5" t="s">
        <v>12</v>
      </c>
      <c r="AJ5" s="20">
        <f>SUM('الأمراض المزمنة'!AJ82)</f>
        <v>1256</v>
      </c>
      <c r="AK5" s="21">
        <f>SUM('الأمراض المزمنة'!AK82)</f>
        <v>15</v>
      </c>
      <c r="AL5" s="22">
        <f>SUM('الأمراض المزمنة'!AL82)</f>
        <v>24</v>
      </c>
      <c r="AM5" s="125">
        <f>SUM('الأمراض المزمنة'!AM82)</f>
        <v>555</v>
      </c>
      <c r="AN5" s="127">
        <f>SUM('الأمراض المزمنة'!AN82)</f>
        <v>1131</v>
      </c>
      <c r="AO5" s="21">
        <f>SUM('الأمراض المزمنة'!AO82)</f>
        <v>7</v>
      </c>
      <c r="AP5" s="22">
        <f>SUM('الأمراض المزمنة'!AP82)</f>
        <v>24</v>
      </c>
      <c r="AQ5" s="125">
        <f>SUM('الأمراض المزمنة'!AQ82)</f>
        <v>440</v>
      </c>
      <c r="AR5" s="127">
        <f>SUM('الأمراض المزمنة'!AR82)</f>
        <v>71</v>
      </c>
      <c r="AS5" s="21">
        <f>SUM('الأمراض المزمنة'!AS82)</f>
        <v>0</v>
      </c>
      <c r="AT5" s="22">
        <f>SUM('الأمراض المزمنة'!AT82)</f>
        <v>0</v>
      </c>
      <c r="AU5" s="125">
        <f>SUM('الأمراض المزمنة'!AU82)</f>
        <v>36</v>
      </c>
      <c r="AV5" s="93"/>
      <c r="AW5" s="265"/>
      <c r="AX5" s="97"/>
      <c r="AY5" s="5" t="s">
        <v>12</v>
      </c>
      <c r="AZ5" s="20">
        <f>SUM('الأمراض المزمنة'!AZ82)</f>
        <v>1736</v>
      </c>
      <c r="BA5" s="21">
        <f>SUM('الأمراض المزمنة'!BA82)</f>
        <v>21</v>
      </c>
      <c r="BB5" s="22">
        <f>SUM('الأمراض المزمنة'!BB82)</f>
        <v>88</v>
      </c>
      <c r="BC5" s="125">
        <f>SUM('الأمراض المزمنة'!BC82)</f>
        <v>945</v>
      </c>
      <c r="BD5" s="127">
        <f>SUM('الأمراض المزمنة'!BD82)</f>
        <v>1400</v>
      </c>
      <c r="BE5" s="21">
        <f>SUM('الأمراض المزمنة'!BE82)</f>
        <v>9</v>
      </c>
      <c r="BF5" s="22">
        <f>SUM('الأمراض المزمنة'!BF82)</f>
        <v>26</v>
      </c>
      <c r="BG5" s="125">
        <f>SUM('الأمراض المزمنة'!BG82)</f>
        <v>762</v>
      </c>
      <c r="BH5" s="127">
        <f>SUM('الأمراض المزمنة'!BH82)</f>
        <v>68</v>
      </c>
      <c r="BI5" s="21">
        <f>SUM('الأمراض المزمنة'!BI82)</f>
        <v>1</v>
      </c>
      <c r="BJ5" s="22">
        <f>SUM('الأمراض المزمنة'!BJ82)</f>
        <v>0</v>
      </c>
      <c r="BK5" s="125">
        <f>SUM('الأمراض المزمنة'!BK82)</f>
        <v>8</v>
      </c>
      <c r="BL5" s="93"/>
      <c r="BM5" s="265"/>
      <c r="BN5" s="97"/>
      <c r="BO5" s="5" t="s">
        <v>12</v>
      </c>
      <c r="BP5" s="20">
        <f>SUM('الأمراض المزمنة'!BP82)</f>
        <v>2283</v>
      </c>
      <c r="BQ5" s="21">
        <f>SUM('الأمراض المزمنة'!BQ82)</f>
        <v>8</v>
      </c>
      <c r="BR5" s="22">
        <f>SUM('الأمراض المزمنة'!BR82)</f>
        <v>61</v>
      </c>
      <c r="BS5" s="125">
        <f>SUM('الأمراض المزمنة'!BS82)</f>
        <v>562</v>
      </c>
      <c r="BT5" s="127">
        <f>SUM('الأمراض المزمنة'!BT82)</f>
        <v>2170</v>
      </c>
      <c r="BU5" s="21">
        <f>SUM('الأمراض المزمنة'!BU82)</f>
        <v>7</v>
      </c>
      <c r="BV5" s="22">
        <f>SUM('الأمراض المزمنة'!BV82)</f>
        <v>24</v>
      </c>
      <c r="BW5" s="125">
        <f>SUM('الأمراض المزمنة'!BW82)</f>
        <v>455</v>
      </c>
      <c r="BX5" s="127">
        <f>SUM('الأمراض المزمنة'!BX82)</f>
        <v>219</v>
      </c>
      <c r="BY5" s="21">
        <f>SUM('الأمراض المزمنة'!BY82)</f>
        <v>0</v>
      </c>
      <c r="BZ5" s="22">
        <f>SUM('الأمراض المزمنة'!BZ82)</f>
        <v>0</v>
      </c>
      <c r="CA5" s="125">
        <f>SUM('الأمراض المزمنة'!CA82)</f>
        <v>25</v>
      </c>
      <c r="CB5" s="93"/>
      <c r="CC5" s="265"/>
      <c r="CD5" s="97"/>
      <c r="CE5" s="5" t="s">
        <v>12</v>
      </c>
      <c r="CF5" s="20">
        <f>SUM('الأمراض المزمنة'!CF82)</f>
        <v>987</v>
      </c>
      <c r="CG5" s="21">
        <f>SUM('الأمراض المزمنة'!CG82)</f>
        <v>6</v>
      </c>
      <c r="CH5" s="22">
        <f>SUM('الأمراض المزمنة'!CH82)</f>
        <v>48</v>
      </c>
      <c r="CI5" s="125">
        <f>SUM('الأمراض المزمنة'!CI82)</f>
        <v>515</v>
      </c>
      <c r="CJ5" s="127">
        <f>SUM('الأمراض المزمنة'!CJ82)</f>
        <v>847</v>
      </c>
      <c r="CK5" s="21">
        <f>SUM('الأمراض المزمنة'!CK82)</f>
        <v>5</v>
      </c>
      <c r="CL5" s="22">
        <f>SUM('الأمراض المزمنة'!CL82)</f>
        <v>16</v>
      </c>
      <c r="CM5" s="125">
        <f>SUM('الأمراض المزمنة'!CM82)</f>
        <v>461</v>
      </c>
      <c r="CN5" s="127">
        <f>SUM('الأمراض المزمنة'!CN82)</f>
        <v>71</v>
      </c>
      <c r="CO5" s="21">
        <f>SUM('الأمراض المزمنة'!CO82)</f>
        <v>2</v>
      </c>
      <c r="CP5" s="22">
        <f>SUM('الأمراض المزمنة'!CP82)</f>
        <v>0</v>
      </c>
      <c r="CQ5" s="125">
        <f>SUM('الأمراض المزمنة'!CQ82)</f>
        <v>3</v>
      </c>
      <c r="CR5" s="93"/>
      <c r="CS5" s="265"/>
      <c r="CT5" s="97"/>
      <c r="CU5" s="5" t="s">
        <v>12</v>
      </c>
      <c r="CV5" s="20">
        <f>SUM('الأمراض المزمنة'!CV82)</f>
        <v>1782</v>
      </c>
      <c r="CW5" s="21">
        <f>SUM('الأمراض المزمنة'!CW82)</f>
        <v>32</v>
      </c>
      <c r="CX5" s="22">
        <f>SUM('الأمراض المزمنة'!CX82)</f>
        <v>112</v>
      </c>
      <c r="CY5" s="125">
        <f>SUM('الأمراض المزمنة'!CY82)</f>
        <v>812</v>
      </c>
      <c r="CZ5" s="127">
        <f>SUM('الأمراض المزمنة'!CZ82)</f>
        <v>2023</v>
      </c>
      <c r="DA5" s="21">
        <f>SUM('الأمراض المزمنة'!DA82)</f>
        <v>622</v>
      </c>
      <c r="DB5" s="22">
        <f>SUM('الأمراض المزمنة'!DB82)</f>
        <v>52</v>
      </c>
      <c r="DC5" s="125">
        <f>SUM('الأمراض المزمنة'!DC82)</f>
        <v>550</v>
      </c>
      <c r="DD5" s="127">
        <f>SUM('الأمراض المزمنة'!DD82)</f>
        <v>62</v>
      </c>
      <c r="DE5" s="21">
        <f>SUM('الأمراض المزمنة'!DE82)</f>
        <v>2</v>
      </c>
      <c r="DF5" s="22">
        <f>SUM('الأمراض المزمنة'!DF82)</f>
        <v>0</v>
      </c>
      <c r="DG5" s="125">
        <f>SUM('الأمراض المزمنة'!DG82)</f>
        <v>21</v>
      </c>
      <c r="DH5" s="93"/>
      <c r="DI5" s="265"/>
      <c r="DJ5" s="97"/>
      <c r="DK5" s="5" t="s">
        <v>12</v>
      </c>
      <c r="DL5" s="20">
        <f>SUM('الأمراض المزمنة'!DL82)</f>
        <v>1389</v>
      </c>
      <c r="DM5" s="21">
        <f>SUM('الأمراض المزمنة'!DM82)</f>
        <v>9</v>
      </c>
      <c r="DN5" s="22">
        <f>SUM('الأمراض المزمنة'!DN82)</f>
        <v>66</v>
      </c>
      <c r="DO5" s="125">
        <f>SUM('الأمراض المزمنة'!DO82)</f>
        <v>629</v>
      </c>
      <c r="DP5" s="127">
        <f>SUM('الأمراض المزمنة'!DP82)</f>
        <v>1201</v>
      </c>
      <c r="DQ5" s="21">
        <f>SUM('الأمراض المزمنة'!DQ82)</f>
        <v>10</v>
      </c>
      <c r="DR5" s="22">
        <f>SUM('الأمراض المزمنة'!DR82)</f>
        <v>26</v>
      </c>
      <c r="DS5" s="125">
        <f>SUM('الأمراض المزمنة'!DS82)</f>
        <v>623</v>
      </c>
      <c r="DT5" s="127">
        <f>SUM('الأمراض المزمنة'!DT82)</f>
        <v>97</v>
      </c>
      <c r="DU5" s="21">
        <f>SUM('الأمراض المزمنة'!DU82)</f>
        <v>2</v>
      </c>
      <c r="DV5" s="22">
        <f>SUM('الأمراض المزمنة'!DV82)</f>
        <v>0</v>
      </c>
      <c r="DW5" s="125">
        <f>SUM('الأمراض المزمنة'!DW82)</f>
        <v>11</v>
      </c>
      <c r="DX5" s="93"/>
      <c r="DY5" s="265"/>
      <c r="DZ5" s="97"/>
      <c r="EA5" s="5" t="s">
        <v>12</v>
      </c>
      <c r="EB5" s="20">
        <f>SUM('الأمراض المزمنة'!EB82)</f>
        <v>2652</v>
      </c>
      <c r="EC5" s="21">
        <f>SUM('الأمراض المزمنة'!EC82)</f>
        <v>18</v>
      </c>
      <c r="ED5" s="22">
        <f>SUM('الأمراض المزمنة'!ED82)</f>
        <v>18</v>
      </c>
      <c r="EE5" s="125">
        <f>SUM('الأمراض المزمنة'!EE82)</f>
        <v>423</v>
      </c>
      <c r="EF5" s="127">
        <f>SUM('الأمراض المزمنة'!EF82)</f>
        <v>2730</v>
      </c>
      <c r="EG5" s="21">
        <f>SUM('الأمراض المزمنة'!EG82)</f>
        <v>27</v>
      </c>
      <c r="EH5" s="22">
        <f>SUM('الأمراض المزمنة'!EH82)</f>
        <v>20</v>
      </c>
      <c r="EI5" s="125">
        <f>SUM('الأمراض المزمنة'!EI82)</f>
        <v>338</v>
      </c>
      <c r="EJ5" s="127">
        <f>SUM('الأمراض المزمنة'!EJ82)</f>
        <v>269</v>
      </c>
      <c r="EK5" s="21">
        <f>SUM('الأمراض المزمنة'!EK82)</f>
        <v>1</v>
      </c>
      <c r="EL5" s="22">
        <f>SUM('الأمراض المزمنة'!EL82)</f>
        <v>0</v>
      </c>
      <c r="EM5" s="125">
        <f>SUM('الأمراض المزمنة'!EM82)</f>
        <v>13</v>
      </c>
      <c r="EN5" s="93"/>
      <c r="EO5" s="265"/>
      <c r="EP5" s="97"/>
      <c r="EQ5" s="5" t="s">
        <v>12</v>
      </c>
      <c r="ER5" s="20">
        <f>SUM('الأمراض المزمنة'!ER82)</f>
        <v>2325</v>
      </c>
      <c r="ES5" s="21">
        <f>SUM('الأمراض المزمنة'!ES82)</f>
        <v>13</v>
      </c>
      <c r="ET5" s="22">
        <f>SUM('الأمراض المزمنة'!ET82)</f>
        <v>18</v>
      </c>
      <c r="EU5" s="125">
        <f>SUM('الأمراض المزمنة'!EU82)</f>
        <v>297</v>
      </c>
      <c r="EV5" s="127">
        <f>SUM('الأمراض المزمنة'!EV82)</f>
        <v>2439</v>
      </c>
      <c r="EW5" s="21">
        <f>SUM('الأمراض المزمنة'!EW82)</f>
        <v>23</v>
      </c>
      <c r="EX5" s="22">
        <f>SUM('الأمراض المزمنة'!EX82)</f>
        <v>20</v>
      </c>
      <c r="EY5" s="125">
        <f>SUM('الأمراض المزمنة'!EY82)</f>
        <v>233</v>
      </c>
      <c r="EZ5" s="127">
        <f>SUM('الأمراض المزمنة'!EZ82)</f>
        <v>249</v>
      </c>
      <c r="FA5" s="21">
        <f>SUM('الأمراض المزمنة'!FA82)</f>
        <v>1</v>
      </c>
      <c r="FB5" s="22">
        <f>SUM('الأمراض المزمنة'!FB82)</f>
        <v>0</v>
      </c>
      <c r="FC5" s="125">
        <f>SUM('الأمراض المزمنة'!FC82)</f>
        <v>0</v>
      </c>
      <c r="FD5" s="93"/>
      <c r="FE5" s="265"/>
      <c r="FF5" s="97"/>
      <c r="FG5" s="5" t="s">
        <v>12</v>
      </c>
      <c r="FH5" s="20">
        <f>SUM('الأمراض المزمنة'!FH82)</f>
        <v>0</v>
      </c>
      <c r="FI5" s="21">
        <f>SUM('الأمراض المزمنة'!FI82)</f>
        <v>0</v>
      </c>
      <c r="FJ5" s="22">
        <f>SUM('الأمراض المزمنة'!FJ82)</f>
        <v>0</v>
      </c>
      <c r="FK5" s="125">
        <f>SUM('الأمراض المزمنة'!FK82)</f>
        <v>0</v>
      </c>
      <c r="FL5" s="127">
        <f>SUM('الأمراض المزمنة'!FL82)</f>
        <v>0</v>
      </c>
      <c r="FM5" s="21">
        <f>SUM('الأمراض المزمنة'!FM82)</f>
        <v>0</v>
      </c>
      <c r="FN5" s="22">
        <f>SUM('الأمراض المزمنة'!FN82)</f>
        <v>0</v>
      </c>
      <c r="FO5" s="125">
        <f>SUM('الأمراض المزمنة'!FO82)</f>
        <v>0</v>
      </c>
      <c r="FP5" s="127">
        <f>SUM('الأمراض المزمنة'!FP82)</f>
        <v>0</v>
      </c>
      <c r="FQ5" s="21">
        <f>SUM('الأمراض المزمنة'!FQ82)</f>
        <v>0</v>
      </c>
      <c r="FR5" s="22">
        <f>SUM('الأمراض المزمنة'!FR82)</f>
        <v>0</v>
      </c>
      <c r="FS5" s="125">
        <f>SUM('الأمراض المزمنة'!FS82)</f>
        <v>0</v>
      </c>
      <c r="FT5" s="93"/>
      <c r="FU5" s="265"/>
      <c r="FV5" s="97"/>
      <c r="FW5" s="5" t="s">
        <v>12</v>
      </c>
      <c r="FX5" s="20">
        <f>SUM('الأمراض المزمنة'!FX82)</f>
        <v>0</v>
      </c>
      <c r="FY5" s="21">
        <f>SUM('الأمراض المزمنة'!FY82)</f>
        <v>0</v>
      </c>
      <c r="FZ5" s="22">
        <f>SUM('الأمراض المزمنة'!FZ82)</f>
        <v>0</v>
      </c>
      <c r="GA5" s="125">
        <f>SUM('الأمراض المزمنة'!GA82)</f>
        <v>0</v>
      </c>
      <c r="GB5" s="127">
        <f>SUM('الأمراض المزمنة'!GB82)</f>
        <v>0</v>
      </c>
      <c r="GC5" s="21">
        <f>SUM('الأمراض المزمنة'!GC82)</f>
        <v>0</v>
      </c>
      <c r="GD5" s="22">
        <f>SUM('الأمراض المزمنة'!GD82)</f>
        <v>0</v>
      </c>
      <c r="GE5" s="125">
        <f>SUM('الأمراض المزمنة'!GE82)</f>
        <v>0</v>
      </c>
      <c r="GF5" s="127">
        <f>SUM('الأمراض المزمنة'!GF82)</f>
        <v>0</v>
      </c>
      <c r="GG5" s="21">
        <f>SUM('الأمراض المزمنة'!GG82)</f>
        <v>0</v>
      </c>
      <c r="GH5" s="22">
        <f>SUM('الأمراض المزمنة'!GH82)</f>
        <v>0</v>
      </c>
      <c r="GI5" s="125">
        <f>SUM('الأمراض المزمنة'!GI82)</f>
        <v>0</v>
      </c>
      <c r="GJ5" s="93"/>
      <c r="GK5" s="265"/>
      <c r="GL5" s="97"/>
      <c r="GM5" s="5" t="s">
        <v>12</v>
      </c>
      <c r="GN5" s="20">
        <f>SUM('الأمراض المزمنة'!GN82)</f>
        <v>0</v>
      </c>
      <c r="GO5" s="21">
        <f>SUM('الأمراض المزمنة'!GO82)</f>
        <v>164</v>
      </c>
      <c r="GP5" s="22">
        <f>SUM('الأمراض المزمنة'!GP82)</f>
        <v>602</v>
      </c>
      <c r="GQ5" s="125">
        <f>SUM('الأمراض المزمنة'!GQ82)</f>
        <v>6073</v>
      </c>
      <c r="GR5" s="127">
        <f>SUM('الأمراض المزمنة'!GR82)</f>
        <v>0</v>
      </c>
      <c r="GS5" s="21">
        <f>SUM('الأمراض المزمنة'!GS82)</f>
        <v>734</v>
      </c>
      <c r="GT5" s="22">
        <f>SUM('الأمراض المزمنة'!GT82)</f>
        <v>295</v>
      </c>
      <c r="GU5" s="125">
        <f>SUM('الأمراض المزمنة'!GU82)</f>
        <v>4983</v>
      </c>
      <c r="GV5" s="127">
        <f>SUM('الأمراض المزمنة'!GV82)</f>
        <v>0</v>
      </c>
      <c r="GW5" s="21">
        <f>SUM('الأمراض المزمنة'!GW82)</f>
        <v>18</v>
      </c>
      <c r="GX5" s="22">
        <f>SUM('الأمراض المزمنة'!GX82)</f>
        <v>1</v>
      </c>
      <c r="GY5" s="125">
        <f>SUM('الأمراض المزمنة'!GY82)</f>
        <v>133</v>
      </c>
      <c r="GZ5" s="93"/>
    </row>
    <row r="6" spans="1:208" ht="20.100000000000001" customHeight="1" x14ac:dyDescent="0.25">
      <c r="A6" s="265"/>
      <c r="B6" s="6" t="s">
        <v>13</v>
      </c>
      <c r="C6" s="7" t="s">
        <v>10</v>
      </c>
      <c r="D6" s="23">
        <f>SUM('الأمراض المزمنة'!D83)</f>
        <v>464</v>
      </c>
      <c r="E6" s="24">
        <f>SUM('الأمراض المزمنة'!E83)</f>
        <v>29</v>
      </c>
      <c r="F6" s="25">
        <f>SUM('الأمراض المزمنة'!F83)</f>
        <v>15</v>
      </c>
      <c r="G6" s="128">
        <f>SUM('الأمراض المزمنة'!G83)</f>
        <v>230</v>
      </c>
      <c r="H6" s="129">
        <f>SUM('الأمراض المزمنة'!H83)</f>
        <v>365</v>
      </c>
      <c r="I6" s="24">
        <f>SUM('الأمراض المزمنة'!I83)</f>
        <v>19</v>
      </c>
      <c r="J6" s="25">
        <f>SUM('الأمراض المزمنة'!J83)</f>
        <v>13</v>
      </c>
      <c r="K6" s="128">
        <f>SUM('الأمراض المزمنة'!K83)</f>
        <v>296</v>
      </c>
      <c r="L6" s="129">
        <f>SUM('الأمراض المزمنة'!L83)</f>
        <v>0</v>
      </c>
      <c r="M6" s="24">
        <f>SUM('الأمراض المزمنة'!M83)</f>
        <v>0</v>
      </c>
      <c r="N6" s="25">
        <f>SUM('الأمراض المزمنة'!N83)</f>
        <v>0</v>
      </c>
      <c r="O6" s="128">
        <f>SUM('الأمراض المزمنة'!O83)</f>
        <v>0</v>
      </c>
      <c r="P6" s="93"/>
      <c r="Q6" s="265"/>
      <c r="R6" s="6" t="s">
        <v>13</v>
      </c>
      <c r="S6" s="7" t="s">
        <v>10</v>
      </c>
      <c r="T6" s="23">
        <f>SUM('الأمراض المزمنة'!T83)</f>
        <v>560</v>
      </c>
      <c r="U6" s="24">
        <f>SUM('الأمراض المزمنة'!U83)</f>
        <v>8</v>
      </c>
      <c r="V6" s="25">
        <f>SUM('الأمراض المزمنة'!V83)</f>
        <v>13</v>
      </c>
      <c r="W6" s="128">
        <f>SUM('الأمراض المزمنة'!W83)</f>
        <v>182</v>
      </c>
      <c r="X6" s="129">
        <f>SUM('الأمراض المزمنة'!X83)</f>
        <v>339</v>
      </c>
      <c r="Y6" s="24">
        <f>SUM('الأمراض المزمنة'!Y83)</f>
        <v>0</v>
      </c>
      <c r="Z6" s="25">
        <f>SUM('الأمراض المزمنة'!Z83)</f>
        <v>7</v>
      </c>
      <c r="AA6" s="128">
        <f>SUM('الأمراض المزمنة'!AA83)</f>
        <v>113</v>
      </c>
      <c r="AB6" s="129">
        <f>SUM('الأمراض المزمنة'!AB83)</f>
        <v>8</v>
      </c>
      <c r="AC6" s="24">
        <f>SUM('الأمراض المزمنة'!AC83)</f>
        <v>0</v>
      </c>
      <c r="AD6" s="25">
        <f>SUM('الأمراض المزمنة'!AD83)</f>
        <v>0</v>
      </c>
      <c r="AE6" s="128">
        <f>SUM('الأمراض المزمنة'!AE83)</f>
        <v>3</v>
      </c>
      <c r="AF6" s="93"/>
      <c r="AG6" s="265"/>
      <c r="AH6" s="6" t="s">
        <v>13</v>
      </c>
      <c r="AI6" s="7" t="s">
        <v>10</v>
      </c>
      <c r="AJ6" s="23">
        <f>SUM('الأمراض المزمنة'!AJ83)</f>
        <v>552</v>
      </c>
      <c r="AK6" s="24">
        <f>SUM('الأمراض المزمنة'!AK83)</f>
        <v>0</v>
      </c>
      <c r="AL6" s="25">
        <f>SUM('الأمراض المزمنة'!AL83)</f>
        <v>3</v>
      </c>
      <c r="AM6" s="128">
        <f>SUM('الأمراض المزمنة'!AM83)</f>
        <v>114</v>
      </c>
      <c r="AN6" s="129">
        <f>SUM('الأمراض المزمنة'!AN83)</f>
        <v>215</v>
      </c>
      <c r="AO6" s="24">
        <f>SUM('الأمراض المزمنة'!AO83)</f>
        <v>0</v>
      </c>
      <c r="AP6" s="25">
        <f>SUM('الأمراض المزمنة'!AP83)</f>
        <v>5</v>
      </c>
      <c r="AQ6" s="128">
        <f>SUM('الأمراض المزمنة'!AQ83)</f>
        <v>89</v>
      </c>
      <c r="AR6" s="129">
        <f>SUM('الأمراض المزمنة'!AR83)</f>
        <v>8</v>
      </c>
      <c r="AS6" s="24">
        <f>SUM('الأمراض المزمنة'!AS83)</f>
        <v>0</v>
      </c>
      <c r="AT6" s="25">
        <f>SUM('الأمراض المزمنة'!AT83)</f>
        <v>0</v>
      </c>
      <c r="AU6" s="128">
        <f>SUM('الأمراض المزمنة'!AU83)</f>
        <v>8</v>
      </c>
      <c r="AV6" s="93"/>
      <c r="AW6" s="265"/>
      <c r="AX6" s="6" t="s">
        <v>13</v>
      </c>
      <c r="AY6" s="7" t="s">
        <v>10</v>
      </c>
      <c r="AZ6" s="23">
        <f>SUM('الأمراض المزمنة'!AZ83)</f>
        <v>759</v>
      </c>
      <c r="BA6" s="24">
        <f>SUM('الأمراض المزمنة'!BA83)</f>
        <v>15</v>
      </c>
      <c r="BB6" s="25">
        <f>SUM('الأمراض المزمنة'!BB83)</f>
        <v>23</v>
      </c>
      <c r="BC6" s="128">
        <f>SUM('الأمراض المزمنة'!BC83)</f>
        <v>278</v>
      </c>
      <c r="BD6" s="129">
        <f>SUM('الأمراض المزمنة'!BD83)</f>
        <v>435</v>
      </c>
      <c r="BE6" s="24">
        <f>SUM('الأمراض المزمنة'!BE83)</f>
        <v>8</v>
      </c>
      <c r="BF6" s="25">
        <f>SUM('الأمراض المزمنة'!BF83)</f>
        <v>20</v>
      </c>
      <c r="BG6" s="128">
        <f>SUM('الأمراض المزمنة'!BG83)</f>
        <v>241</v>
      </c>
      <c r="BH6" s="129">
        <f>SUM('الأمراض المزمنة'!BH83)</f>
        <v>8</v>
      </c>
      <c r="BI6" s="24">
        <f>SUM('الأمراض المزمنة'!BI83)</f>
        <v>0</v>
      </c>
      <c r="BJ6" s="25">
        <f>SUM('الأمراض المزمنة'!BJ83)</f>
        <v>0</v>
      </c>
      <c r="BK6" s="128">
        <f>SUM('الأمراض المزمنة'!BK83)</f>
        <v>4</v>
      </c>
      <c r="BL6" s="93"/>
      <c r="BM6" s="265"/>
      <c r="BN6" s="6" t="s">
        <v>13</v>
      </c>
      <c r="BO6" s="7" t="s">
        <v>10</v>
      </c>
      <c r="BP6" s="23">
        <f>SUM('الأمراض المزمنة'!BP83)</f>
        <v>526</v>
      </c>
      <c r="BQ6" s="24">
        <f>SUM('الأمراض المزمنة'!BQ83)</f>
        <v>2</v>
      </c>
      <c r="BR6" s="25">
        <f>SUM('الأمراض المزمنة'!BR83)</f>
        <v>13</v>
      </c>
      <c r="BS6" s="128">
        <f>SUM('الأمراض المزمنة'!BS83)</f>
        <v>110</v>
      </c>
      <c r="BT6" s="129">
        <f>SUM('الأمراض المزمنة'!BT83)</f>
        <v>383</v>
      </c>
      <c r="BU6" s="24">
        <f>SUM('الأمراض المزمنة'!BU83)</f>
        <v>5</v>
      </c>
      <c r="BV6" s="25">
        <f>SUM('الأمراض المزمنة'!BV83)</f>
        <v>7</v>
      </c>
      <c r="BW6" s="128">
        <f>SUM('الأمراض المزمنة'!BW83)</f>
        <v>99</v>
      </c>
      <c r="BX6" s="129">
        <f>SUM('الأمراض المزمنة'!BX83)</f>
        <v>20</v>
      </c>
      <c r="BY6" s="24">
        <f>SUM('الأمراض المزمنة'!BY83)</f>
        <v>0</v>
      </c>
      <c r="BZ6" s="25">
        <f>SUM('الأمراض المزمنة'!BZ83)</f>
        <v>0</v>
      </c>
      <c r="CA6" s="128">
        <f>SUM('الأمراض المزمنة'!CA83)</f>
        <v>7</v>
      </c>
      <c r="CB6" s="93"/>
      <c r="CC6" s="265"/>
      <c r="CD6" s="6" t="s">
        <v>13</v>
      </c>
      <c r="CE6" s="7" t="s">
        <v>10</v>
      </c>
      <c r="CF6" s="23">
        <f>SUM('الأمراض المزمنة'!CF83)</f>
        <v>227</v>
      </c>
      <c r="CG6" s="24">
        <f>SUM('الأمراض المزمنة'!CG83)</f>
        <v>5</v>
      </c>
      <c r="CH6" s="25">
        <f>SUM('الأمراض المزمنة'!CH83)</f>
        <v>27</v>
      </c>
      <c r="CI6" s="128">
        <f>SUM('الأمراض المزمنة'!CI83)</f>
        <v>138</v>
      </c>
      <c r="CJ6" s="129">
        <f>SUM('الأمراض المزمنة'!CJ83)</f>
        <v>143</v>
      </c>
      <c r="CK6" s="24">
        <f>SUM('الأمراض المزمنة'!CK83)</f>
        <v>4</v>
      </c>
      <c r="CL6" s="25">
        <f>SUM('الأمراض المزمنة'!CL83)</f>
        <v>13</v>
      </c>
      <c r="CM6" s="128">
        <f>SUM('الأمراض المزمنة'!CM83)</f>
        <v>121</v>
      </c>
      <c r="CN6" s="129">
        <f>SUM('الأمراض المزمنة'!CN83)</f>
        <v>1</v>
      </c>
      <c r="CO6" s="24">
        <f>SUM('الأمراض المزمنة'!CO83)</f>
        <v>0</v>
      </c>
      <c r="CP6" s="25">
        <f>SUM('الأمراض المزمنة'!CP83)</f>
        <v>0</v>
      </c>
      <c r="CQ6" s="128">
        <f>SUM('الأمراض المزمنة'!CQ83)</f>
        <v>0</v>
      </c>
      <c r="CR6" s="93"/>
      <c r="CS6" s="265"/>
      <c r="CT6" s="6" t="s">
        <v>13</v>
      </c>
      <c r="CU6" s="7" t="s">
        <v>10</v>
      </c>
      <c r="CV6" s="23">
        <f>SUM('الأمراض المزمنة'!CV83)</f>
        <v>612</v>
      </c>
      <c r="CW6" s="24">
        <f>SUM('الأمراض المزمنة'!CW83)</f>
        <v>8</v>
      </c>
      <c r="CX6" s="25">
        <f>SUM('الأمراض المزمنة'!CX83)</f>
        <v>3</v>
      </c>
      <c r="CY6" s="128">
        <f>SUM('الأمراض المزمنة'!CY83)</f>
        <v>182</v>
      </c>
      <c r="CZ6" s="129">
        <f>SUM('الأمراض المزمنة'!CZ83)</f>
        <v>384</v>
      </c>
      <c r="DA6" s="24">
        <f>SUM('الأمراض المزمنة'!DA83)</f>
        <v>0</v>
      </c>
      <c r="DB6" s="25">
        <f>SUM('الأمراض المزمنة'!DB83)</f>
        <v>4</v>
      </c>
      <c r="DC6" s="128">
        <f>SUM('الأمراض المزمنة'!DC83)</f>
        <v>126</v>
      </c>
      <c r="DD6" s="129">
        <f>SUM('الأمراض المزمنة'!DD83)</f>
        <v>5</v>
      </c>
      <c r="DE6" s="24">
        <f>SUM('الأمراض المزمنة'!DE83)</f>
        <v>5</v>
      </c>
      <c r="DF6" s="25">
        <f>SUM('الأمراض المزمنة'!DF83)</f>
        <v>0</v>
      </c>
      <c r="DG6" s="128">
        <f>SUM('الأمراض المزمنة'!DG83)</f>
        <v>3</v>
      </c>
      <c r="DH6" s="93"/>
      <c r="DI6" s="265"/>
      <c r="DJ6" s="6" t="s">
        <v>13</v>
      </c>
      <c r="DK6" s="7" t="s">
        <v>10</v>
      </c>
      <c r="DL6" s="23">
        <f>SUM('الأمراض المزمنة'!DL83)</f>
        <v>606</v>
      </c>
      <c r="DM6" s="24">
        <f>SUM('الأمراض المزمنة'!DM83)</f>
        <v>4</v>
      </c>
      <c r="DN6" s="25">
        <f>SUM('الأمراض المزمنة'!DN83)</f>
        <v>40</v>
      </c>
      <c r="DO6" s="128">
        <f>SUM('الأمراض المزمنة'!DO83)</f>
        <v>247</v>
      </c>
      <c r="DP6" s="129">
        <f>SUM('الأمراض المزمنة'!DP83)</f>
        <v>417</v>
      </c>
      <c r="DQ6" s="24">
        <f>SUM('الأمراض المزمنة'!DQ83)</f>
        <v>2</v>
      </c>
      <c r="DR6" s="25">
        <f>SUM('الأمراض المزمنة'!DR83)</f>
        <v>8</v>
      </c>
      <c r="DS6" s="128">
        <f>SUM('الأمراض المزمنة'!DS83)</f>
        <v>234</v>
      </c>
      <c r="DT6" s="129">
        <f>SUM('الأمراض المزمنة'!DT83)</f>
        <v>14</v>
      </c>
      <c r="DU6" s="24">
        <f>SUM('الأمراض المزمنة'!DU83)</f>
        <v>0</v>
      </c>
      <c r="DV6" s="25">
        <f>SUM('الأمراض المزمنة'!DV83)</f>
        <v>0</v>
      </c>
      <c r="DW6" s="128">
        <f>SUM('الأمراض المزمنة'!DW83)</f>
        <v>7</v>
      </c>
      <c r="DX6" s="93"/>
      <c r="DY6" s="265"/>
      <c r="DZ6" s="6" t="s">
        <v>13</v>
      </c>
      <c r="EA6" s="7" t="s">
        <v>10</v>
      </c>
      <c r="EB6" s="23">
        <f>SUM('الأمراض المزمنة'!EB83)</f>
        <v>343</v>
      </c>
      <c r="EC6" s="24">
        <f>SUM('الأمراض المزمنة'!EC83)</f>
        <v>4</v>
      </c>
      <c r="ED6" s="25">
        <f>SUM('الأمراض المزمنة'!ED83)</f>
        <v>0</v>
      </c>
      <c r="EE6" s="128">
        <f>SUM('الأمراض المزمنة'!EE83)</f>
        <v>104</v>
      </c>
      <c r="EF6" s="129">
        <f>SUM('الأمراض المزمنة'!EF83)</f>
        <v>897</v>
      </c>
      <c r="EG6" s="24">
        <f>SUM('الأمراض المزمنة'!EG83)</f>
        <v>6</v>
      </c>
      <c r="EH6" s="25">
        <f>SUM('الأمراض المزمنة'!EH83)</f>
        <v>0</v>
      </c>
      <c r="EI6" s="128">
        <f>SUM('الأمراض المزمنة'!EI83)</f>
        <v>7</v>
      </c>
      <c r="EJ6" s="129">
        <f>SUM('الأمراض المزمنة'!EJ83)</f>
        <v>13</v>
      </c>
      <c r="EK6" s="24">
        <f>SUM('الأمراض المزمنة'!EK83)</f>
        <v>0</v>
      </c>
      <c r="EL6" s="25">
        <f>SUM('الأمراض المزمنة'!EL83)</f>
        <v>0</v>
      </c>
      <c r="EM6" s="128">
        <f>SUM('الأمراض المزمنة'!EM83)</f>
        <v>5</v>
      </c>
      <c r="EN6" s="93"/>
      <c r="EO6" s="265"/>
      <c r="EP6" s="6" t="s">
        <v>13</v>
      </c>
      <c r="EQ6" s="7" t="s">
        <v>10</v>
      </c>
      <c r="ER6" s="23">
        <f>SUM('الأمراض المزمنة'!ER83)</f>
        <v>211</v>
      </c>
      <c r="ES6" s="24">
        <f>SUM('الأمراض المزمنة'!ES83)</f>
        <v>2</v>
      </c>
      <c r="ET6" s="25">
        <f>SUM('الأمراض المزمنة'!ET83)</f>
        <v>0</v>
      </c>
      <c r="EU6" s="128">
        <f>SUM('الأمراض المزمنة'!EU83)</f>
        <v>80</v>
      </c>
      <c r="EV6" s="129">
        <f>SUM('الأمراض المزمنة'!EV83)</f>
        <v>845</v>
      </c>
      <c r="EW6" s="24">
        <f>SUM('الأمراض المزمنة'!EW83)</f>
        <v>4</v>
      </c>
      <c r="EX6" s="25">
        <f>SUM('الأمراض المزمنة'!EX83)</f>
        <v>0</v>
      </c>
      <c r="EY6" s="128">
        <f>SUM('الأمراض المزمنة'!EY83)</f>
        <v>2</v>
      </c>
      <c r="EZ6" s="129">
        <f>SUM('الأمراض المزمنة'!EZ83)</f>
        <v>13</v>
      </c>
      <c r="FA6" s="24">
        <f>SUM('الأمراض المزمنة'!FA83)</f>
        <v>0</v>
      </c>
      <c r="FB6" s="25">
        <f>SUM('الأمراض المزمنة'!FB83)</f>
        <v>0</v>
      </c>
      <c r="FC6" s="128">
        <f>SUM('الأمراض المزمنة'!FC83)</f>
        <v>0</v>
      </c>
      <c r="FD6" s="93"/>
      <c r="FE6" s="265"/>
      <c r="FF6" s="6" t="s">
        <v>13</v>
      </c>
      <c r="FG6" s="7" t="s">
        <v>10</v>
      </c>
      <c r="FH6" s="23">
        <f>SUM('الأمراض المزمنة'!FH83)</f>
        <v>0</v>
      </c>
      <c r="FI6" s="24">
        <f>SUM('الأمراض المزمنة'!FI83)</f>
        <v>0</v>
      </c>
      <c r="FJ6" s="25">
        <f>SUM('الأمراض المزمنة'!FJ83)</f>
        <v>0</v>
      </c>
      <c r="FK6" s="128">
        <f>SUM('الأمراض المزمنة'!FK83)</f>
        <v>0</v>
      </c>
      <c r="FL6" s="129">
        <f>SUM('الأمراض المزمنة'!FL83)</f>
        <v>0</v>
      </c>
      <c r="FM6" s="24">
        <f>SUM('الأمراض المزمنة'!FM83)</f>
        <v>0</v>
      </c>
      <c r="FN6" s="25">
        <f>SUM('الأمراض المزمنة'!FN83)</f>
        <v>0</v>
      </c>
      <c r="FO6" s="128">
        <f>SUM('الأمراض المزمنة'!FO83)</f>
        <v>0</v>
      </c>
      <c r="FP6" s="129">
        <f>SUM('الأمراض المزمنة'!FP83)</f>
        <v>0</v>
      </c>
      <c r="FQ6" s="24">
        <f>SUM('الأمراض المزمنة'!FQ83)</f>
        <v>0</v>
      </c>
      <c r="FR6" s="25">
        <f>SUM('الأمراض المزمنة'!FR83)</f>
        <v>0</v>
      </c>
      <c r="FS6" s="128">
        <f>SUM('الأمراض المزمنة'!FS83)</f>
        <v>0</v>
      </c>
      <c r="FT6" s="93"/>
      <c r="FU6" s="265"/>
      <c r="FV6" s="6" t="s">
        <v>13</v>
      </c>
      <c r="FW6" s="7" t="s">
        <v>10</v>
      </c>
      <c r="FX6" s="23">
        <f>SUM('الأمراض المزمنة'!FX83)</f>
        <v>0</v>
      </c>
      <c r="FY6" s="24">
        <f>SUM('الأمراض المزمنة'!FY83)</f>
        <v>0</v>
      </c>
      <c r="FZ6" s="25">
        <f>SUM('الأمراض المزمنة'!FZ83)</f>
        <v>0</v>
      </c>
      <c r="GA6" s="128">
        <f>SUM('الأمراض المزمنة'!GA83)</f>
        <v>0</v>
      </c>
      <c r="GB6" s="129">
        <f>SUM('الأمراض المزمنة'!GB83)</f>
        <v>0</v>
      </c>
      <c r="GC6" s="24">
        <f>SUM('الأمراض المزمنة'!GC83)</f>
        <v>0</v>
      </c>
      <c r="GD6" s="25">
        <f>SUM('الأمراض المزمنة'!GD83)</f>
        <v>0</v>
      </c>
      <c r="GE6" s="128">
        <f>SUM('الأمراض المزمنة'!GE83)</f>
        <v>0</v>
      </c>
      <c r="GF6" s="129">
        <f>SUM('الأمراض المزمنة'!GF83)</f>
        <v>0</v>
      </c>
      <c r="GG6" s="24">
        <f>SUM('الأمراض المزمنة'!GG83)</f>
        <v>0</v>
      </c>
      <c r="GH6" s="25">
        <f>SUM('الأمراض المزمنة'!GH83)</f>
        <v>0</v>
      </c>
      <c r="GI6" s="128">
        <f>SUM('الأمراض المزمنة'!GI83)</f>
        <v>0</v>
      </c>
      <c r="GJ6" s="93"/>
      <c r="GK6" s="265"/>
      <c r="GL6" s="6" t="s">
        <v>13</v>
      </c>
      <c r="GM6" s="7" t="s">
        <v>10</v>
      </c>
      <c r="GN6" s="23">
        <f>SUM('الأمراض المزمنة'!GN83)</f>
        <v>0</v>
      </c>
      <c r="GO6" s="24">
        <f>SUM('الأمراض المزمنة'!GO83)</f>
        <v>77</v>
      </c>
      <c r="GP6" s="25">
        <f>SUM('الأمراض المزمنة'!GP83)</f>
        <v>137</v>
      </c>
      <c r="GQ6" s="128">
        <f>SUM('الأمراض المزمنة'!GQ83)</f>
        <v>1665</v>
      </c>
      <c r="GR6" s="129">
        <f>SUM('الأمراض المزمنة'!GR83)</f>
        <v>0</v>
      </c>
      <c r="GS6" s="24">
        <f>SUM('الأمراض المزمنة'!GS83)</f>
        <v>48</v>
      </c>
      <c r="GT6" s="25">
        <f>SUM('الأمراض المزمنة'!GT83)</f>
        <v>77</v>
      </c>
      <c r="GU6" s="128">
        <f>SUM('الأمراض المزمنة'!GU83)</f>
        <v>1328</v>
      </c>
      <c r="GV6" s="129">
        <f>SUM('الأمراض المزمنة'!GV83)</f>
        <v>0</v>
      </c>
      <c r="GW6" s="24">
        <f>SUM('الأمراض المزمنة'!GW83)</f>
        <v>5</v>
      </c>
      <c r="GX6" s="25">
        <f>SUM('الأمراض المزمنة'!GX83)</f>
        <v>0</v>
      </c>
      <c r="GY6" s="128">
        <f>SUM('الأمراض المزمنة'!GY83)</f>
        <v>37</v>
      </c>
      <c r="GZ6" s="93"/>
    </row>
    <row r="7" spans="1:208" ht="20.100000000000001" customHeight="1" thickBot="1" x14ac:dyDescent="0.3">
      <c r="A7" s="265"/>
      <c r="B7" s="3" t="s">
        <v>11</v>
      </c>
      <c r="C7" s="8" t="s">
        <v>12</v>
      </c>
      <c r="D7" s="20">
        <f>SUM('الأمراض المزمنة'!D84)</f>
        <v>1180</v>
      </c>
      <c r="E7" s="21">
        <f>SUM('الأمراض المزمنة'!E84)</f>
        <v>6</v>
      </c>
      <c r="F7" s="22">
        <f>SUM('الأمراض المزمنة'!F84)</f>
        <v>2</v>
      </c>
      <c r="G7" s="125">
        <f>SUM('الأمراض المزمنة'!G84)</f>
        <v>95</v>
      </c>
      <c r="H7" s="127">
        <f>SUM('الأمراض المزمنة'!H84)</f>
        <v>226</v>
      </c>
      <c r="I7" s="21">
        <f>SUM('الأمراض المزمنة'!I84)</f>
        <v>4</v>
      </c>
      <c r="J7" s="22">
        <f>SUM('الأمراض المزمنة'!J84)</f>
        <v>7</v>
      </c>
      <c r="K7" s="125">
        <f>SUM('الأمراض المزمنة'!K84)</f>
        <v>87</v>
      </c>
      <c r="L7" s="127">
        <f>SUM('الأمراض المزمنة'!L84)</f>
        <v>2</v>
      </c>
      <c r="M7" s="21">
        <f>SUM('الأمراض المزمنة'!M84)</f>
        <v>0</v>
      </c>
      <c r="N7" s="22">
        <f>SUM('الأمراض المزمنة'!N84)</f>
        <v>0</v>
      </c>
      <c r="O7" s="125">
        <f>SUM('الأمراض المزمنة'!O84)</f>
        <v>0</v>
      </c>
      <c r="P7" s="93"/>
      <c r="Q7" s="265"/>
      <c r="R7" s="3" t="s">
        <v>11</v>
      </c>
      <c r="S7" s="8" t="s">
        <v>12</v>
      </c>
      <c r="T7" s="20">
        <f>SUM('الأمراض المزمنة'!T84)</f>
        <v>1213</v>
      </c>
      <c r="U7" s="21">
        <f>SUM('الأمراض المزمنة'!U84)</f>
        <v>0</v>
      </c>
      <c r="V7" s="22">
        <f>SUM('الأمراض المزمنة'!V84)</f>
        <v>4</v>
      </c>
      <c r="W7" s="125">
        <f>SUM('الأمراض المزمنة'!W84)</f>
        <v>95</v>
      </c>
      <c r="X7" s="127">
        <f>SUM('الأمراض المزمنة'!X84)</f>
        <v>203</v>
      </c>
      <c r="Y7" s="21">
        <f>SUM('الأمراض المزمنة'!Y84)</f>
        <v>0</v>
      </c>
      <c r="Z7" s="22">
        <f>SUM('الأمراض المزمنة'!Z84)</f>
        <v>5</v>
      </c>
      <c r="AA7" s="125">
        <f>SUM('الأمراض المزمنة'!AA84)</f>
        <v>50</v>
      </c>
      <c r="AB7" s="127">
        <f>SUM('الأمراض المزمنة'!AB84)</f>
        <v>5</v>
      </c>
      <c r="AC7" s="21">
        <f>SUM('الأمراض المزمنة'!AC84)</f>
        <v>0</v>
      </c>
      <c r="AD7" s="22">
        <f>SUM('الأمراض المزمنة'!AD84)</f>
        <v>0</v>
      </c>
      <c r="AE7" s="125">
        <f>SUM('الأمراض المزمنة'!AE84)</f>
        <v>0</v>
      </c>
      <c r="AF7" s="93"/>
      <c r="AG7" s="265"/>
      <c r="AH7" s="3" t="s">
        <v>11</v>
      </c>
      <c r="AI7" s="8" t="s">
        <v>12</v>
      </c>
      <c r="AJ7" s="20">
        <f>SUM('الأمراض المزمنة'!AJ84)</f>
        <v>1198</v>
      </c>
      <c r="AK7" s="21">
        <f>SUM('الأمراض المزمنة'!AK84)</f>
        <v>3</v>
      </c>
      <c r="AL7" s="22">
        <f>SUM('الأمراض المزمنة'!AL84)</f>
        <v>6</v>
      </c>
      <c r="AM7" s="125">
        <f>SUM('الأمراض المزمنة'!AM84)</f>
        <v>94</v>
      </c>
      <c r="AN7" s="127">
        <f>SUM('الأمراض المزمنة'!AN84)</f>
        <v>199</v>
      </c>
      <c r="AO7" s="21">
        <f>SUM('الأمراض المزمنة'!AO84)</f>
        <v>2</v>
      </c>
      <c r="AP7" s="22">
        <f>SUM('الأمراض المزمنة'!AP84)</f>
        <v>6</v>
      </c>
      <c r="AQ7" s="125">
        <f>SUM('الأمراض المزمنة'!AQ84)</f>
        <v>61</v>
      </c>
      <c r="AR7" s="127">
        <f>SUM('الأمراض المزمنة'!AR84)</f>
        <v>6</v>
      </c>
      <c r="AS7" s="21">
        <f>SUM('الأمراض المزمنة'!AS84)</f>
        <v>0</v>
      </c>
      <c r="AT7" s="22">
        <f>SUM('الأمراض المزمنة'!AT84)</f>
        <v>0</v>
      </c>
      <c r="AU7" s="125">
        <f>SUM('الأمراض المزمنة'!AU84)</f>
        <v>5</v>
      </c>
      <c r="AV7" s="93"/>
      <c r="AW7" s="265"/>
      <c r="AX7" s="3" t="s">
        <v>11</v>
      </c>
      <c r="AY7" s="8" t="s">
        <v>12</v>
      </c>
      <c r="AZ7" s="20">
        <f>SUM('الأمراض المزمنة'!AZ84)</f>
        <v>1286</v>
      </c>
      <c r="BA7" s="21">
        <f>SUM('الأمراض المزمنة'!BA84)</f>
        <v>8</v>
      </c>
      <c r="BB7" s="22">
        <f>SUM('الأمراض المزمنة'!BB84)</f>
        <v>17</v>
      </c>
      <c r="BC7" s="125">
        <f>SUM('الأمراض المزمنة'!BC84)</f>
        <v>140</v>
      </c>
      <c r="BD7" s="127">
        <f>SUM('الأمراض المزمنة'!BD84)</f>
        <v>328</v>
      </c>
      <c r="BE7" s="21">
        <f>SUM('الأمراض المزمنة'!BE84)</f>
        <v>2</v>
      </c>
      <c r="BF7" s="22">
        <f>SUM('الأمراض المزمنة'!BF84)</f>
        <v>15</v>
      </c>
      <c r="BG7" s="125">
        <f>SUM('الأمراض المزمنة'!BG84)</f>
        <v>131</v>
      </c>
      <c r="BH7" s="127">
        <f>SUM('الأمراض المزمنة'!BH84)</f>
        <v>5</v>
      </c>
      <c r="BI7" s="21">
        <f>SUM('الأمراض المزمنة'!BI84)</f>
        <v>0</v>
      </c>
      <c r="BJ7" s="22">
        <f>SUM('الأمراض المزمنة'!BJ84)</f>
        <v>0</v>
      </c>
      <c r="BK7" s="125">
        <f>SUM('الأمراض المزمنة'!BK84)</f>
        <v>6</v>
      </c>
      <c r="BL7" s="93"/>
      <c r="BM7" s="265"/>
      <c r="BN7" s="3" t="s">
        <v>11</v>
      </c>
      <c r="BO7" s="8" t="s">
        <v>12</v>
      </c>
      <c r="BP7" s="20">
        <f>SUM('الأمراض المزمنة'!BP84)</f>
        <v>1260</v>
      </c>
      <c r="BQ7" s="21">
        <f>SUM('الأمراض المزمنة'!BQ84)</f>
        <v>3</v>
      </c>
      <c r="BR7" s="22">
        <f>SUM('الأمراض المزمنة'!BR84)</f>
        <v>5</v>
      </c>
      <c r="BS7" s="125">
        <f>SUM('الأمراض المزمنة'!BS84)</f>
        <v>64</v>
      </c>
      <c r="BT7" s="127">
        <f>SUM('الأمراض المزمنة'!BT84)</f>
        <v>399</v>
      </c>
      <c r="BU7" s="21">
        <f>SUM('الأمراض المزمنة'!BU84)</f>
        <v>1</v>
      </c>
      <c r="BV7" s="22">
        <f>SUM('الأمراض المزمنة'!BV84)</f>
        <v>3</v>
      </c>
      <c r="BW7" s="125">
        <f>SUM('الأمراض المزمنة'!BW84)</f>
        <v>58</v>
      </c>
      <c r="BX7" s="127">
        <f>SUM('الأمراض المزمنة'!BX84)</f>
        <v>10</v>
      </c>
      <c r="BY7" s="21">
        <f>SUM('الأمراض المزمنة'!BY84)</f>
        <v>0</v>
      </c>
      <c r="BZ7" s="22">
        <f>SUM('الأمراض المزمنة'!BZ84)</f>
        <v>0</v>
      </c>
      <c r="CA7" s="125">
        <f>SUM('الأمراض المزمنة'!CA84)</f>
        <v>5</v>
      </c>
      <c r="CB7" s="93"/>
      <c r="CC7" s="265"/>
      <c r="CD7" s="3" t="s">
        <v>11</v>
      </c>
      <c r="CE7" s="8" t="s">
        <v>12</v>
      </c>
      <c r="CF7" s="20">
        <f>SUM('الأمراض المزمنة'!CF84)</f>
        <v>136</v>
      </c>
      <c r="CG7" s="21">
        <f>SUM('الأمراض المزمنة'!CG84)</f>
        <v>7</v>
      </c>
      <c r="CH7" s="22">
        <f>SUM('الأمراض المزمنة'!CH84)</f>
        <v>13</v>
      </c>
      <c r="CI7" s="125">
        <f>SUM('الأمراض المزمنة'!CI84)</f>
        <v>71</v>
      </c>
      <c r="CJ7" s="127">
        <f>SUM('الأمراض المزمنة'!CJ84)</f>
        <v>158</v>
      </c>
      <c r="CK7" s="21">
        <f>SUM('الأمراض المزمنة'!CK84)</f>
        <v>1</v>
      </c>
      <c r="CL7" s="22">
        <f>SUM('الأمراض المزمنة'!CL84)</f>
        <v>14</v>
      </c>
      <c r="CM7" s="125">
        <f>SUM('الأمراض المزمنة'!CM84)</f>
        <v>74</v>
      </c>
      <c r="CN7" s="127">
        <f>SUM('الأمراض المزمنة'!CN84)</f>
        <v>2</v>
      </c>
      <c r="CO7" s="21">
        <f>SUM('الأمراض المزمنة'!CO84)</f>
        <v>0</v>
      </c>
      <c r="CP7" s="22">
        <f>SUM('الأمراض المزمنة'!CP84)</f>
        <v>0</v>
      </c>
      <c r="CQ7" s="125">
        <f>SUM('الأمراض المزمنة'!CQ84)</f>
        <v>0</v>
      </c>
      <c r="CR7" s="93"/>
      <c r="CS7" s="265"/>
      <c r="CT7" s="3" t="s">
        <v>11</v>
      </c>
      <c r="CU7" s="8" t="s">
        <v>12</v>
      </c>
      <c r="CV7" s="20">
        <f>SUM('الأمراض المزمنة'!CV84)</f>
        <v>1279</v>
      </c>
      <c r="CW7" s="21">
        <f>SUM('الأمراض المزمنة'!CW84)</f>
        <v>0</v>
      </c>
      <c r="CX7" s="22">
        <f>SUM('الأمراض المزمنة'!CX84)</f>
        <v>1</v>
      </c>
      <c r="CY7" s="125">
        <f>SUM('الأمراض المزمنة'!CY84)</f>
        <v>127</v>
      </c>
      <c r="CZ7" s="127">
        <f>SUM('الأمراض المزمنة'!CZ84)</f>
        <v>403</v>
      </c>
      <c r="DA7" s="21">
        <f>SUM('الأمراض المزمنة'!DA84)</f>
        <v>0</v>
      </c>
      <c r="DB7" s="22">
        <f>SUM('الأمراض المزمنة'!DB84)</f>
        <v>1</v>
      </c>
      <c r="DC7" s="125">
        <f>SUM('الأمراض المزمنة'!DC84)</f>
        <v>88</v>
      </c>
      <c r="DD7" s="127">
        <f>SUM('الأمراض المزمنة'!DD84)</f>
        <v>4</v>
      </c>
      <c r="DE7" s="21">
        <f>SUM('الأمراض المزمنة'!DE84)</f>
        <v>2</v>
      </c>
      <c r="DF7" s="22">
        <f>SUM('الأمراض المزمنة'!DF84)</f>
        <v>0</v>
      </c>
      <c r="DG7" s="125">
        <f>SUM('الأمراض المزمنة'!DG84)</f>
        <v>5</v>
      </c>
      <c r="DH7" s="93"/>
      <c r="DI7" s="265"/>
      <c r="DJ7" s="3" t="s">
        <v>11</v>
      </c>
      <c r="DK7" s="8" t="s">
        <v>12</v>
      </c>
      <c r="DL7" s="20">
        <f>SUM('الأمراض المزمنة'!DL84)</f>
        <v>1175</v>
      </c>
      <c r="DM7" s="21">
        <f>SUM('الأمراض المزمنة'!DM84)</f>
        <v>3</v>
      </c>
      <c r="DN7" s="22">
        <f>SUM('الأمراض المزمنة'!DN84)</f>
        <v>12</v>
      </c>
      <c r="DO7" s="125">
        <f>SUM('الأمراض المزمنة'!DO84)</f>
        <v>226</v>
      </c>
      <c r="DP7" s="127">
        <f>SUM('الأمراض المزمنة'!DP84)</f>
        <v>218</v>
      </c>
      <c r="DQ7" s="21">
        <f>SUM('الأمراض المزمنة'!DQ84)</f>
        <v>4</v>
      </c>
      <c r="DR7" s="22">
        <f>SUM('الأمراض المزمنة'!DR84)</f>
        <v>12</v>
      </c>
      <c r="DS7" s="125">
        <f>SUM('الأمراض المزمنة'!DS84)</f>
        <v>174</v>
      </c>
      <c r="DT7" s="127">
        <f>SUM('الأمراض المزمنة'!DT84)</f>
        <v>5</v>
      </c>
      <c r="DU7" s="21">
        <f>SUM('الأمراض المزمنة'!DU84)</f>
        <v>0</v>
      </c>
      <c r="DV7" s="22">
        <f>SUM('الأمراض المزمنة'!DV84)</f>
        <v>0</v>
      </c>
      <c r="DW7" s="125">
        <f>SUM('الأمراض المزمنة'!DW84)</f>
        <v>4</v>
      </c>
      <c r="DX7" s="93"/>
      <c r="DY7" s="265"/>
      <c r="DZ7" s="3" t="s">
        <v>11</v>
      </c>
      <c r="EA7" s="8" t="s">
        <v>12</v>
      </c>
      <c r="EB7" s="20">
        <f>SUM('الأمراض المزمنة'!EB84)</f>
        <v>388</v>
      </c>
      <c r="EC7" s="21">
        <f>SUM('الأمراض المزمنة'!EC84)</f>
        <v>4</v>
      </c>
      <c r="ED7" s="22">
        <f>SUM('الأمراض المزمنة'!ED84)</f>
        <v>0</v>
      </c>
      <c r="EE7" s="125">
        <f>SUM('الأمراض المزمنة'!EE84)</f>
        <v>89</v>
      </c>
      <c r="EF7" s="127">
        <f>SUM('الأمراض المزمنة'!EF84)</f>
        <v>231</v>
      </c>
      <c r="EG7" s="21">
        <f>SUM('الأمراض المزمنة'!EG84)</f>
        <v>6</v>
      </c>
      <c r="EH7" s="22">
        <f>SUM('الأمراض المزمنة'!EH84)</f>
        <v>0</v>
      </c>
      <c r="EI7" s="125">
        <f>SUM('الأمراض المزمنة'!EI84)</f>
        <v>11</v>
      </c>
      <c r="EJ7" s="127">
        <f>SUM('الأمراض المزمنة'!EJ84)</f>
        <v>16</v>
      </c>
      <c r="EK7" s="21">
        <f>SUM('الأمراض المزمنة'!EK84)</f>
        <v>1</v>
      </c>
      <c r="EL7" s="22">
        <f>SUM('الأمراض المزمنة'!EL84)</f>
        <v>0</v>
      </c>
      <c r="EM7" s="125">
        <f>SUM('الأمراض المزمنة'!EM84)</f>
        <v>4</v>
      </c>
      <c r="EN7" s="93"/>
      <c r="EO7" s="265"/>
      <c r="EP7" s="3" t="s">
        <v>11</v>
      </c>
      <c r="EQ7" s="8" t="s">
        <v>12</v>
      </c>
      <c r="ER7" s="20">
        <f>SUM('الأمراض المزمنة'!ER84)</f>
        <v>304</v>
      </c>
      <c r="ES7" s="21">
        <f>SUM('الأمراض المزمنة'!ES84)</f>
        <v>2</v>
      </c>
      <c r="ET7" s="22">
        <f>SUM('الأمراض المزمنة'!ET84)</f>
        <v>0</v>
      </c>
      <c r="EU7" s="125">
        <f>SUM('الأمراض المزمنة'!EU84)</f>
        <v>59</v>
      </c>
      <c r="EV7" s="127">
        <f>SUM('الأمراض المزمنة'!EV84)</f>
        <v>181</v>
      </c>
      <c r="EW7" s="21">
        <f>SUM('الأمراض المزمنة'!EW84)</f>
        <v>3</v>
      </c>
      <c r="EX7" s="22">
        <f>SUM('الأمراض المزمنة'!EX84)</f>
        <v>0</v>
      </c>
      <c r="EY7" s="125">
        <f>SUM('الأمراض المزمنة'!EY84)</f>
        <v>5</v>
      </c>
      <c r="EZ7" s="127">
        <f>SUM('الأمراض المزمنة'!EZ84)</f>
        <v>14</v>
      </c>
      <c r="FA7" s="21">
        <f>SUM('الأمراض المزمنة'!FA84)</f>
        <v>1</v>
      </c>
      <c r="FB7" s="22">
        <f>SUM('الأمراض المزمنة'!FB84)</f>
        <v>0</v>
      </c>
      <c r="FC7" s="125">
        <f>SUM('الأمراض المزمنة'!FC84)</f>
        <v>0</v>
      </c>
      <c r="FD7" s="93"/>
      <c r="FE7" s="265"/>
      <c r="FF7" s="3" t="s">
        <v>11</v>
      </c>
      <c r="FG7" s="8" t="s">
        <v>12</v>
      </c>
      <c r="FH7" s="20">
        <f>SUM('الأمراض المزمنة'!FH84)</f>
        <v>0</v>
      </c>
      <c r="FI7" s="21">
        <f>SUM('الأمراض المزمنة'!FI84)</f>
        <v>0</v>
      </c>
      <c r="FJ7" s="22">
        <f>SUM('الأمراض المزمنة'!FJ84)</f>
        <v>0</v>
      </c>
      <c r="FK7" s="125">
        <f>SUM('الأمراض المزمنة'!FK84)</f>
        <v>0</v>
      </c>
      <c r="FL7" s="127">
        <f>SUM('الأمراض المزمنة'!FL84)</f>
        <v>0</v>
      </c>
      <c r="FM7" s="21">
        <f>SUM('الأمراض المزمنة'!FM84)</f>
        <v>0</v>
      </c>
      <c r="FN7" s="22">
        <f>SUM('الأمراض المزمنة'!FN84)</f>
        <v>0</v>
      </c>
      <c r="FO7" s="125">
        <f>SUM('الأمراض المزمنة'!FO84)</f>
        <v>0</v>
      </c>
      <c r="FP7" s="127">
        <f>SUM('الأمراض المزمنة'!FP84)</f>
        <v>0</v>
      </c>
      <c r="FQ7" s="21">
        <f>SUM('الأمراض المزمنة'!FQ84)</f>
        <v>0</v>
      </c>
      <c r="FR7" s="22">
        <f>SUM('الأمراض المزمنة'!FR84)</f>
        <v>0</v>
      </c>
      <c r="FS7" s="125">
        <f>SUM('الأمراض المزمنة'!FS84)</f>
        <v>0</v>
      </c>
      <c r="FT7" s="93"/>
      <c r="FU7" s="265"/>
      <c r="FV7" s="3" t="s">
        <v>11</v>
      </c>
      <c r="FW7" s="8" t="s">
        <v>12</v>
      </c>
      <c r="FX7" s="20">
        <f>SUM('الأمراض المزمنة'!FX84)</f>
        <v>0</v>
      </c>
      <c r="FY7" s="21">
        <f>SUM('الأمراض المزمنة'!FY84)</f>
        <v>0</v>
      </c>
      <c r="FZ7" s="22">
        <f>SUM('الأمراض المزمنة'!FZ84)</f>
        <v>0</v>
      </c>
      <c r="GA7" s="125">
        <f>SUM('الأمراض المزمنة'!GA84)</f>
        <v>0</v>
      </c>
      <c r="GB7" s="127">
        <f>SUM('الأمراض المزمنة'!GB84)</f>
        <v>0</v>
      </c>
      <c r="GC7" s="21">
        <f>SUM('الأمراض المزمنة'!GC84)</f>
        <v>0</v>
      </c>
      <c r="GD7" s="22">
        <f>SUM('الأمراض المزمنة'!GD84)</f>
        <v>0</v>
      </c>
      <c r="GE7" s="125">
        <f>SUM('الأمراض المزمنة'!GE84)</f>
        <v>0</v>
      </c>
      <c r="GF7" s="127">
        <f>SUM('الأمراض المزمنة'!GF84)</f>
        <v>0</v>
      </c>
      <c r="GG7" s="21">
        <f>SUM('الأمراض المزمنة'!GG84)</f>
        <v>0</v>
      </c>
      <c r="GH7" s="22">
        <f>SUM('الأمراض المزمنة'!GH84)</f>
        <v>0</v>
      </c>
      <c r="GI7" s="125">
        <f>SUM('الأمراض المزمنة'!GI84)</f>
        <v>0</v>
      </c>
      <c r="GJ7" s="93"/>
      <c r="GK7" s="265"/>
      <c r="GL7" s="3" t="s">
        <v>11</v>
      </c>
      <c r="GM7" s="8" t="s">
        <v>12</v>
      </c>
      <c r="GN7" s="20">
        <f>SUM('الأمراض المزمنة'!GN84)</f>
        <v>0</v>
      </c>
      <c r="GO7" s="21">
        <f>SUM('الأمراض المزمنة'!GO84)</f>
        <v>36</v>
      </c>
      <c r="GP7" s="22">
        <f>SUM('الأمراض المزمنة'!GP84)</f>
        <v>60</v>
      </c>
      <c r="GQ7" s="125">
        <f>SUM('الأمراض المزمنة'!GQ84)</f>
        <v>1060</v>
      </c>
      <c r="GR7" s="127">
        <f>SUM('الأمراض المزمنة'!GR84)</f>
        <v>0</v>
      </c>
      <c r="GS7" s="21">
        <f>SUM('الأمراض المزمنة'!GS84)</f>
        <v>23</v>
      </c>
      <c r="GT7" s="22">
        <f>SUM('الأمراض المزمنة'!GT84)</f>
        <v>63</v>
      </c>
      <c r="GU7" s="125">
        <f>SUM('الأمراض المزمنة'!GU84)</f>
        <v>739</v>
      </c>
      <c r="GV7" s="127">
        <f>SUM('الأمراض المزمنة'!GV84)</f>
        <v>0</v>
      </c>
      <c r="GW7" s="21">
        <f>SUM('الأمراض المزمنة'!GW84)</f>
        <v>4</v>
      </c>
      <c r="GX7" s="22">
        <f>SUM('الأمراض المزمنة'!GX84)</f>
        <v>0</v>
      </c>
      <c r="GY7" s="125">
        <f>SUM('الأمراض المزمنة'!GY84)</f>
        <v>29</v>
      </c>
      <c r="GZ7" s="93"/>
    </row>
    <row r="8" spans="1:208" ht="20.100000000000001" customHeight="1" thickBot="1" x14ac:dyDescent="0.3">
      <c r="A8" s="266"/>
      <c r="B8" s="267" t="s">
        <v>14</v>
      </c>
      <c r="C8" s="268"/>
      <c r="D8" s="26">
        <f t="shared" ref="D8:O8" si="0">SUM(D4:D7)</f>
        <v>5345</v>
      </c>
      <c r="E8" s="27">
        <f t="shared" si="0"/>
        <v>102</v>
      </c>
      <c r="F8" s="122">
        <f t="shared" si="0"/>
        <v>175</v>
      </c>
      <c r="G8" s="123">
        <f t="shared" si="0"/>
        <v>2050</v>
      </c>
      <c r="H8" s="26">
        <f t="shared" si="0"/>
        <v>4429</v>
      </c>
      <c r="I8" s="27">
        <f t="shared" si="0"/>
        <v>61</v>
      </c>
      <c r="J8" s="122">
        <f t="shared" si="0"/>
        <v>107</v>
      </c>
      <c r="K8" s="123">
        <f t="shared" si="0"/>
        <v>1708</v>
      </c>
      <c r="L8" s="26">
        <f t="shared" si="0"/>
        <v>93</v>
      </c>
      <c r="M8" s="27">
        <f t="shared" si="0"/>
        <v>28</v>
      </c>
      <c r="N8" s="122">
        <f t="shared" si="0"/>
        <v>0</v>
      </c>
      <c r="O8" s="123">
        <f t="shared" si="0"/>
        <v>0</v>
      </c>
      <c r="P8" s="93"/>
      <c r="Q8" s="266"/>
      <c r="R8" s="267" t="s">
        <v>14</v>
      </c>
      <c r="S8" s="268"/>
      <c r="T8" s="26">
        <f t="shared" ref="T8:AE8" si="1">SUM(T4:T7)</f>
        <v>5319</v>
      </c>
      <c r="U8" s="27">
        <f t="shared" si="1"/>
        <v>40</v>
      </c>
      <c r="V8" s="122">
        <f t="shared" si="1"/>
        <v>155</v>
      </c>
      <c r="W8" s="123">
        <f t="shared" si="1"/>
        <v>1473</v>
      </c>
      <c r="X8" s="26">
        <f t="shared" si="1"/>
        <v>4043</v>
      </c>
      <c r="Y8" s="27">
        <f t="shared" si="1"/>
        <v>12</v>
      </c>
      <c r="Z8" s="122">
        <f t="shared" si="1"/>
        <v>113</v>
      </c>
      <c r="AA8" s="123">
        <f t="shared" si="1"/>
        <v>1094</v>
      </c>
      <c r="AB8" s="26">
        <f t="shared" si="1"/>
        <v>146</v>
      </c>
      <c r="AC8" s="27">
        <f t="shared" si="1"/>
        <v>3</v>
      </c>
      <c r="AD8" s="122">
        <f t="shared" si="1"/>
        <v>353</v>
      </c>
      <c r="AE8" s="123">
        <f t="shared" si="1"/>
        <v>48</v>
      </c>
      <c r="AF8" s="93"/>
      <c r="AG8" s="266"/>
      <c r="AH8" s="267" t="s">
        <v>14</v>
      </c>
      <c r="AI8" s="268"/>
      <c r="AJ8" s="26">
        <f t="shared" ref="AJ8:AU8" si="2">SUM(AJ4:AJ7)</f>
        <v>4798</v>
      </c>
      <c r="AK8" s="27">
        <f t="shared" si="2"/>
        <v>25</v>
      </c>
      <c r="AL8" s="122">
        <f t="shared" si="2"/>
        <v>53</v>
      </c>
      <c r="AM8" s="123">
        <f t="shared" si="2"/>
        <v>1474</v>
      </c>
      <c r="AN8" s="26">
        <f t="shared" si="2"/>
        <v>2884</v>
      </c>
      <c r="AO8" s="27">
        <f t="shared" si="2"/>
        <v>11</v>
      </c>
      <c r="AP8" s="122">
        <f t="shared" si="2"/>
        <v>60</v>
      </c>
      <c r="AQ8" s="123">
        <f t="shared" si="2"/>
        <v>1120</v>
      </c>
      <c r="AR8" s="26">
        <f t="shared" si="2"/>
        <v>175</v>
      </c>
      <c r="AS8" s="27">
        <f t="shared" si="2"/>
        <v>2</v>
      </c>
      <c r="AT8" s="122">
        <f t="shared" si="2"/>
        <v>0</v>
      </c>
      <c r="AU8" s="123">
        <f t="shared" si="2"/>
        <v>84</v>
      </c>
      <c r="AV8" s="93"/>
      <c r="AW8" s="266"/>
      <c r="AX8" s="267" t="s">
        <v>14</v>
      </c>
      <c r="AY8" s="268"/>
      <c r="AZ8" s="26">
        <f t="shared" ref="AZ8:BK8" si="3">SUM(AZ4:AZ7)</f>
        <v>6095</v>
      </c>
      <c r="BA8" s="27">
        <f t="shared" si="3"/>
        <v>82</v>
      </c>
      <c r="BB8" s="122">
        <f t="shared" si="3"/>
        <v>269</v>
      </c>
      <c r="BC8" s="123">
        <f t="shared" si="3"/>
        <v>2392</v>
      </c>
      <c r="BD8" s="26">
        <f t="shared" si="3"/>
        <v>4060</v>
      </c>
      <c r="BE8" s="27">
        <f t="shared" si="3"/>
        <v>35</v>
      </c>
      <c r="BF8" s="122">
        <f t="shared" si="3"/>
        <v>118</v>
      </c>
      <c r="BG8" s="123">
        <f t="shared" si="3"/>
        <v>1977</v>
      </c>
      <c r="BH8" s="26">
        <f t="shared" si="3"/>
        <v>141</v>
      </c>
      <c r="BI8" s="27">
        <f t="shared" si="3"/>
        <v>1</v>
      </c>
      <c r="BJ8" s="122">
        <f t="shared" si="3"/>
        <v>0</v>
      </c>
      <c r="BK8" s="123">
        <f t="shared" si="3"/>
        <v>34</v>
      </c>
      <c r="BL8" s="93"/>
      <c r="BM8" s="266"/>
      <c r="BN8" s="267" t="s">
        <v>14</v>
      </c>
      <c r="BO8" s="268"/>
      <c r="BP8" s="26">
        <f t="shared" ref="BP8:CA8" si="4">SUM(BP4:BP7)</f>
        <v>6693</v>
      </c>
      <c r="BQ8" s="27">
        <f t="shared" si="4"/>
        <v>23</v>
      </c>
      <c r="BR8" s="122">
        <f t="shared" si="4"/>
        <v>134</v>
      </c>
      <c r="BS8" s="123">
        <f t="shared" si="4"/>
        <v>1376</v>
      </c>
      <c r="BT8" s="26">
        <f t="shared" si="4"/>
        <v>5384</v>
      </c>
      <c r="BU8" s="27">
        <f t="shared" si="4"/>
        <v>1519</v>
      </c>
      <c r="BV8" s="122">
        <f t="shared" si="4"/>
        <v>71</v>
      </c>
      <c r="BW8" s="123">
        <f t="shared" si="4"/>
        <v>1127</v>
      </c>
      <c r="BX8" s="26">
        <f t="shared" si="4"/>
        <v>417</v>
      </c>
      <c r="BY8" s="27">
        <f t="shared" si="4"/>
        <v>2</v>
      </c>
      <c r="BZ8" s="122">
        <f t="shared" si="4"/>
        <v>0</v>
      </c>
      <c r="CA8" s="123">
        <f t="shared" si="4"/>
        <v>66</v>
      </c>
      <c r="CB8" s="93"/>
      <c r="CC8" s="266"/>
      <c r="CD8" s="267" t="s">
        <v>14</v>
      </c>
      <c r="CE8" s="268"/>
      <c r="CF8" s="26">
        <f t="shared" ref="CF8:CQ8" si="5">SUM(CF4:CF7)</f>
        <v>2728</v>
      </c>
      <c r="CG8" s="27">
        <f t="shared" si="5"/>
        <v>26</v>
      </c>
      <c r="CH8" s="122">
        <f t="shared" si="5"/>
        <v>156</v>
      </c>
      <c r="CI8" s="123">
        <f t="shared" si="5"/>
        <v>1203</v>
      </c>
      <c r="CJ8" s="26">
        <f t="shared" si="5"/>
        <v>2205</v>
      </c>
      <c r="CK8" s="27">
        <f t="shared" si="5"/>
        <v>18</v>
      </c>
      <c r="CL8" s="122">
        <f t="shared" si="5"/>
        <v>66</v>
      </c>
      <c r="CM8" s="123">
        <f t="shared" si="5"/>
        <v>1116</v>
      </c>
      <c r="CN8" s="26">
        <f t="shared" si="5"/>
        <v>112</v>
      </c>
      <c r="CO8" s="27">
        <f t="shared" si="5"/>
        <v>2</v>
      </c>
      <c r="CP8" s="122">
        <f t="shared" si="5"/>
        <v>0</v>
      </c>
      <c r="CQ8" s="123">
        <f t="shared" si="5"/>
        <v>5</v>
      </c>
      <c r="CR8" s="93"/>
      <c r="CS8" s="266"/>
      <c r="CT8" s="267" t="s">
        <v>14</v>
      </c>
      <c r="CU8" s="268"/>
      <c r="CV8" s="26">
        <f t="shared" ref="CV8:DG8" si="6">SUM(CV4:CV7)</f>
        <v>5736</v>
      </c>
      <c r="CW8" s="27">
        <f t="shared" si="6"/>
        <v>76</v>
      </c>
      <c r="CX8" s="122">
        <f t="shared" si="6"/>
        <v>256</v>
      </c>
      <c r="CY8" s="123">
        <f t="shared" si="6"/>
        <v>1956</v>
      </c>
      <c r="CZ8" s="26">
        <f t="shared" si="6"/>
        <v>4818</v>
      </c>
      <c r="DA8" s="27">
        <f t="shared" si="6"/>
        <v>9648</v>
      </c>
      <c r="DB8" s="122">
        <f t="shared" si="6"/>
        <v>147</v>
      </c>
      <c r="DC8" s="123">
        <f t="shared" si="6"/>
        <v>1321</v>
      </c>
      <c r="DD8" s="26">
        <f t="shared" si="6"/>
        <v>106</v>
      </c>
      <c r="DE8" s="27">
        <f t="shared" si="6"/>
        <v>13</v>
      </c>
      <c r="DF8" s="122">
        <f t="shared" si="6"/>
        <v>0</v>
      </c>
      <c r="DG8" s="123">
        <f t="shared" si="6"/>
        <v>49</v>
      </c>
      <c r="DH8" s="93"/>
      <c r="DI8" s="266"/>
      <c r="DJ8" s="267" t="s">
        <v>14</v>
      </c>
      <c r="DK8" s="268"/>
      <c r="DL8" s="26">
        <f t="shared" ref="DL8:DW8" si="7">SUM(DL4:DL7)</f>
        <v>5126</v>
      </c>
      <c r="DM8" s="27" t="e">
        <f t="shared" si="7"/>
        <v>#VALUE!</v>
      </c>
      <c r="DN8" s="122">
        <f t="shared" si="7"/>
        <v>156</v>
      </c>
      <c r="DO8" s="123">
        <f t="shared" si="7"/>
        <v>1755</v>
      </c>
      <c r="DP8" s="26">
        <f t="shared" si="7"/>
        <v>3123</v>
      </c>
      <c r="DQ8" s="27" t="e">
        <f t="shared" si="7"/>
        <v>#VALUE!</v>
      </c>
      <c r="DR8" s="122">
        <f t="shared" si="7"/>
        <v>63</v>
      </c>
      <c r="DS8" s="123">
        <f t="shared" si="7"/>
        <v>1598</v>
      </c>
      <c r="DT8" s="26">
        <f t="shared" si="7"/>
        <v>204</v>
      </c>
      <c r="DU8" s="27" t="e">
        <f t="shared" si="7"/>
        <v>#VALUE!</v>
      </c>
      <c r="DV8" s="122">
        <f t="shared" si="7"/>
        <v>0</v>
      </c>
      <c r="DW8" s="123">
        <f t="shared" si="7"/>
        <v>39</v>
      </c>
      <c r="DX8" s="93"/>
      <c r="DY8" s="266"/>
      <c r="DZ8" s="267" t="s">
        <v>14</v>
      </c>
      <c r="EA8" s="268"/>
      <c r="EB8" s="26">
        <f t="shared" ref="EB8:EM8" si="8">SUM(EB4:EB7)</f>
        <v>7364</v>
      </c>
      <c r="EC8" s="27">
        <f t="shared" si="8"/>
        <v>52</v>
      </c>
      <c r="ED8" s="122">
        <f t="shared" si="8"/>
        <v>36</v>
      </c>
      <c r="EE8" s="123">
        <f t="shared" si="8"/>
        <v>1204</v>
      </c>
      <c r="EF8" s="26">
        <f t="shared" si="8"/>
        <v>6436</v>
      </c>
      <c r="EG8" s="27">
        <f t="shared" si="8"/>
        <v>66</v>
      </c>
      <c r="EH8" s="122">
        <f t="shared" si="8"/>
        <v>45</v>
      </c>
      <c r="EI8" s="123">
        <f t="shared" si="8"/>
        <v>810</v>
      </c>
      <c r="EJ8" s="26">
        <f t="shared" si="8"/>
        <v>446</v>
      </c>
      <c r="EK8" s="27">
        <f t="shared" si="8"/>
        <v>4</v>
      </c>
      <c r="EL8" s="122">
        <f t="shared" si="8"/>
        <v>0</v>
      </c>
      <c r="EM8" s="123">
        <f t="shared" si="8"/>
        <v>32</v>
      </c>
      <c r="EN8" s="93"/>
      <c r="EO8" s="266"/>
      <c r="EP8" s="267" t="s">
        <v>14</v>
      </c>
      <c r="EQ8" s="268"/>
      <c r="ER8" s="26">
        <f t="shared" ref="ER8:FC8" si="9">SUM(ER4:ER7)</f>
        <v>6543</v>
      </c>
      <c r="ES8" s="27">
        <f t="shared" si="9"/>
        <v>33</v>
      </c>
      <c r="ET8" s="122">
        <f t="shared" si="9"/>
        <v>36</v>
      </c>
      <c r="EU8" s="123">
        <f t="shared" si="9"/>
        <v>834</v>
      </c>
      <c r="EV8" s="26">
        <f t="shared" si="9"/>
        <v>5865</v>
      </c>
      <c r="EW8" s="27">
        <f t="shared" si="9"/>
        <v>52</v>
      </c>
      <c r="EX8" s="122">
        <f t="shared" si="9"/>
        <v>45</v>
      </c>
      <c r="EY8" s="123">
        <f t="shared" si="9"/>
        <v>462</v>
      </c>
      <c r="EZ8" s="26">
        <f t="shared" si="9"/>
        <v>411</v>
      </c>
      <c r="FA8" s="27">
        <f t="shared" si="9"/>
        <v>4</v>
      </c>
      <c r="FB8" s="122">
        <f t="shared" si="9"/>
        <v>0</v>
      </c>
      <c r="FC8" s="123">
        <f t="shared" si="9"/>
        <v>0</v>
      </c>
      <c r="FD8" s="93"/>
      <c r="FE8" s="266"/>
      <c r="FF8" s="267" t="s">
        <v>14</v>
      </c>
      <c r="FG8" s="268"/>
      <c r="FH8" s="26">
        <f t="shared" ref="FH8:FS8" si="10">SUM(FH4:FH7)</f>
        <v>0</v>
      </c>
      <c r="FI8" s="27">
        <f t="shared" si="10"/>
        <v>0</v>
      </c>
      <c r="FJ8" s="122">
        <f t="shared" si="10"/>
        <v>0</v>
      </c>
      <c r="FK8" s="123">
        <f t="shared" si="10"/>
        <v>0</v>
      </c>
      <c r="FL8" s="26">
        <f t="shared" si="10"/>
        <v>0</v>
      </c>
      <c r="FM8" s="27">
        <f t="shared" si="10"/>
        <v>0</v>
      </c>
      <c r="FN8" s="122">
        <f t="shared" si="10"/>
        <v>0</v>
      </c>
      <c r="FO8" s="123">
        <f t="shared" si="10"/>
        <v>0</v>
      </c>
      <c r="FP8" s="26">
        <f t="shared" si="10"/>
        <v>0</v>
      </c>
      <c r="FQ8" s="27">
        <f t="shared" si="10"/>
        <v>0</v>
      </c>
      <c r="FR8" s="122">
        <f t="shared" si="10"/>
        <v>0</v>
      </c>
      <c r="FS8" s="123">
        <f t="shared" si="10"/>
        <v>0</v>
      </c>
      <c r="FT8" s="93"/>
      <c r="FU8" s="266"/>
      <c r="FV8" s="267" t="s">
        <v>14</v>
      </c>
      <c r="FW8" s="268"/>
      <c r="FX8" s="26">
        <f t="shared" ref="FX8:GI8" si="11">SUM(FX4:FX7)</f>
        <v>0</v>
      </c>
      <c r="FY8" s="27">
        <f t="shared" si="11"/>
        <v>0</v>
      </c>
      <c r="FZ8" s="122">
        <f t="shared" si="11"/>
        <v>0</v>
      </c>
      <c r="GA8" s="123">
        <f t="shared" si="11"/>
        <v>0</v>
      </c>
      <c r="GB8" s="26">
        <f t="shared" si="11"/>
        <v>0</v>
      </c>
      <c r="GC8" s="27">
        <f t="shared" si="11"/>
        <v>0</v>
      </c>
      <c r="GD8" s="122">
        <f t="shared" si="11"/>
        <v>0</v>
      </c>
      <c r="GE8" s="123">
        <f t="shared" si="11"/>
        <v>0</v>
      </c>
      <c r="GF8" s="26">
        <f t="shared" si="11"/>
        <v>0</v>
      </c>
      <c r="GG8" s="27">
        <f t="shared" si="11"/>
        <v>0</v>
      </c>
      <c r="GH8" s="122">
        <f t="shared" si="11"/>
        <v>0</v>
      </c>
      <c r="GI8" s="123">
        <f t="shared" si="11"/>
        <v>0</v>
      </c>
      <c r="GJ8" s="93"/>
      <c r="GK8" s="266"/>
      <c r="GL8" s="267" t="s">
        <v>14</v>
      </c>
      <c r="GM8" s="268"/>
      <c r="GN8" s="26">
        <f t="shared" ref="GN8:GY8" si="12">SUM(GN4:GN7)</f>
        <v>0</v>
      </c>
      <c r="GO8" s="27" t="e">
        <f t="shared" si="12"/>
        <v>#VALUE!</v>
      </c>
      <c r="GP8" s="122">
        <f t="shared" si="12"/>
        <v>1426</v>
      </c>
      <c r="GQ8" s="123">
        <f t="shared" si="12"/>
        <v>15717</v>
      </c>
      <c r="GR8" s="26">
        <f t="shared" si="12"/>
        <v>0</v>
      </c>
      <c r="GS8" s="27" t="e">
        <f t="shared" si="12"/>
        <v>#VALUE!</v>
      </c>
      <c r="GT8" s="122">
        <f t="shared" si="12"/>
        <v>835</v>
      </c>
      <c r="GU8" s="123">
        <f t="shared" si="12"/>
        <v>12333</v>
      </c>
      <c r="GV8" s="26">
        <f t="shared" si="12"/>
        <v>0</v>
      </c>
      <c r="GW8" s="27" t="e">
        <f t="shared" si="12"/>
        <v>#VALUE!</v>
      </c>
      <c r="GX8" s="122">
        <f t="shared" si="12"/>
        <v>353</v>
      </c>
      <c r="GY8" s="123">
        <f t="shared" si="12"/>
        <v>357</v>
      </c>
      <c r="GZ8" s="93"/>
    </row>
    <row r="9" spans="1:208" s="1" customFormat="1" ht="20.100000000000001" customHeight="1" x14ac:dyDescent="0.25">
      <c r="A9" s="98"/>
      <c r="B9" s="88"/>
      <c r="E9" s="88"/>
      <c r="G9" s="88"/>
      <c r="I9" s="88"/>
      <c r="K9" s="88"/>
      <c r="M9" s="88"/>
      <c r="O9" s="99"/>
      <c r="P9" s="93"/>
      <c r="Q9" s="98"/>
      <c r="R9" s="88"/>
      <c r="U9" s="88"/>
      <c r="W9" s="88"/>
      <c r="Y9" s="88"/>
      <c r="AA9" s="88"/>
      <c r="AC9" s="88"/>
      <c r="AE9" s="99"/>
      <c r="AF9" s="93"/>
      <c r="AG9" s="98"/>
      <c r="AH9" s="88"/>
      <c r="AK9" s="88"/>
      <c r="AM9" s="88"/>
      <c r="AO9" s="88"/>
      <c r="AQ9" s="88"/>
      <c r="AS9" s="88"/>
      <c r="AU9" s="99"/>
      <c r="AV9" s="93"/>
      <c r="AW9" s="98"/>
      <c r="AX9" s="88"/>
      <c r="BA9" s="88"/>
      <c r="BC9" s="88"/>
      <c r="BE9" s="88"/>
      <c r="BG9" s="88"/>
      <c r="BI9" s="88"/>
      <c r="BK9" s="99"/>
      <c r="BL9" s="93"/>
      <c r="BM9" s="98"/>
      <c r="BN9" s="88"/>
      <c r="BQ9" s="88"/>
      <c r="BS9" s="88"/>
      <c r="BU9" s="88"/>
      <c r="BW9" s="88"/>
      <c r="BY9" s="88"/>
      <c r="CA9" s="99"/>
      <c r="CB9" s="93"/>
      <c r="CC9" s="98"/>
      <c r="CD9" s="88"/>
      <c r="CG9" s="88"/>
      <c r="CI9" s="88"/>
      <c r="CK9" s="88"/>
      <c r="CM9" s="88"/>
      <c r="CO9" s="88"/>
      <c r="CQ9" s="99"/>
      <c r="CR9" s="93"/>
      <c r="CS9" s="98"/>
      <c r="CT9" s="88"/>
      <c r="CW9" s="88"/>
      <c r="CY9" s="88"/>
      <c r="DA9" s="88"/>
      <c r="DC9" s="88"/>
      <c r="DE9" s="88"/>
      <c r="DG9" s="99"/>
      <c r="DH9" s="93"/>
      <c r="DI9" s="98"/>
      <c r="DJ9" s="88"/>
      <c r="DM9" s="88"/>
      <c r="DO9" s="88"/>
      <c r="DQ9" s="88"/>
      <c r="DS9" s="88"/>
      <c r="DU9" s="88"/>
      <c r="DW9" s="99"/>
      <c r="DX9" s="93"/>
      <c r="DY9" s="98"/>
      <c r="DZ9" s="88"/>
      <c r="EC9" s="88"/>
      <c r="EE9" s="88"/>
      <c r="EG9" s="88"/>
      <c r="EI9" s="88"/>
      <c r="EK9" s="88"/>
      <c r="EM9" s="99"/>
      <c r="EN9" s="93"/>
      <c r="EO9" s="98"/>
      <c r="EP9" s="88"/>
      <c r="ES9" s="88"/>
      <c r="EU9" s="88"/>
      <c r="EW9" s="88"/>
      <c r="EY9" s="88"/>
      <c r="FA9" s="88"/>
      <c r="FC9" s="99"/>
      <c r="FD9" s="93"/>
      <c r="FE9" s="98"/>
      <c r="FF9" s="88"/>
      <c r="FI9" s="88"/>
      <c r="FK9" s="88"/>
      <c r="FM9" s="88"/>
      <c r="FO9" s="88"/>
      <c r="FQ9" s="88"/>
      <c r="FS9" s="99"/>
      <c r="FT9" s="93"/>
      <c r="FU9" s="98"/>
      <c r="FV9" s="88"/>
      <c r="FY9" s="88"/>
      <c r="GA9" s="88"/>
      <c r="GC9" s="88"/>
      <c r="GE9" s="88"/>
      <c r="GG9" s="88"/>
      <c r="GI9" s="99"/>
      <c r="GJ9" s="93"/>
      <c r="GK9" s="98"/>
      <c r="GL9" s="88"/>
      <c r="GO9" s="88"/>
      <c r="GQ9" s="88"/>
      <c r="GS9" s="88"/>
      <c r="GU9" s="88"/>
      <c r="GW9" s="88"/>
      <c r="GY9" s="99"/>
      <c r="GZ9" s="93"/>
    </row>
    <row r="10" spans="1:208" s="92" customFormat="1" ht="35.25" customHeight="1" thickBot="1" x14ac:dyDescent="0.3">
      <c r="A10" s="89" t="s">
        <v>24</v>
      </c>
      <c r="B10" s="90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1" t="s">
        <v>34</v>
      </c>
      <c r="P10" s="94"/>
      <c r="Q10" s="89" t="s">
        <v>24</v>
      </c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1" t="s">
        <v>34</v>
      </c>
      <c r="AF10" s="94"/>
      <c r="AG10" s="89" t="s">
        <v>24</v>
      </c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1" t="s">
        <v>34</v>
      </c>
      <c r="AV10" s="94"/>
      <c r="AW10" s="89" t="s">
        <v>24</v>
      </c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1" t="s">
        <v>34</v>
      </c>
      <c r="BL10" s="94"/>
      <c r="BM10" s="89" t="s">
        <v>24</v>
      </c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1" t="s">
        <v>34</v>
      </c>
      <c r="CB10" s="94"/>
      <c r="CC10" s="89" t="s">
        <v>24</v>
      </c>
      <c r="CD10" s="90"/>
      <c r="CE10" s="90"/>
      <c r="CF10" s="90"/>
      <c r="CG10" s="90"/>
      <c r="CH10" s="90"/>
      <c r="CI10" s="90"/>
      <c r="CJ10" s="90"/>
      <c r="CK10" s="90"/>
      <c r="CL10" s="90"/>
      <c r="CM10" s="90"/>
      <c r="CN10" s="90"/>
      <c r="CO10" s="90"/>
      <c r="CP10" s="90"/>
      <c r="CQ10" s="91" t="s">
        <v>34</v>
      </c>
      <c r="CR10" s="94"/>
      <c r="CS10" s="89" t="s">
        <v>24</v>
      </c>
      <c r="CT10" s="90"/>
      <c r="CU10" s="90"/>
      <c r="CV10" s="90"/>
      <c r="CW10" s="90"/>
      <c r="CX10" s="90"/>
      <c r="CY10" s="90"/>
      <c r="CZ10" s="90"/>
      <c r="DA10" s="90"/>
      <c r="DB10" s="90"/>
      <c r="DC10" s="90"/>
      <c r="DD10" s="90"/>
      <c r="DE10" s="90"/>
      <c r="DF10" s="90"/>
      <c r="DG10" s="91" t="s">
        <v>34</v>
      </c>
      <c r="DH10" s="94"/>
      <c r="DI10" s="89" t="s">
        <v>24</v>
      </c>
      <c r="DJ10" s="90"/>
      <c r="DK10" s="90"/>
      <c r="DL10" s="90"/>
      <c r="DM10" s="90"/>
      <c r="DN10" s="90"/>
      <c r="DO10" s="90"/>
      <c r="DP10" s="90"/>
      <c r="DQ10" s="90"/>
      <c r="DR10" s="90"/>
      <c r="DS10" s="90"/>
      <c r="DT10" s="90"/>
      <c r="DU10" s="90"/>
      <c r="DV10" s="90"/>
      <c r="DW10" s="91" t="s">
        <v>34</v>
      </c>
      <c r="DX10" s="94"/>
      <c r="DY10" s="89" t="s">
        <v>24</v>
      </c>
      <c r="DZ10" s="90"/>
      <c r="EA10" s="90"/>
      <c r="EB10" s="90"/>
      <c r="EC10" s="90"/>
      <c r="ED10" s="90"/>
      <c r="EE10" s="90"/>
      <c r="EF10" s="90"/>
      <c r="EG10" s="90"/>
      <c r="EH10" s="90"/>
      <c r="EI10" s="90"/>
      <c r="EJ10" s="90"/>
      <c r="EK10" s="90"/>
      <c r="EL10" s="90"/>
      <c r="EM10" s="91" t="s">
        <v>34</v>
      </c>
      <c r="EN10" s="94"/>
      <c r="EO10" s="89" t="s">
        <v>24</v>
      </c>
      <c r="EP10" s="90"/>
      <c r="EQ10" s="90"/>
      <c r="ER10" s="90"/>
      <c r="ES10" s="90"/>
      <c r="ET10" s="90"/>
      <c r="EU10" s="90"/>
      <c r="EV10" s="90"/>
      <c r="EW10" s="90"/>
      <c r="EX10" s="90"/>
      <c r="EY10" s="90"/>
      <c r="EZ10" s="90"/>
      <c r="FA10" s="90"/>
      <c r="FB10" s="90"/>
      <c r="FC10" s="91" t="s">
        <v>34</v>
      </c>
      <c r="FD10" s="94"/>
      <c r="FE10" s="89" t="s">
        <v>24</v>
      </c>
      <c r="FF10" s="90"/>
      <c r="FG10" s="90"/>
      <c r="FH10" s="90"/>
      <c r="FI10" s="90"/>
      <c r="FJ10" s="90"/>
      <c r="FK10" s="90"/>
      <c r="FL10" s="90"/>
      <c r="FM10" s="90"/>
      <c r="FN10" s="90"/>
      <c r="FO10" s="90"/>
      <c r="FP10" s="90"/>
      <c r="FQ10" s="90"/>
      <c r="FR10" s="90"/>
      <c r="FS10" s="91" t="s">
        <v>34</v>
      </c>
      <c r="FT10" s="94"/>
      <c r="FU10" s="89" t="s">
        <v>24</v>
      </c>
      <c r="FV10" s="90"/>
      <c r="FW10" s="90"/>
      <c r="FX10" s="90"/>
      <c r="FY10" s="90"/>
      <c r="FZ10" s="90"/>
      <c r="GA10" s="90"/>
      <c r="GB10" s="90"/>
      <c r="GC10" s="90"/>
      <c r="GD10" s="90"/>
      <c r="GE10" s="90"/>
      <c r="GF10" s="90"/>
      <c r="GG10" s="90"/>
      <c r="GH10" s="90"/>
      <c r="GI10" s="91" t="s">
        <v>34</v>
      </c>
      <c r="GJ10" s="94"/>
      <c r="GK10" s="89" t="s">
        <v>24</v>
      </c>
      <c r="GL10" s="90"/>
      <c r="GM10" s="90"/>
      <c r="GN10" s="90"/>
      <c r="GO10" s="90"/>
      <c r="GP10" s="90"/>
      <c r="GQ10" s="90"/>
      <c r="GR10" s="90"/>
      <c r="GS10" s="90"/>
      <c r="GT10" s="90"/>
      <c r="GU10" s="90"/>
      <c r="GV10" s="90"/>
      <c r="GW10" s="90"/>
      <c r="GX10" s="90"/>
      <c r="GY10" s="91" t="s">
        <v>34</v>
      </c>
      <c r="GZ10" s="94"/>
    </row>
    <row r="11" spans="1:208" ht="20.100000000000001" customHeight="1" x14ac:dyDescent="0.2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3"/>
      <c r="BF11" s="93"/>
      <c r="BG11" s="93"/>
      <c r="BH11" s="93"/>
      <c r="BI11" s="93"/>
      <c r="BJ11" s="93"/>
      <c r="BK11" s="93"/>
      <c r="BL11" s="93"/>
      <c r="BM11" s="93"/>
      <c r="BN11" s="93"/>
      <c r="BO11" s="93"/>
      <c r="BP11" s="93"/>
      <c r="BQ11" s="93"/>
      <c r="BR11" s="93"/>
      <c r="BS11" s="93"/>
      <c r="BT11" s="93"/>
      <c r="BU11" s="93"/>
      <c r="BV11" s="93"/>
      <c r="BW11" s="93"/>
      <c r="BX11" s="93"/>
      <c r="BY11" s="93"/>
      <c r="BZ11" s="93"/>
      <c r="CA11" s="93"/>
      <c r="CB11" s="93"/>
      <c r="CC11" s="93"/>
      <c r="CD11" s="93"/>
      <c r="CE11" s="93"/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3"/>
      <c r="CW11" s="93"/>
      <c r="CX11" s="93"/>
      <c r="CY11" s="93"/>
      <c r="CZ11" s="93"/>
      <c r="DA11" s="93"/>
      <c r="DB11" s="93"/>
      <c r="DC11" s="93"/>
      <c r="DD11" s="93"/>
      <c r="DE11" s="93"/>
      <c r="DF11" s="93"/>
      <c r="DG11" s="93"/>
      <c r="DH11" s="93"/>
      <c r="DI11" s="93"/>
      <c r="DJ11" s="93"/>
      <c r="DK11" s="93"/>
      <c r="DL11" s="93"/>
      <c r="DM11" s="93"/>
      <c r="DN11" s="93"/>
      <c r="DO11" s="93"/>
      <c r="DP11" s="93"/>
      <c r="DQ11" s="93"/>
      <c r="DR11" s="93"/>
      <c r="DS11" s="93"/>
      <c r="DT11" s="93"/>
      <c r="DU11" s="93"/>
      <c r="DV11" s="93"/>
      <c r="DW11" s="93"/>
      <c r="DX11" s="93"/>
      <c r="DY11" s="93"/>
      <c r="DZ11" s="93"/>
      <c r="EA11" s="93"/>
      <c r="EB11" s="93"/>
      <c r="EC11" s="93"/>
      <c r="ED11" s="93"/>
      <c r="EE11" s="93"/>
      <c r="EF11" s="93"/>
      <c r="EG11" s="93"/>
      <c r="EH11" s="93"/>
      <c r="EI11" s="93"/>
      <c r="EJ11" s="93"/>
      <c r="EK11" s="93"/>
      <c r="EL11" s="93"/>
      <c r="EM11" s="93"/>
      <c r="EN11" s="93"/>
      <c r="EO11" s="93"/>
      <c r="EP11" s="93"/>
      <c r="EQ11" s="93"/>
      <c r="ER11" s="93"/>
      <c r="ES11" s="93"/>
      <c r="ET11" s="93"/>
      <c r="EU11" s="93"/>
      <c r="EV11" s="93"/>
      <c r="EW11" s="93"/>
      <c r="EX11" s="93"/>
      <c r="EY11" s="93"/>
      <c r="EZ11" s="93"/>
      <c r="FA11" s="93"/>
      <c r="FB11" s="93"/>
      <c r="FC11" s="93"/>
      <c r="FD11" s="93"/>
      <c r="FE11" s="93"/>
      <c r="FF11" s="93"/>
      <c r="FG11" s="93"/>
      <c r="FH11" s="93"/>
      <c r="FI11" s="93"/>
      <c r="FJ11" s="93"/>
      <c r="FK11" s="93"/>
      <c r="FL11" s="93"/>
      <c r="FM11" s="93"/>
      <c r="FN11" s="93"/>
      <c r="FO11" s="93"/>
      <c r="FP11" s="93"/>
      <c r="FQ11" s="93"/>
      <c r="FR11" s="93"/>
      <c r="FS11" s="93"/>
      <c r="FT11" s="93"/>
      <c r="FU11" s="93"/>
      <c r="FV11" s="93"/>
      <c r="FW11" s="93"/>
      <c r="FX11" s="93"/>
      <c r="FY11" s="93"/>
      <c r="FZ11" s="93"/>
      <c r="GA11" s="93"/>
      <c r="GB11" s="93"/>
      <c r="GC11" s="93"/>
      <c r="GD11" s="93"/>
      <c r="GE11" s="93"/>
      <c r="GF11" s="93"/>
      <c r="GG11" s="93"/>
      <c r="GH11" s="93"/>
      <c r="GI11" s="93"/>
      <c r="GJ11" s="93"/>
      <c r="GK11" s="93"/>
      <c r="GL11" s="93"/>
      <c r="GM11" s="93"/>
      <c r="GN11" s="93"/>
      <c r="GO11" s="93"/>
      <c r="GP11" s="93"/>
      <c r="GQ11" s="93"/>
      <c r="GR11" s="93"/>
      <c r="GS11" s="93"/>
      <c r="GT11" s="93"/>
      <c r="GU11" s="93"/>
      <c r="GV11" s="93"/>
      <c r="GW11" s="93"/>
      <c r="GX11" s="93"/>
      <c r="GY11" s="93"/>
      <c r="GZ11" s="93"/>
    </row>
  </sheetData>
  <mergeCells count="117">
    <mergeCell ref="CI1:CJ1"/>
    <mergeCell ref="CJ2:CM2"/>
    <mergeCell ref="CY1:CZ1"/>
    <mergeCell ref="CV2:CY2"/>
    <mergeCell ref="CZ2:DC2"/>
    <mergeCell ref="CS2:CS3"/>
    <mergeCell ref="EE1:EF1"/>
    <mergeCell ref="DD2:DG2"/>
    <mergeCell ref="DI2:DI3"/>
    <mergeCell ref="DJ2:DJ3"/>
    <mergeCell ref="DO1:DP1"/>
    <mergeCell ref="BX2:CA2"/>
    <mergeCell ref="AX8:AY8"/>
    <mergeCell ref="EA2:EA3"/>
    <mergeCell ref="CF2:CI2"/>
    <mergeCell ref="DZ2:DZ3"/>
    <mergeCell ref="DY4:DY8"/>
    <mergeCell ref="DZ8:EA8"/>
    <mergeCell ref="DT2:DW2"/>
    <mergeCell ref="DY2:DY3"/>
    <mergeCell ref="CT2:CT3"/>
    <mergeCell ref="CU2:CU3"/>
    <mergeCell ref="CD2:CD3"/>
    <mergeCell ref="CN2:CQ2"/>
    <mergeCell ref="CE2:CE3"/>
    <mergeCell ref="CT8:CU8"/>
    <mergeCell ref="CD8:CE8"/>
    <mergeCell ref="CS4:CS8"/>
    <mergeCell ref="DJ8:DK8"/>
    <mergeCell ref="BN8:BO8"/>
    <mergeCell ref="DK2:DK3"/>
    <mergeCell ref="DL2:DO2"/>
    <mergeCell ref="DP2:DS2"/>
    <mergeCell ref="G1:H1"/>
    <mergeCell ref="D2:G2"/>
    <mergeCell ref="H2:K2"/>
    <mergeCell ref="L2:O2"/>
    <mergeCell ref="BC1:BD1"/>
    <mergeCell ref="BS1:BT1"/>
    <mergeCell ref="AW2:AW3"/>
    <mergeCell ref="AX2:AX3"/>
    <mergeCell ref="AY2:AY3"/>
    <mergeCell ref="AZ2:BC2"/>
    <mergeCell ref="BD2:BG2"/>
    <mergeCell ref="BH2:BK2"/>
    <mergeCell ref="BN2:BN3"/>
    <mergeCell ref="BT2:BW2"/>
    <mergeCell ref="BP2:BS2"/>
    <mergeCell ref="A2:A3"/>
    <mergeCell ref="B2:B3"/>
    <mergeCell ref="C2:C3"/>
    <mergeCell ref="B8:C8"/>
    <mergeCell ref="A4:A8"/>
    <mergeCell ref="CC2:CC3"/>
    <mergeCell ref="W1:X1"/>
    <mergeCell ref="Q2:Q3"/>
    <mergeCell ref="R2:R3"/>
    <mergeCell ref="S2:S3"/>
    <mergeCell ref="T2:W2"/>
    <mergeCell ref="X2:AA2"/>
    <mergeCell ref="CC4:CC8"/>
    <mergeCell ref="AM1:AN1"/>
    <mergeCell ref="BO2:BO3"/>
    <mergeCell ref="AN2:AQ2"/>
    <mergeCell ref="AR2:AU2"/>
    <mergeCell ref="BM2:BM3"/>
    <mergeCell ref="Q4:Q8"/>
    <mergeCell ref="R8:S8"/>
    <mergeCell ref="AB2:AE2"/>
    <mergeCell ref="AG2:AG3"/>
    <mergeCell ref="AH2:AH3"/>
    <mergeCell ref="AI2:AI3"/>
    <mergeCell ref="EU1:EV1"/>
    <mergeCell ref="EZ2:FC2"/>
    <mergeCell ref="FK1:FL1"/>
    <mergeCell ref="GA1:GB1"/>
    <mergeCell ref="FU2:FU3"/>
    <mergeCell ref="FV2:FV3"/>
    <mergeCell ref="FW2:FW3"/>
    <mergeCell ref="FX2:GA2"/>
    <mergeCell ref="GB2:GE2"/>
    <mergeCell ref="FP2:FS2"/>
    <mergeCell ref="ER2:EU2"/>
    <mergeCell ref="EV2:EY2"/>
    <mergeCell ref="GQ1:GR1"/>
    <mergeCell ref="GK2:GK3"/>
    <mergeCell ref="GL2:GL3"/>
    <mergeCell ref="GM2:GM3"/>
    <mergeCell ref="GN2:GQ2"/>
    <mergeCell ref="GR2:GU2"/>
    <mergeCell ref="GF2:GI2"/>
    <mergeCell ref="FU4:FU8"/>
    <mergeCell ref="FV8:FW8"/>
    <mergeCell ref="AG4:AG8"/>
    <mergeCell ref="AH8:AI8"/>
    <mergeCell ref="AW4:AW8"/>
    <mergeCell ref="AJ2:AM2"/>
    <mergeCell ref="BM4:BM8"/>
    <mergeCell ref="GV2:GY2"/>
    <mergeCell ref="FE2:FE3"/>
    <mergeCell ref="FF2:FF3"/>
    <mergeCell ref="FG2:FG3"/>
    <mergeCell ref="FH2:FK2"/>
    <mergeCell ref="FE4:FE8"/>
    <mergeCell ref="FF8:FG8"/>
    <mergeCell ref="FL2:FO2"/>
    <mergeCell ref="GL8:GM8"/>
    <mergeCell ref="GK4:GK8"/>
    <mergeCell ref="EJ2:EM2"/>
    <mergeCell ref="EO2:EO3"/>
    <mergeCell ref="EQ2:EQ3"/>
    <mergeCell ref="EO4:EO8"/>
    <mergeCell ref="EF2:EI2"/>
    <mergeCell ref="EP2:EP3"/>
    <mergeCell ref="EB2:EE2"/>
    <mergeCell ref="EP8:EQ8"/>
    <mergeCell ref="DI4:DI8"/>
  </mergeCells>
  <phoneticPr fontId="0" type="noConversion"/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1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نطاقات تمت تسميتها</vt:lpstr>
      </vt:variant>
      <vt:variant>
        <vt:i4>1</vt:i4>
      </vt:variant>
    </vt:vector>
  </HeadingPairs>
  <TitlesOfParts>
    <vt:vector size="3" baseType="lpstr">
      <vt:lpstr>الأمراض المزمنة</vt:lpstr>
      <vt:lpstr>إجمالية</vt:lpstr>
      <vt:lpstr>'الأمراض المزمنة'!Print_Titles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يحي</dc:creator>
  <cp:lastModifiedBy>Entesar Mansor Hamoud Aljedani</cp:lastModifiedBy>
  <cp:lastPrinted>2015-04-30T06:38:40Z</cp:lastPrinted>
  <dcterms:created xsi:type="dcterms:W3CDTF">1997-01-21T21:15:59Z</dcterms:created>
  <dcterms:modified xsi:type="dcterms:W3CDTF">2026-04-16T07:21:42Z</dcterms:modified>
</cp:coreProperties>
</file>